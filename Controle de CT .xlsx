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debr-my.sharepoint.com/personal/yasmim_arcanjo_gde-br_com/Documents/02_Faturamento/"/>
    </mc:Choice>
  </mc:AlternateContent>
  <xr:revisionPtr revIDLastSave="0" documentId="8_{4159AA58-04F9-43C7-BC40-2865D8353C71}" xr6:coauthVersionLast="47" xr6:coauthVersionMax="47" xr10:uidLastSave="{00000000-0000-0000-0000-000000000000}"/>
  <bookViews>
    <workbookView xWindow="-110" yWindow="-110" windowWidth="19420" windowHeight="10300" firstSheet="3" activeTab="3" xr2:uid="{DDF15AD7-09C2-4A5F-BEB5-B0020174F70B}"/>
  </bookViews>
  <sheets>
    <sheet name="Planilha2" sheetId="11" r:id="rId1"/>
    <sheet name="Controle CIT" sheetId="10" r:id="rId2"/>
    <sheet name="Planilha1" sheetId="9" state="hidden" r:id="rId3"/>
    <sheet name="Controle de CT" sheetId="2" r:id="rId4"/>
    <sheet name="Base" sheetId="1" r:id="rId5"/>
  </sheets>
  <definedNames>
    <definedName name="_xlnm._FilterDatabase" localSheetId="4" hidden="1">Base!$A$1:$C$154</definedName>
    <definedName name="_xlnm.Print_Area" localSheetId="3">'Controle de CT'!$J$2:$S$822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68" i="2" l="1"/>
  <c r="N2168" i="2"/>
  <c r="O2168" i="2"/>
  <c r="T2168" i="2"/>
  <c r="U2168" i="2"/>
  <c r="O2176" i="2"/>
  <c r="N2176" i="2"/>
  <c r="M2176" i="2"/>
  <c r="O2175" i="2"/>
  <c r="N2175" i="2"/>
  <c r="M2175" i="2"/>
  <c r="O2174" i="2"/>
  <c r="N2174" i="2"/>
  <c r="M2174" i="2"/>
  <c r="O2173" i="2"/>
  <c r="N2173" i="2"/>
  <c r="M2173" i="2"/>
  <c r="O2172" i="2"/>
  <c r="N2172" i="2"/>
  <c r="M2172" i="2"/>
  <c r="T2171" i="2"/>
  <c r="O2171" i="2"/>
  <c r="N2171" i="2"/>
  <c r="T2170" i="2"/>
  <c r="O2170" i="2"/>
  <c r="N2170" i="2"/>
  <c r="M2170" i="2"/>
  <c r="T2169" i="2"/>
  <c r="O2169" i="2"/>
  <c r="N2169" i="2"/>
  <c r="T2167" i="2"/>
  <c r="O2167" i="2"/>
  <c r="N2167" i="2"/>
  <c r="T2166" i="2"/>
  <c r="O2166" i="2"/>
  <c r="N2166" i="2"/>
  <c r="M2162" i="2"/>
  <c r="M2163" i="2"/>
  <c r="M2164" i="2"/>
  <c r="M2165" i="2"/>
  <c r="N2162" i="2"/>
  <c r="N2163" i="2"/>
  <c r="N2164" i="2"/>
  <c r="N2165" i="2"/>
  <c r="O2162" i="2"/>
  <c r="O2163" i="2"/>
  <c r="O2164" i="2"/>
  <c r="O2165" i="2"/>
  <c r="T2162" i="2"/>
  <c r="T2163" i="2"/>
  <c r="T2164" i="2"/>
  <c r="T2165" i="2"/>
  <c r="U2162" i="2"/>
  <c r="U2163" i="2"/>
  <c r="U2164" i="2"/>
  <c r="U2165" i="2"/>
  <c r="M2156" i="2"/>
  <c r="N2156" i="2"/>
  <c r="O2156" i="2"/>
  <c r="T2156" i="2"/>
  <c r="U2156" i="2"/>
  <c r="U2149" i="2"/>
  <c r="T2149" i="2"/>
  <c r="O2149" i="2"/>
  <c r="N2149" i="2"/>
  <c r="M2149" i="2"/>
  <c r="U2150" i="2"/>
  <c r="T2150" i="2"/>
  <c r="O2150" i="2"/>
  <c r="N2150" i="2"/>
  <c r="U2151" i="2"/>
  <c r="T2151" i="2"/>
  <c r="O2151" i="2"/>
  <c r="N2151" i="2"/>
  <c r="M2151" i="2"/>
  <c r="O2161" i="2"/>
  <c r="N2161" i="2"/>
  <c r="M2161" i="2"/>
  <c r="O2160" i="2"/>
  <c r="N2160" i="2"/>
  <c r="M2160" i="2"/>
  <c r="O2159" i="2"/>
  <c r="N2159" i="2"/>
  <c r="M2159" i="2"/>
  <c r="O2158" i="2"/>
  <c r="N2158" i="2"/>
  <c r="M2158" i="2"/>
  <c r="O2157" i="2"/>
  <c r="N2157" i="2"/>
  <c r="M2157" i="2"/>
  <c r="O2155" i="2"/>
  <c r="N2155" i="2"/>
  <c r="M2155" i="2"/>
  <c r="O2154" i="2"/>
  <c r="N2154" i="2"/>
  <c r="M2154" i="2"/>
  <c r="O2153" i="2"/>
  <c r="N2153" i="2"/>
  <c r="M2153" i="2"/>
  <c r="O2152" i="2"/>
  <c r="N2152" i="2"/>
  <c r="M2152" i="2"/>
  <c r="O2148" i="2"/>
  <c r="N2148" i="2"/>
  <c r="M2148" i="2"/>
  <c r="O2147" i="2"/>
  <c r="N2147" i="2"/>
  <c r="M2147" i="2"/>
  <c r="O2146" i="2"/>
  <c r="N2146" i="2"/>
  <c r="M2146" i="2"/>
  <c r="O2145" i="2"/>
  <c r="N2145" i="2"/>
  <c r="M2145" i="2"/>
  <c r="O2144" i="2"/>
  <c r="N2144" i="2"/>
  <c r="O2143" i="2"/>
  <c r="N2143" i="2"/>
  <c r="M2143" i="2"/>
  <c r="O2142" i="2"/>
  <c r="N2142" i="2"/>
  <c r="O2141" i="2"/>
  <c r="N2141" i="2"/>
  <c r="O2140" i="2"/>
  <c r="N2140" i="2"/>
  <c r="M2140" i="2"/>
  <c r="O2139" i="2"/>
  <c r="N2139" i="2"/>
  <c r="M2139" i="2"/>
  <c r="O2138" i="2"/>
  <c r="N2138" i="2"/>
  <c r="M2138" i="2"/>
  <c r="O2137" i="2"/>
  <c r="N2137" i="2"/>
  <c r="O2136" i="2"/>
  <c r="N2136" i="2"/>
  <c r="O2135" i="2"/>
  <c r="N2135" i="2"/>
  <c r="M2135" i="2"/>
  <c r="O2134" i="2"/>
  <c r="N2134" i="2"/>
  <c r="M2134" i="2"/>
  <c r="O2133" i="2"/>
  <c r="N2133" i="2"/>
  <c r="M2133" i="2"/>
  <c r="O2132" i="2"/>
  <c r="N2132" i="2"/>
  <c r="M2132" i="2"/>
  <c r="O2131" i="2"/>
  <c r="N2131" i="2"/>
  <c r="M2131" i="2"/>
  <c r="O2130" i="2"/>
  <c r="N2130" i="2"/>
  <c r="M2130" i="2"/>
  <c r="O2129" i="2"/>
  <c r="N2129" i="2"/>
  <c r="M2129" i="2"/>
  <c r="O2128" i="2"/>
  <c r="N2128" i="2"/>
  <c r="M2128" i="2"/>
  <c r="F100" i="10"/>
  <c r="F99" i="10"/>
  <c r="F98" i="10"/>
  <c r="F97" i="10"/>
  <c r="F96" i="10"/>
  <c r="M2116" i="2"/>
  <c r="N2116" i="2"/>
  <c r="O2116" i="2"/>
  <c r="T2116" i="2"/>
  <c r="U2116" i="2"/>
  <c r="O2127" i="2"/>
  <c r="N2127" i="2"/>
  <c r="M2127" i="2"/>
  <c r="O2126" i="2"/>
  <c r="N2126" i="2"/>
  <c r="O2125" i="2"/>
  <c r="N2125" i="2"/>
  <c r="M2125" i="2"/>
  <c r="O2124" i="2"/>
  <c r="N2124" i="2"/>
  <c r="O2123" i="2"/>
  <c r="N2123" i="2"/>
  <c r="O2122" i="2"/>
  <c r="N2122" i="2"/>
  <c r="M2122" i="2"/>
  <c r="O2121" i="2"/>
  <c r="N2121" i="2"/>
  <c r="T2120" i="2"/>
  <c r="O2120" i="2"/>
  <c r="N2120" i="2"/>
  <c r="M2120" i="2"/>
  <c r="T2119" i="2"/>
  <c r="O2119" i="2"/>
  <c r="N2119" i="2"/>
  <c r="T2118" i="2"/>
  <c r="O2118" i="2"/>
  <c r="N2118" i="2"/>
  <c r="M2118" i="2"/>
  <c r="T2117" i="2"/>
  <c r="O2117" i="2"/>
  <c r="N2117" i="2"/>
  <c r="M2117" i="2"/>
  <c r="T2115" i="2"/>
  <c r="O2115" i="2"/>
  <c r="N2115" i="2"/>
  <c r="T2114" i="2"/>
  <c r="O2114" i="2"/>
  <c r="N2114" i="2"/>
  <c r="T2113" i="2"/>
  <c r="O2113" i="2"/>
  <c r="N2113" i="2"/>
  <c r="T2112" i="2"/>
  <c r="O2112" i="2"/>
  <c r="N2112" i="2"/>
  <c r="T2111" i="2"/>
  <c r="O2111" i="2"/>
  <c r="N2111" i="2"/>
  <c r="T2110" i="2"/>
  <c r="O2110" i="2"/>
  <c r="N2110" i="2"/>
  <c r="M2110" i="2"/>
  <c r="T2109" i="2"/>
  <c r="O2109" i="2"/>
  <c r="N2109" i="2"/>
  <c r="M2109" i="2"/>
  <c r="T2108" i="2"/>
  <c r="O2108" i="2"/>
  <c r="N2108" i="2"/>
  <c r="M2108" i="2"/>
  <c r="T2107" i="2"/>
  <c r="O2107" i="2"/>
  <c r="N2107" i="2"/>
  <c r="M2107" i="2"/>
  <c r="T2106" i="2"/>
  <c r="O2106" i="2"/>
  <c r="N2106" i="2"/>
  <c r="T2105" i="2"/>
  <c r="O2105" i="2"/>
  <c r="N2105" i="2"/>
  <c r="T2104" i="2"/>
  <c r="O2104" i="2"/>
  <c r="N2104" i="2"/>
  <c r="T2103" i="2"/>
  <c r="O2103" i="2"/>
  <c r="N2103" i="2"/>
  <c r="M2103" i="2"/>
  <c r="F93" i="10"/>
  <c r="F92" i="10"/>
  <c r="U2101" i="2"/>
  <c r="U2102" i="2"/>
  <c r="T2101" i="2"/>
  <c r="T2102" i="2"/>
  <c r="O2101" i="2"/>
  <c r="O2102" i="2"/>
  <c r="N2101" i="2"/>
  <c r="N2102" i="2"/>
  <c r="M2101" i="2"/>
  <c r="U2100" i="2"/>
  <c r="T2100" i="2"/>
  <c r="O2100" i="2"/>
  <c r="N2100" i="2"/>
  <c r="M2100" i="2"/>
  <c r="O2099" i="2" l="1"/>
  <c r="N2099" i="2"/>
  <c r="M2099" i="2"/>
  <c r="O2098" i="2"/>
  <c r="N2098" i="2"/>
  <c r="M2098" i="2"/>
  <c r="O2097" i="2"/>
  <c r="N2097" i="2"/>
  <c r="M2097" i="2"/>
  <c r="O2096" i="2"/>
  <c r="N2096" i="2"/>
  <c r="M2096" i="2"/>
  <c r="O2095" i="2"/>
  <c r="N2095" i="2"/>
  <c r="O2094" i="2"/>
  <c r="N2094" i="2"/>
  <c r="M2094" i="2"/>
  <c r="O2093" i="2"/>
  <c r="N2093" i="2"/>
  <c r="M2093" i="2"/>
  <c r="O2092" i="2"/>
  <c r="N2092" i="2"/>
  <c r="M2092" i="2"/>
  <c r="O2091" i="2"/>
  <c r="N2091" i="2"/>
  <c r="M2091" i="2"/>
  <c r="O2090" i="2"/>
  <c r="N2090" i="2"/>
  <c r="O2089" i="2"/>
  <c r="N2089" i="2"/>
  <c r="O2088" i="2"/>
  <c r="N2088" i="2"/>
  <c r="M2088" i="2"/>
  <c r="O2087" i="2"/>
  <c r="N2087" i="2"/>
  <c r="M2087" i="2"/>
  <c r="O2086" i="2"/>
  <c r="N2086" i="2"/>
  <c r="M2086" i="2"/>
  <c r="O2085" i="2"/>
  <c r="N2085" i="2"/>
  <c r="M2085" i="2"/>
  <c r="O2084" i="2"/>
  <c r="N2084" i="2"/>
  <c r="M2084" i="2"/>
  <c r="O2083" i="2"/>
  <c r="N2083" i="2"/>
  <c r="M2083" i="2"/>
  <c r="O2082" i="2"/>
  <c r="N2082" i="2"/>
  <c r="O2081" i="2"/>
  <c r="N2081" i="2"/>
  <c r="M2081" i="2"/>
  <c r="T2080" i="2"/>
  <c r="O2080" i="2"/>
  <c r="N2080" i="2"/>
  <c r="M2080" i="2"/>
  <c r="M2079" i="2"/>
  <c r="N2079" i="2"/>
  <c r="O2079" i="2"/>
  <c r="T2079" i="2"/>
  <c r="U2079" i="2"/>
  <c r="M2074" i="2"/>
  <c r="M2075" i="2"/>
  <c r="M2076" i="2"/>
  <c r="M2077" i="2"/>
  <c r="M2078" i="2"/>
  <c r="N2074" i="2"/>
  <c r="N2075" i="2"/>
  <c r="N2076" i="2"/>
  <c r="N2077" i="2"/>
  <c r="N2078" i="2"/>
  <c r="O2074" i="2"/>
  <c r="O2075" i="2"/>
  <c r="O2076" i="2"/>
  <c r="O2077" i="2"/>
  <c r="O2078" i="2"/>
  <c r="T2074" i="2"/>
  <c r="T2075" i="2"/>
  <c r="T2076" i="2"/>
  <c r="T2077" i="2"/>
  <c r="T2078" i="2"/>
  <c r="U2074" i="2"/>
  <c r="U2075" i="2"/>
  <c r="U2076" i="2"/>
  <c r="U2077" i="2"/>
  <c r="U2078" i="2"/>
  <c r="O2073" i="2"/>
  <c r="N2073" i="2"/>
  <c r="M2073" i="2"/>
  <c r="O2072" i="2"/>
  <c r="N2072" i="2"/>
  <c r="M2072" i="2"/>
  <c r="O2071" i="2"/>
  <c r="N2071" i="2"/>
  <c r="M2071" i="2"/>
  <c r="N2070" i="2"/>
  <c r="M2070" i="2"/>
  <c r="O2069" i="2"/>
  <c r="N2069" i="2"/>
  <c r="M2069" i="2"/>
  <c r="O2068" i="2"/>
  <c r="N2068" i="2"/>
  <c r="M2068" i="2"/>
  <c r="O2067" i="2"/>
  <c r="N2067" i="2"/>
  <c r="M2067" i="2"/>
  <c r="O2064" i="2"/>
  <c r="N2064" i="2"/>
  <c r="M2064" i="2"/>
  <c r="O2063" i="2"/>
  <c r="N2063" i="2"/>
  <c r="M2063" i="2"/>
  <c r="O2065" i="2"/>
  <c r="N2065" i="2"/>
  <c r="M2065" i="2"/>
  <c r="O2066" i="2"/>
  <c r="N2066" i="2"/>
  <c r="M2066" i="2"/>
  <c r="O2059" i="2"/>
  <c r="N2059" i="2"/>
  <c r="M2059" i="2"/>
  <c r="O2062" i="2"/>
  <c r="N2062" i="2"/>
  <c r="M2062" i="2"/>
  <c r="O2061" i="2"/>
  <c r="N2061" i="2"/>
  <c r="M2061" i="2"/>
  <c r="O2060" i="2"/>
  <c r="N2060" i="2"/>
  <c r="M2060" i="2"/>
  <c r="O2058" i="2"/>
  <c r="N2058" i="2"/>
  <c r="M2058" i="2"/>
  <c r="O2057" i="2"/>
  <c r="N2057" i="2"/>
  <c r="T2056" i="2"/>
  <c r="O2056" i="2"/>
  <c r="N2056" i="2"/>
  <c r="M2056" i="2"/>
  <c r="M2055" i="2"/>
  <c r="N2055" i="2"/>
  <c r="O2055" i="2"/>
  <c r="T2055" i="2"/>
  <c r="U2055" i="2"/>
  <c r="M2054" i="2"/>
  <c r="N2054" i="2"/>
  <c r="O2054" i="2"/>
  <c r="T2054" i="2"/>
  <c r="U2054" i="2"/>
  <c r="M2053" i="2"/>
  <c r="N2053" i="2"/>
  <c r="O2053" i="2"/>
  <c r="T2053" i="2"/>
  <c r="U2053" i="2"/>
  <c r="M2052" i="2"/>
  <c r="N2052" i="2"/>
  <c r="O2052" i="2"/>
  <c r="T2052" i="2"/>
  <c r="U2052" i="2"/>
  <c r="M2051" i="2"/>
  <c r="N2051" i="2"/>
  <c r="O2051" i="2"/>
  <c r="T2051" i="2"/>
  <c r="U2051" i="2"/>
  <c r="M2050" i="2"/>
  <c r="N2050" i="2"/>
  <c r="O2050" i="2"/>
  <c r="T2050" i="2"/>
  <c r="U2050" i="2"/>
  <c r="M2049" i="2"/>
  <c r="N2049" i="2"/>
  <c r="O2049" i="2"/>
  <c r="T2049" i="2"/>
  <c r="U2049" i="2"/>
  <c r="M2048" i="2"/>
  <c r="N2048" i="2"/>
  <c r="O2048" i="2"/>
  <c r="T2048" i="2"/>
  <c r="U2048" i="2"/>
  <c r="M2047" i="2"/>
  <c r="N2047" i="2"/>
  <c r="O2047" i="2"/>
  <c r="T2047" i="2"/>
  <c r="U2047" i="2"/>
  <c r="M2046" i="2"/>
  <c r="N2046" i="2"/>
  <c r="O2046" i="2"/>
  <c r="T2046" i="2"/>
  <c r="U2046" i="2"/>
  <c r="M2045" i="2"/>
  <c r="N2045" i="2"/>
  <c r="O2045" i="2"/>
  <c r="T2045" i="2"/>
  <c r="U2045" i="2"/>
  <c r="M2044" i="2"/>
  <c r="N2044" i="2"/>
  <c r="O2044" i="2"/>
  <c r="T2044" i="2"/>
  <c r="U2044" i="2"/>
  <c r="M2043" i="2"/>
  <c r="N2043" i="2"/>
  <c r="O2043" i="2"/>
  <c r="T2043" i="2"/>
  <c r="U2043" i="2"/>
  <c r="M2042" i="2"/>
  <c r="N2042" i="2"/>
  <c r="O2042" i="2"/>
  <c r="T2042" i="2"/>
  <c r="U2042" i="2"/>
  <c r="O2041" i="2"/>
  <c r="N2041" i="2"/>
  <c r="M2041" i="2"/>
  <c r="O2040" i="2"/>
  <c r="N2040" i="2"/>
  <c r="M2040" i="2"/>
  <c r="O2039" i="2"/>
  <c r="N2039" i="2"/>
  <c r="M2039" i="2"/>
  <c r="O2038" i="2"/>
  <c r="N2038" i="2"/>
  <c r="M2038" i="2"/>
  <c r="O2037" i="2"/>
  <c r="N2037" i="2"/>
  <c r="M2037" i="2"/>
  <c r="O2036" i="2"/>
  <c r="N2036" i="2"/>
  <c r="M2036" i="2"/>
  <c r="O2035" i="2"/>
  <c r="N2035" i="2"/>
  <c r="M2035" i="2"/>
  <c r="O2034" i="2"/>
  <c r="N2034" i="2"/>
  <c r="M2034" i="2"/>
  <c r="O2033" i="2"/>
  <c r="N2033" i="2"/>
  <c r="O2032" i="2"/>
  <c r="N2032" i="2"/>
  <c r="M2032" i="2"/>
  <c r="O2031" i="2"/>
  <c r="N2031" i="2"/>
  <c r="M2031" i="2"/>
  <c r="O2030" i="2"/>
  <c r="N2030" i="2"/>
  <c r="M2030" i="2"/>
  <c r="O2029" i="2"/>
  <c r="N2029" i="2"/>
  <c r="M2029" i="2"/>
  <c r="O2028" i="2"/>
  <c r="N2028" i="2"/>
  <c r="M2028" i="2"/>
  <c r="O2027" i="2"/>
  <c r="N2027" i="2"/>
  <c r="M2027" i="2"/>
  <c r="O2026" i="2"/>
  <c r="N2026" i="2"/>
  <c r="M2026" i="2"/>
  <c r="O2025" i="2"/>
  <c r="N2025" i="2"/>
  <c r="O2024" i="2"/>
  <c r="N2024" i="2"/>
  <c r="M2024" i="2"/>
  <c r="O2023" i="2"/>
  <c r="N2023" i="2"/>
  <c r="M2023" i="2"/>
  <c r="O2022" i="2"/>
  <c r="N2022" i="2"/>
  <c r="O2021" i="2"/>
  <c r="N2021" i="2"/>
  <c r="O2020" i="2"/>
  <c r="N2020" i="2"/>
  <c r="M2020" i="2"/>
  <c r="O2019" i="2"/>
  <c r="N2019" i="2"/>
  <c r="M2019" i="2"/>
  <c r="O2018" i="2"/>
  <c r="N2018" i="2"/>
  <c r="M2018" i="2"/>
  <c r="O2017" i="2"/>
  <c r="N2017" i="2"/>
  <c r="M2017" i="2"/>
  <c r="O2016" i="2"/>
  <c r="N2016" i="2"/>
  <c r="M2016" i="2"/>
  <c r="O2015" i="2"/>
  <c r="N2015" i="2"/>
  <c r="M2015" i="2"/>
  <c r="O2014" i="2"/>
  <c r="N2014" i="2"/>
  <c r="M2014" i="2"/>
  <c r="O2013" i="2"/>
  <c r="N2013" i="2"/>
  <c r="M2013" i="2"/>
  <c r="O2012" i="2"/>
  <c r="N2012" i="2"/>
  <c r="O2011" i="2"/>
  <c r="N2011" i="2"/>
  <c r="M2011" i="2"/>
  <c r="O2009" i="2"/>
  <c r="N2009" i="2"/>
  <c r="M2009" i="2"/>
  <c r="O2010" i="2"/>
  <c r="N2010" i="2"/>
  <c r="M2010" i="2"/>
  <c r="O2008" i="2"/>
  <c r="N2008" i="2"/>
  <c r="M2008" i="2"/>
  <c r="O2007" i="2"/>
  <c r="N2007" i="2"/>
  <c r="O2006" i="2"/>
  <c r="N2006" i="2"/>
  <c r="O2005" i="2"/>
  <c r="N2005" i="2"/>
  <c r="M2005" i="2"/>
  <c r="N1987" i="2"/>
  <c r="O1987" i="2"/>
  <c r="T1987" i="2"/>
  <c r="U1987" i="2"/>
  <c r="O2004" i="2"/>
  <c r="N2004" i="2"/>
  <c r="M2004" i="2"/>
  <c r="O2003" i="2"/>
  <c r="N2003" i="2"/>
  <c r="M2003" i="2"/>
  <c r="O2002" i="2"/>
  <c r="N2002" i="2"/>
  <c r="M2002" i="2"/>
  <c r="O2001" i="2"/>
  <c r="N2001" i="2"/>
  <c r="M2001" i="2"/>
  <c r="O2000" i="2"/>
  <c r="N2000" i="2"/>
  <c r="M2000" i="2"/>
  <c r="O1999" i="2"/>
  <c r="N1999" i="2"/>
  <c r="M1999" i="2"/>
  <c r="O1998" i="2"/>
  <c r="N1998" i="2"/>
  <c r="M1998" i="2"/>
  <c r="O1997" i="2"/>
  <c r="N1997" i="2"/>
  <c r="M1997" i="2"/>
  <c r="O1996" i="2"/>
  <c r="N1996" i="2"/>
  <c r="O1995" i="2"/>
  <c r="N1995" i="2"/>
  <c r="O1994" i="2"/>
  <c r="N1994" i="2"/>
  <c r="O1993" i="2"/>
  <c r="N1993" i="2"/>
  <c r="O1992" i="2"/>
  <c r="N1992" i="2"/>
  <c r="O1991" i="2"/>
  <c r="N1991" i="2"/>
  <c r="O1990" i="2"/>
  <c r="N1990" i="2"/>
  <c r="O1989" i="2"/>
  <c r="N1989" i="2"/>
  <c r="O1988" i="2"/>
  <c r="N1988" i="2"/>
  <c r="T1986" i="2"/>
  <c r="O1986" i="2"/>
  <c r="N1986" i="2"/>
  <c r="M1985" i="2"/>
  <c r="N1985" i="2"/>
  <c r="O1985" i="2"/>
  <c r="T1985" i="2"/>
  <c r="U1985" i="2"/>
  <c r="M1978" i="2"/>
  <c r="M1979" i="2"/>
  <c r="M1980" i="2"/>
  <c r="M1981" i="2"/>
  <c r="M1982" i="2"/>
  <c r="M1983" i="2"/>
  <c r="M1984" i="2"/>
  <c r="N1978" i="2"/>
  <c r="N1979" i="2"/>
  <c r="N1980" i="2"/>
  <c r="N1981" i="2"/>
  <c r="N1982" i="2"/>
  <c r="N1983" i="2"/>
  <c r="N1984" i="2"/>
  <c r="O1978" i="2"/>
  <c r="O1979" i="2"/>
  <c r="O1980" i="2"/>
  <c r="O1981" i="2"/>
  <c r="O1982" i="2"/>
  <c r="O1983" i="2"/>
  <c r="O1984" i="2"/>
  <c r="T1978" i="2"/>
  <c r="T1979" i="2"/>
  <c r="T1980" i="2"/>
  <c r="T1981" i="2"/>
  <c r="T1982" i="2"/>
  <c r="T1983" i="2"/>
  <c r="T1984" i="2"/>
  <c r="U1978" i="2"/>
  <c r="U1979" i="2"/>
  <c r="U1980" i="2"/>
  <c r="U1981" i="2"/>
  <c r="U1982" i="2"/>
  <c r="U1983" i="2"/>
  <c r="U1984" i="2"/>
  <c r="O1977" i="2"/>
  <c r="N1977" i="2"/>
  <c r="M1977" i="2"/>
  <c r="O1976" i="2"/>
  <c r="N1976" i="2"/>
  <c r="M1976" i="2"/>
  <c r="O1975" i="2"/>
  <c r="N1975" i="2"/>
  <c r="M1975" i="2"/>
  <c r="O1974" i="2"/>
  <c r="N1974" i="2"/>
  <c r="M1974" i="2"/>
  <c r="O1973" i="2"/>
  <c r="N1973" i="2"/>
  <c r="M1973" i="2"/>
  <c r="O1972" i="2"/>
  <c r="N1972" i="2"/>
  <c r="O1971" i="2"/>
  <c r="N1971" i="2"/>
  <c r="M1971" i="2"/>
  <c r="O1970" i="2"/>
  <c r="N1970" i="2"/>
  <c r="M1970" i="2"/>
  <c r="O1969" i="2"/>
  <c r="N1969" i="2"/>
  <c r="M1969" i="2"/>
  <c r="O1968" i="2"/>
  <c r="N1968" i="2"/>
  <c r="O1967" i="2"/>
  <c r="N1967" i="2"/>
  <c r="M1967" i="2"/>
  <c r="O1966" i="2"/>
  <c r="N1966" i="2"/>
  <c r="T1965" i="2"/>
  <c r="O1965" i="2"/>
  <c r="N1965" i="2"/>
  <c r="M1965" i="2"/>
  <c r="T1964" i="2"/>
  <c r="O1964" i="2"/>
  <c r="N1964" i="2"/>
  <c r="T1963" i="2"/>
  <c r="O1963" i="2"/>
  <c r="N1963" i="2"/>
  <c r="T1962" i="2"/>
  <c r="O1962" i="2"/>
  <c r="N1962" i="2"/>
  <c r="T1961" i="2"/>
  <c r="O1961" i="2"/>
  <c r="N1961" i="2"/>
  <c r="T1960" i="2"/>
  <c r="O1960" i="2"/>
  <c r="N1960" i="2"/>
  <c r="M1960" i="2"/>
  <c r="T1959" i="2"/>
  <c r="O1959" i="2"/>
  <c r="N1959" i="2"/>
  <c r="T1958" i="2"/>
  <c r="O1958" i="2"/>
  <c r="N1958" i="2"/>
  <c r="M1958" i="2"/>
  <c r="T1957" i="2"/>
  <c r="O1957" i="2"/>
  <c r="N1957" i="2"/>
  <c r="M1957" i="2"/>
  <c r="T1956" i="2"/>
  <c r="O1956" i="2"/>
  <c r="N1956" i="2"/>
  <c r="M1956" i="2"/>
  <c r="T1955" i="2"/>
  <c r="O1955" i="2"/>
  <c r="N1955" i="2"/>
  <c r="M1955" i="2"/>
  <c r="T1954" i="2"/>
  <c r="O1954" i="2"/>
  <c r="N1954" i="2"/>
  <c r="M1954" i="2"/>
  <c r="T1953" i="2"/>
  <c r="O1953" i="2"/>
  <c r="N1953" i="2"/>
  <c r="M1953" i="2"/>
  <c r="T1952" i="2"/>
  <c r="O1952" i="2"/>
  <c r="N1952" i="2"/>
  <c r="M1952" i="2"/>
  <c r="T1951" i="2"/>
  <c r="O1951" i="2"/>
  <c r="N1951" i="2"/>
  <c r="M1951" i="2"/>
  <c r="T1950" i="2"/>
  <c r="O1950" i="2"/>
  <c r="N1950" i="2"/>
  <c r="M1950" i="2"/>
  <c r="U1949" i="2"/>
  <c r="O1949" i="2"/>
  <c r="N1949" i="2"/>
  <c r="M1949" i="2"/>
  <c r="U1948" i="2"/>
  <c r="O1948" i="2"/>
  <c r="N1948" i="2"/>
  <c r="M1948" i="2"/>
  <c r="U1947" i="2"/>
  <c r="O1947" i="2"/>
  <c r="N1947" i="2"/>
  <c r="M1947" i="2"/>
  <c r="U1946" i="2"/>
  <c r="O1946" i="2"/>
  <c r="N1946" i="2"/>
  <c r="U1945" i="2"/>
  <c r="O1945" i="2"/>
  <c r="N1945" i="2"/>
  <c r="U1944" i="2"/>
  <c r="O1944" i="2"/>
  <c r="N1944" i="2"/>
  <c r="M1944" i="2"/>
  <c r="U1943" i="2"/>
  <c r="O1943" i="2"/>
  <c r="N1943" i="2"/>
  <c r="M1943" i="2"/>
  <c r="U1942" i="2"/>
  <c r="O1942" i="2"/>
  <c r="N1942" i="2"/>
  <c r="M1942" i="2"/>
  <c r="U1941" i="2"/>
  <c r="O1941" i="2"/>
  <c r="N1941" i="2"/>
  <c r="M1941" i="2"/>
  <c r="U1940" i="2"/>
  <c r="O1940" i="2"/>
  <c r="N1940" i="2"/>
  <c r="M1940" i="2"/>
  <c r="U1939" i="2"/>
  <c r="O1939" i="2"/>
  <c r="N1939" i="2"/>
  <c r="U1938" i="2"/>
  <c r="O1938" i="2"/>
  <c r="N1938" i="2"/>
  <c r="U1937" i="2"/>
  <c r="O1937" i="2"/>
  <c r="N1937" i="2"/>
  <c r="M1937" i="2"/>
  <c r="U1936" i="2"/>
  <c r="O1936" i="2"/>
  <c r="N1936" i="2"/>
  <c r="M1936" i="2"/>
  <c r="U1935" i="2"/>
  <c r="O1935" i="2"/>
  <c r="N1935" i="2"/>
  <c r="M1935" i="2"/>
  <c r="U1934" i="2"/>
  <c r="O1934" i="2"/>
  <c r="N1934" i="2"/>
  <c r="M1934" i="2"/>
  <c r="U1933" i="2"/>
  <c r="O1933" i="2"/>
  <c r="N1933" i="2"/>
  <c r="M1933" i="2"/>
  <c r="U1932" i="2"/>
  <c r="O1932" i="2"/>
  <c r="N1932" i="2"/>
  <c r="M1932" i="2"/>
  <c r="U1931" i="2"/>
  <c r="O1931" i="2"/>
  <c r="N1931" i="2"/>
  <c r="M1931" i="2"/>
  <c r="U1930" i="2"/>
  <c r="O1930" i="2"/>
  <c r="N1930" i="2"/>
  <c r="M1930" i="2"/>
  <c r="U1929" i="2"/>
  <c r="O1929" i="2"/>
  <c r="N1929" i="2"/>
  <c r="M1929" i="2"/>
  <c r="N1922" i="2"/>
  <c r="O1922" i="2"/>
  <c r="T1922" i="2"/>
  <c r="U1922" i="2"/>
  <c r="M1909" i="2"/>
  <c r="M1913" i="2"/>
  <c r="M1916" i="2"/>
  <c r="M1910" i="2"/>
  <c r="M1911" i="2"/>
  <c r="M1920" i="2"/>
  <c r="M1912" i="2"/>
  <c r="M1914" i="2"/>
  <c r="M1915" i="2"/>
  <c r="M1917" i="2"/>
  <c r="M1918" i="2"/>
  <c r="M1919" i="2"/>
  <c r="M1921" i="2"/>
  <c r="M1924" i="2"/>
  <c r="M1925" i="2"/>
  <c r="M1926" i="2"/>
  <c r="M1927" i="2"/>
  <c r="M1928" i="2"/>
  <c r="N1913" i="2"/>
  <c r="N1916" i="2"/>
  <c r="N1910" i="2"/>
  <c r="N1911" i="2"/>
  <c r="N1920" i="2"/>
  <c r="N1912" i="2"/>
  <c r="N1914" i="2"/>
  <c r="N1915" i="2"/>
  <c r="N1917" i="2"/>
  <c r="N1918" i="2"/>
  <c r="N1919" i="2"/>
  <c r="N1921" i="2"/>
  <c r="N1923" i="2"/>
  <c r="N1924" i="2"/>
  <c r="N1925" i="2"/>
  <c r="N1926" i="2"/>
  <c r="N1927" i="2"/>
  <c r="N1928" i="2"/>
  <c r="O1913" i="2"/>
  <c r="O1916" i="2"/>
  <c r="O1910" i="2"/>
  <c r="O1911" i="2"/>
  <c r="O1920" i="2"/>
  <c r="O1912" i="2"/>
  <c r="O1914" i="2"/>
  <c r="O1915" i="2"/>
  <c r="O1917" i="2"/>
  <c r="O1918" i="2"/>
  <c r="O1919" i="2"/>
  <c r="O1921" i="2"/>
  <c r="O1923" i="2"/>
  <c r="O1924" i="2"/>
  <c r="O1925" i="2"/>
  <c r="O1926" i="2"/>
  <c r="O1927" i="2"/>
  <c r="O1928" i="2"/>
  <c r="T1913" i="2"/>
  <c r="T1916" i="2"/>
  <c r="T1910" i="2"/>
  <c r="T1911" i="2"/>
  <c r="T1920" i="2"/>
  <c r="T1912" i="2"/>
  <c r="T1914" i="2"/>
  <c r="T1915" i="2"/>
  <c r="T1917" i="2"/>
  <c r="T1918" i="2"/>
  <c r="T1919" i="2"/>
  <c r="T1921" i="2"/>
  <c r="T1923" i="2"/>
  <c r="T1924" i="2"/>
  <c r="T1925" i="2"/>
  <c r="T1926" i="2"/>
  <c r="T1927" i="2"/>
  <c r="T1928" i="2"/>
  <c r="U1913" i="2"/>
  <c r="U1916" i="2"/>
  <c r="U1910" i="2"/>
  <c r="U1911" i="2"/>
  <c r="U1920" i="2"/>
  <c r="U1912" i="2"/>
  <c r="U1914" i="2"/>
  <c r="U1915" i="2"/>
  <c r="U1917" i="2"/>
  <c r="U1918" i="2"/>
  <c r="U1919" i="2"/>
  <c r="U1921" i="2"/>
  <c r="U1923" i="2"/>
  <c r="U1924" i="2"/>
  <c r="U1925" i="2"/>
  <c r="U1926" i="2"/>
  <c r="U1927" i="2"/>
  <c r="U1928" i="2"/>
  <c r="M1901" i="2"/>
  <c r="M1902" i="2"/>
  <c r="M1903" i="2"/>
  <c r="M1904" i="2"/>
  <c r="M1905" i="2"/>
  <c r="M1906" i="2"/>
  <c r="M1907" i="2"/>
  <c r="M1908" i="2"/>
  <c r="N1901" i="2"/>
  <c r="N1902" i="2"/>
  <c r="N1903" i="2"/>
  <c r="N1904" i="2"/>
  <c r="N1905" i="2"/>
  <c r="N1906" i="2"/>
  <c r="N1907" i="2"/>
  <c r="N1908" i="2"/>
  <c r="N1909" i="2"/>
  <c r="O1901" i="2"/>
  <c r="O1902" i="2"/>
  <c r="O1903" i="2"/>
  <c r="O1904" i="2"/>
  <c r="O1905" i="2"/>
  <c r="O1906" i="2"/>
  <c r="O1907" i="2"/>
  <c r="O1908" i="2"/>
  <c r="O1909" i="2"/>
  <c r="T1901" i="2"/>
  <c r="T1902" i="2"/>
  <c r="T1903" i="2"/>
  <c r="T1904" i="2"/>
  <c r="T1905" i="2"/>
  <c r="T1906" i="2"/>
  <c r="T1907" i="2"/>
  <c r="T1908" i="2"/>
  <c r="T1909" i="2"/>
  <c r="U1901" i="2"/>
  <c r="U1902" i="2"/>
  <c r="U1903" i="2"/>
  <c r="U1904" i="2"/>
  <c r="U1905" i="2"/>
  <c r="U1906" i="2"/>
  <c r="U1907" i="2"/>
  <c r="U1908" i="2"/>
  <c r="U1909" i="2"/>
  <c r="M1900" i="2"/>
  <c r="N1900" i="2"/>
  <c r="O1900" i="2"/>
  <c r="T1900" i="2"/>
  <c r="U1900" i="2"/>
  <c r="M1899" i="2"/>
  <c r="N1899" i="2"/>
  <c r="O1899" i="2"/>
  <c r="T1899" i="2"/>
  <c r="U1899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O1898" i="2"/>
  <c r="N1898" i="2"/>
  <c r="M1898" i="2"/>
  <c r="O1897" i="2"/>
  <c r="N1897" i="2"/>
  <c r="M1897" i="2"/>
  <c r="O1896" i="2"/>
  <c r="N1896" i="2"/>
  <c r="M1896" i="2"/>
  <c r="O1895" i="2"/>
  <c r="N1895" i="2"/>
  <c r="M1895" i="2"/>
  <c r="O1894" i="2"/>
  <c r="N1894" i="2"/>
  <c r="M1894" i="2"/>
  <c r="O1893" i="2"/>
  <c r="N1893" i="2"/>
  <c r="M1893" i="2"/>
  <c r="O1892" i="2"/>
  <c r="N1892" i="2"/>
  <c r="M1892" i="2"/>
  <c r="O1891" i="2"/>
  <c r="N1891" i="2"/>
  <c r="M1891" i="2"/>
  <c r="O1890" i="2"/>
  <c r="N1890" i="2"/>
  <c r="M1890" i="2"/>
  <c r="O1889" i="2"/>
  <c r="N1889" i="2"/>
  <c r="M1889" i="2"/>
  <c r="O1888" i="2"/>
  <c r="N1888" i="2"/>
  <c r="M1888" i="2"/>
  <c r="O1887" i="2"/>
  <c r="N1887" i="2"/>
  <c r="O1886" i="2"/>
  <c r="N1886" i="2"/>
  <c r="O1885" i="2"/>
  <c r="N1885" i="2"/>
  <c r="M1885" i="2"/>
  <c r="T1881" i="2"/>
  <c r="T1882" i="2"/>
  <c r="T1883" i="2"/>
  <c r="T1884" i="2"/>
  <c r="U1881" i="2"/>
  <c r="U1882" i="2"/>
  <c r="U1883" i="2"/>
  <c r="U1884" i="2"/>
  <c r="O1884" i="2"/>
  <c r="N1884" i="2"/>
  <c r="M1884" i="2"/>
  <c r="O1883" i="2"/>
  <c r="N1883" i="2"/>
  <c r="O1882" i="2"/>
  <c r="N1882" i="2"/>
  <c r="O1881" i="2"/>
  <c r="N1881" i="2"/>
  <c r="U1875" i="2"/>
  <c r="T1875" i="2"/>
  <c r="O1875" i="2"/>
  <c r="N1875" i="2"/>
  <c r="U1880" i="2"/>
  <c r="O1880" i="2"/>
  <c r="N1880" i="2"/>
  <c r="U1879" i="2"/>
  <c r="O1879" i="2"/>
  <c r="N1879" i="2"/>
  <c r="U1878" i="2"/>
  <c r="O1878" i="2"/>
  <c r="N1878" i="2"/>
  <c r="M1878" i="2"/>
  <c r="U1877" i="2"/>
  <c r="O1877" i="2"/>
  <c r="N1877" i="2"/>
  <c r="U1876" i="2"/>
  <c r="O1876" i="2"/>
  <c r="N1876" i="2"/>
  <c r="M1876" i="2"/>
  <c r="U1874" i="2"/>
  <c r="O1874" i="2"/>
  <c r="N1874" i="2"/>
  <c r="M1874" i="2"/>
  <c r="U1873" i="2"/>
  <c r="O1873" i="2"/>
  <c r="N1873" i="2"/>
  <c r="U1872" i="2"/>
  <c r="O1872" i="2"/>
  <c r="N1872" i="2"/>
  <c r="U1871" i="2"/>
  <c r="O1871" i="2"/>
  <c r="N1871" i="2"/>
  <c r="M1871" i="2"/>
  <c r="U1870" i="2"/>
  <c r="O1870" i="2"/>
  <c r="N1870" i="2"/>
  <c r="M1870" i="2"/>
  <c r="U1869" i="2"/>
  <c r="O1869" i="2"/>
  <c r="N1869" i="2"/>
  <c r="M1869" i="2"/>
  <c r="U1868" i="2"/>
  <c r="O1868" i="2"/>
  <c r="N1868" i="2"/>
  <c r="M1868" i="2"/>
  <c r="U1867" i="2"/>
  <c r="O1867" i="2"/>
  <c r="N1867" i="2"/>
  <c r="N1863" i="2"/>
  <c r="O1863" i="2"/>
  <c r="T1863" i="2"/>
  <c r="U1863" i="2"/>
  <c r="N1861" i="2"/>
  <c r="U1866" i="2"/>
  <c r="O1866" i="2"/>
  <c r="N1866" i="2"/>
  <c r="M1866" i="2"/>
  <c r="U1865" i="2"/>
  <c r="O1865" i="2"/>
  <c r="N1865" i="2"/>
  <c r="M1865" i="2"/>
  <c r="U1864" i="2"/>
  <c r="O1864" i="2"/>
  <c r="N1864" i="2"/>
  <c r="M1864" i="2"/>
  <c r="U1862" i="2"/>
  <c r="O1862" i="2"/>
  <c r="N1862" i="2"/>
  <c r="U1861" i="2"/>
  <c r="O1861" i="2"/>
  <c r="M1861" i="2"/>
  <c r="U1860" i="2"/>
  <c r="O1860" i="2"/>
  <c r="N1860" i="2"/>
  <c r="U1859" i="2"/>
  <c r="O1859" i="2"/>
  <c r="N1859" i="2"/>
  <c r="U1858" i="2"/>
  <c r="O1858" i="2"/>
  <c r="N1858" i="2"/>
  <c r="U1857" i="2"/>
  <c r="O1857" i="2"/>
  <c r="N1857" i="2"/>
  <c r="U1856" i="2"/>
  <c r="O1856" i="2"/>
  <c r="N1856" i="2"/>
  <c r="U1855" i="2"/>
  <c r="O1855" i="2"/>
  <c r="N1855" i="2"/>
  <c r="U1854" i="2"/>
  <c r="O1854" i="2"/>
  <c r="N1854" i="2"/>
  <c r="M1854" i="2"/>
  <c r="U1853" i="2"/>
  <c r="O1853" i="2"/>
  <c r="N1853" i="2"/>
  <c r="U1852" i="2"/>
  <c r="O1852" i="2"/>
  <c r="N1852" i="2"/>
  <c r="M1852" i="2"/>
  <c r="U1851" i="2"/>
  <c r="N1851" i="2"/>
  <c r="O1851" i="2"/>
  <c r="U1850" i="2"/>
  <c r="N1850" i="2"/>
  <c r="O1850" i="2"/>
  <c r="U1849" i="2"/>
  <c r="N1849" i="2"/>
  <c r="O1849" i="2"/>
  <c r="U1848" i="2"/>
  <c r="M1848" i="2"/>
  <c r="N1848" i="2"/>
  <c r="O1848" i="2"/>
  <c r="U1847" i="2"/>
  <c r="M1847" i="2"/>
  <c r="N1847" i="2"/>
  <c r="O1847" i="2"/>
  <c r="U1846" i="2"/>
  <c r="M1846" i="2"/>
  <c r="N1846" i="2"/>
  <c r="O1846" i="2"/>
  <c r="U1845" i="2"/>
  <c r="M1845" i="2"/>
  <c r="N1845" i="2"/>
  <c r="O1845" i="2"/>
  <c r="U1844" i="2"/>
  <c r="M1844" i="2"/>
  <c r="N1844" i="2"/>
  <c r="O1844" i="2"/>
  <c r="U1843" i="2"/>
  <c r="M1843" i="2"/>
  <c r="N1843" i="2"/>
  <c r="O1843" i="2"/>
  <c r="M1819" i="2"/>
  <c r="N1819" i="2"/>
  <c r="O1819" i="2"/>
  <c r="T1819" i="2"/>
  <c r="U1819" i="2"/>
  <c r="N1830" i="2"/>
  <c r="O1830" i="2"/>
  <c r="T1830" i="2"/>
  <c r="U1830" i="2"/>
  <c r="U1842" i="2"/>
  <c r="O1842" i="2"/>
  <c r="N1842" i="2"/>
  <c r="M1842" i="2"/>
  <c r="U1841" i="2"/>
  <c r="O1841" i="2"/>
  <c r="N1841" i="2"/>
  <c r="M1841" i="2"/>
  <c r="U1840" i="2"/>
  <c r="O1840" i="2"/>
  <c r="N1840" i="2"/>
  <c r="M1840" i="2"/>
  <c r="U1839" i="2"/>
  <c r="O1839" i="2"/>
  <c r="N1839" i="2"/>
  <c r="U1838" i="2"/>
  <c r="O1838" i="2"/>
  <c r="N1838" i="2"/>
  <c r="M1838" i="2"/>
  <c r="U1837" i="2"/>
  <c r="O1837" i="2"/>
  <c r="N1837" i="2"/>
  <c r="M1837" i="2"/>
  <c r="U1836" i="2"/>
  <c r="O1836" i="2"/>
  <c r="N1836" i="2"/>
  <c r="M1836" i="2"/>
  <c r="U1835" i="2"/>
  <c r="O1835" i="2"/>
  <c r="N1835" i="2"/>
  <c r="U1834" i="2"/>
  <c r="O1834" i="2"/>
  <c r="N1834" i="2"/>
  <c r="U1833" i="2"/>
  <c r="O1833" i="2"/>
  <c r="N1833" i="2"/>
  <c r="U1832" i="2"/>
  <c r="O1832" i="2"/>
  <c r="N1832" i="2"/>
  <c r="U1831" i="2"/>
  <c r="O1831" i="2"/>
  <c r="N1831" i="2"/>
  <c r="U1829" i="2"/>
  <c r="O1829" i="2"/>
  <c r="N1829" i="2"/>
  <c r="U1828" i="2"/>
  <c r="O1828" i="2"/>
  <c r="N1828" i="2"/>
  <c r="U1827" i="2"/>
  <c r="O1827" i="2"/>
  <c r="N1827" i="2"/>
  <c r="U1826" i="2"/>
  <c r="O1826" i="2"/>
  <c r="N1826" i="2"/>
  <c r="U1825" i="2"/>
  <c r="O1825" i="2"/>
  <c r="N1825" i="2"/>
  <c r="M1825" i="2"/>
  <c r="U1824" i="2"/>
  <c r="O1824" i="2"/>
  <c r="N1824" i="2"/>
  <c r="U1823" i="2"/>
  <c r="O1823" i="2"/>
  <c r="N1823" i="2"/>
  <c r="U1822" i="2"/>
  <c r="O1822" i="2"/>
  <c r="N1822" i="2"/>
  <c r="U1821" i="2"/>
  <c r="O1821" i="2"/>
  <c r="N1821" i="2"/>
  <c r="M1821" i="2"/>
  <c r="M1814" i="2"/>
  <c r="M1815" i="2"/>
  <c r="M1816" i="2"/>
  <c r="M1817" i="2"/>
  <c r="N1814" i="2"/>
  <c r="N1815" i="2"/>
  <c r="N1816" i="2"/>
  <c r="N1817" i="2"/>
  <c r="N1818" i="2"/>
  <c r="N1820" i="2"/>
  <c r="O1814" i="2"/>
  <c r="O1815" i="2"/>
  <c r="O1816" i="2"/>
  <c r="O1817" i="2"/>
  <c r="O1818" i="2"/>
  <c r="O1820" i="2"/>
  <c r="T1814" i="2"/>
  <c r="T1815" i="2"/>
  <c r="T1816" i="2"/>
  <c r="T1817" i="2"/>
  <c r="T1818" i="2"/>
  <c r="T1820" i="2"/>
  <c r="U1814" i="2"/>
  <c r="U1815" i="2"/>
  <c r="U1816" i="2"/>
  <c r="U1817" i="2"/>
  <c r="U1818" i="2"/>
  <c r="U1820" i="2"/>
  <c r="M1794" i="2"/>
  <c r="N1794" i="2"/>
  <c r="O1794" i="2"/>
  <c r="T1794" i="2"/>
  <c r="U1794" i="2"/>
  <c r="M1793" i="2"/>
  <c r="N1793" i="2"/>
  <c r="O1793" i="2"/>
  <c r="T1793" i="2"/>
  <c r="U1793" i="2"/>
  <c r="M1792" i="2"/>
  <c r="N1792" i="2"/>
  <c r="O1792" i="2"/>
  <c r="T1792" i="2"/>
  <c r="U1792" i="2"/>
  <c r="M1791" i="2"/>
  <c r="N1791" i="2"/>
  <c r="O1791" i="2"/>
  <c r="T1791" i="2"/>
  <c r="U1791" i="2"/>
  <c r="U1813" i="2"/>
  <c r="O1813" i="2"/>
  <c r="N1813" i="2"/>
  <c r="M1813" i="2"/>
  <c r="U1812" i="2"/>
  <c r="O1812" i="2"/>
  <c r="N1812" i="2"/>
  <c r="M1812" i="2"/>
  <c r="U1811" i="2"/>
  <c r="O1811" i="2"/>
  <c r="N1811" i="2"/>
  <c r="M1811" i="2"/>
  <c r="U1810" i="2"/>
  <c r="O1810" i="2"/>
  <c r="N1810" i="2"/>
  <c r="M1810" i="2"/>
  <c r="U1809" i="2"/>
  <c r="O1809" i="2"/>
  <c r="N1809" i="2"/>
  <c r="M1809" i="2"/>
  <c r="U1808" i="2"/>
  <c r="O1808" i="2"/>
  <c r="N1808" i="2"/>
  <c r="M1808" i="2"/>
  <c r="U1807" i="2"/>
  <c r="O1807" i="2"/>
  <c r="N1807" i="2"/>
  <c r="M1807" i="2"/>
  <c r="U1806" i="2"/>
  <c r="O1806" i="2"/>
  <c r="N1806" i="2"/>
  <c r="M1806" i="2"/>
  <c r="U1805" i="2"/>
  <c r="O1805" i="2"/>
  <c r="N1805" i="2"/>
  <c r="M1805" i="2"/>
  <c r="U1804" i="2"/>
  <c r="O1804" i="2"/>
  <c r="N1804" i="2"/>
  <c r="M1804" i="2"/>
  <c r="U1803" i="2"/>
  <c r="O1803" i="2"/>
  <c r="N1803" i="2"/>
  <c r="M1803" i="2"/>
  <c r="U1802" i="2"/>
  <c r="O1802" i="2"/>
  <c r="N1802" i="2"/>
  <c r="U1801" i="2"/>
  <c r="O1801" i="2"/>
  <c r="N1801" i="2"/>
  <c r="M1801" i="2"/>
  <c r="U1800" i="2"/>
  <c r="O1800" i="2"/>
  <c r="N1800" i="2"/>
  <c r="U1799" i="2"/>
  <c r="O1799" i="2"/>
  <c r="N1799" i="2"/>
  <c r="U1798" i="2"/>
  <c r="O1798" i="2"/>
  <c r="N1798" i="2"/>
  <c r="U1797" i="2"/>
  <c r="O1797" i="2"/>
  <c r="N1797" i="2"/>
  <c r="U1796" i="2"/>
  <c r="O1796" i="2"/>
  <c r="N1796" i="2"/>
  <c r="M1788" i="2"/>
  <c r="M1789" i="2"/>
  <c r="N1788" i="2"/>
  <c r="N1789" i="2"/>
  <c r="N1790" i="2"/>
  <c r="N1795" i="2"/>
  <c r="O1788" i="2"/>
  <c r="O1789" i="2"/>
  <c r="O1790" i="2"/>
  <c r="O1795" i="2"/>
  <c r="T1788" i="2"/>
  <c r="T1789" i="2"/>
  <c r="T1790" i="2"/>
  <c r="T1795" i="2"/>
  <c r="U1788" i="2"/>
  <c r="U1789" i="2"/>
  <c r="U1790" i="2"/>
  <c r="U1795" i="2"/>
  <c r="M1779" i="2"/>
  <c r="M1780" i="2"/>
  <c r="M1781" i="2"/>
  <c r="M1782" i="2"/>
  <c r="M1783" i="2"/>
  <c r="M1784" i="2"/>
  <c r="M1785" i="2"/>
  <c r="M1786" i="2"/>
  <c r="M1787" i="2"/>
  <c r="N1779" i="2"/>
  <c r="N1780" i="2"/>
  <c r="N1781" i="2"/>
  <c r="N1782" i="2"/>
  <c r="N1783" i="2"/>
  <c r="N1784" i="2"/>
  <c r="N1785" i="2"/>
  <c r="N1786" i="2"/>
  <c r="N1787" i="2"/>
  <c r="O1779" i="2"/>
  <c r="O1780" i="2"/>
  <c r="O1781" i="2"/>
  <c r="O1782" i="2"/>
  <c r="O1783" i="2"/>
  <c r="O1784" i="2"/>
  <c r="O1785" i="2"/>
  <c r="O1786" i="2"/>
  <c r="O1787" i="2"/>
  <c r="T1779" i="2"/>
  <c r="T1780" i="2"/>
  <c r="T1781" i="2"/>
  <c r="T1782" i="2"/>
  <c r="T1783" i="2"/>
  <c r="T1784" i="2"/>
  <c r="T1785" i="2"/>
  <c r="T1786" i="2"/>
  <c r="T1787" i="2"/>
  <c r="U1779" i="2"/>
  <c r="U1780" i="2"/>
  <c r="U1781" i="2"/>
  <c r="U1782" i="2"/>
  <c r="U1783" i="2"/>
  <c r="U1784" i="2"/>
  <c r="U1785" i="2"/>
  <c r="U1786" i="2"/>
  <c r="U1787" i="2"/>
  <c r="U1774" i="2"/>
  <c r="T1774" i="2"/>
  <c r="O1774" i="2"/>
  <c r="N1774" i="2"/>
  <c r="U1778" i="2"/>
  <c r="O1778" i="2"/>
  <c r="N1778" i="2"/>
  <c r="M1778" i="2"/>
  <c r="U1777" i="2"/>
  <c r="O1777" i="2"/>
  <c r="N1777" i="2"/>
  <c r="U1765" i="2"/>
  <c r="O1765" i="2"/>
  <c r="N1765" i="2"/>
  <c r="U1770" i="2"/>
  <c r="O1770" i="2"/>
  <c r="N1770" i="2"/>
  <c r="U1768" i="2"/>
  <c r="O1768" i="2"/>
  <c r="N1768" i="2"/>
  <c r="U1776" i="2"/>
  <c r="O1776" i="2"/>
  <c r="N1776" i="2"/>
  <c r="U1772" i="2"/>
  <c r="O1772" i="2"/>
  <c r="N1772" i="2"/>
  <c r="U1769" i="2"/>
  <c r="O1769" i="2"/>
  <c r="N1769" i="2"/>
  <c r="U1775" i="2"/>
  <c r="O1775" i="2"/>
  <c r="N1775" i="2"/>
  <c r="U1764" i="2"/>
  <c r="O1764" i="2"/>
  <c r="N1764" i="2"/>
  <c r="U1773" i="2"/>
  <c r="O1773" i="2"/>
  <c r="N1773" i="2"/>
  <c r="U1771" i="2"/>
  <c r="O1771" i="2"/>
  <c r="N1771" i="2"/>
  <c r="M1771" i="2"/>
  <c r="U1767" i="2"/>
  <c r="O1767" i="2"/>
  <c r="N1767" i="2"/>
  <c r="U1763" i="2"/>
  <c r="O1763" i="2"/>
  <c r="N1763" i="2"/>
  <c r="M1763" i="2"/>
  <c r="U1762" i="2"/>
  <c r="O1762" i="2"/>
  <c r="N1762" i="2"/>
  <c r="U1761" i="2"/>
  <c r="O1761" i="2"/>
  <c r="N1761" i="2"/>
  <c r="M1753" i="2"/>
  <c r="M1754" i="2"/>
  <c r="M1755" i="2"/>
  <c r="M1756" i="2"/>
  <c r="M1757" i="2"/>
  <c r="M1758" i="2"/>
  <c r="M1759" i="2"/>
  <c r="M1760" i="2"/>
  <c r="N1753" i="2"/>
  <c r="N1754" i="2"/>
  <c r="N1755" i="2"/>
  <c r="N1756" i="2"/>
  <c r="N1757" i="2"/>
  <c r="N1758" i="2"/>
  <c r="N1759" i="2"/>
  <c r="N1760" i="2"/>
  <c r="N1766" i="2"/>
  <c r="O1753" i="2"/>
  <c r="O1754" i="2"/>
  <c r="O1755" i="2"/>
  <c r="O1756" i="2"/>
  <c r="O1757" i="2"/>
  <c r="O1758" i="2"/>
  <c r="O1759" i="2"/>
  <c r="O1760" i="2"/>
  <c r="O1766" i="2"/>
  <c r="T1753" i="2"/>
  <c r="T1754" i="2"/>
  <c r="T1755" i="2"/>
  <c r="T1756" i="2"/>
  <c r="T1757" i="2"/>
  <c r="T1758" i="2"/>
  <c r="T1759" i="2"/>
  <c r="T1760" i="2"/>
  <c r="T1766" i="2"/>
  <c r="U1753" i="2"/>
  <c r="U1754" i="2"/>
  <c r="U1755" i="2"/>
  <c r="U1756" i="2"/>
  <c r="U1757" i="2"/>
  <c r="U1758" i="2"/>
  <c r="U1759" i="2"/>
  <c r="U1760" i="2"/>
  <c r="U1766" i="2"/>
  <c r="N1727" i="2"/>
  <c r="N1728" i="2"/>
  <c r="N1729" i="2"/>
  <c r="N1730" i="2"/>
  <c r="N1731" i="2"/>
  <c r="N1732" i="2"/>
  <c r="N1733" i="2"/>
  <c r="U1729" i="2"/>
  <c r="T1729" i="2"/>
  <c r="O1729" i="2"/>
  <c r="M1729" i="2"/>
  <c r="M1752" i="2"/>
  <c r="N1752" i="2"/>
  <c r="O1752" i="2"/>
  <c r="T1752" i="2"/>
  <c r="U1752" i="2"/>
  <c r="M1726" i="2"/>
  <c r="N1726" i="2"/>
  <c r="O1726" i="2"/>
  <c r="T1726" i="2"/>
  <c r="U1726" i="2"/>
  <c r="M1740" i="2"/>
  <c r="M1724" i="2"/>
  <c r="N1724" i="2"/>
  <c r="O1724" i="2"/>
  <c r="T1724" i="2"/>
  <c r="U1724" i="2"/>
  <c r="M1722" i="2"/>
  <c r="N1722" i="2"/>
  <c r="O1722" i="2"/>
  <c r="T1722" i="2"/>
  <c r="U1722" i="2"/>
  <c r="M1746" i="2"/>
  <c r="M1747" i="2"/>
  <c r="M1748" i="2"/>
  <c r="M1749" i="2"/>
  <c r="M1750" i="2"/>
  <c r="M1751" i="2"/>
  <c r="N1746" i="2"/>
  <c r="N1747" i="2"/>
  <c r="N1748" i="2"/>
  <c r="N1749" i="2"/>
  <c r="N1750" i="2"/>
  <c r="N1751" i="2"/>
  <c r="O1746" i="2"/>
  <c r="O1747" i="2"/>
  <c r="O1748" i="2"/>
  <c r="O1749" i="2"/>
  <c r="O1750" i="2"/>
  <c r="O1751" i="2"/>
  <c r="T1746" i="2"/>
  <c r="T1747" i="2"/>
  <c r="T1748" i="2"/>
  <c r="T1749" i="2"/>
  <c r="T1750" i="2"/>
  <c r="T1751" i="2"/>
  <c r="U1746" i="2"/>
  <c r="U1747" i="2"/>
  <c r="U1748" i="2"/>
  <c r="U1749" i="2"/>
  <c r="U1750" i="2"/>
  <c r="U1751" i="2"/>
  <c r="M1728" i="2"/>
  <c r="M1730" i="2"/>
  <c r="M1731" i="2"/>
  <c r="M1732" i="2"/>
  <c r="M1733" i="2"/>
  <c r="M1734" i="2"/>
  <c r="M1735" i="2"/>
  <c r="M1736" i="2"/>
  <c r="M1737" i="2"/>
  <c r="M1738" i="2"/>
  <c r="M1739" i="2"/>
  <c r="M1741" i="2"/>
  <c r="M1742" i="2"/>
  <c r="M1743" i="2"/>
  <c r="M1744" i="2"/>
  <c r="M1745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O1728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T1728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U1728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05" i="2"/>
  <c r="T1705" i="2"/>
  <c r="O1705" i="2"/>
  <c r="N1705" i="2"/>
  <c r="U1727" i="2"/>
  <c r="M1727" i="2"/>
  <c r="O1727" i="2"/>
  <c r="U1725" i="2"/>
  <c r="M1725" i="2"/>
  <c r="N1725" i="2"/>
  <c r="O1725" i="2"/>
  <c r="U1723" i="2"/>
  <c r="M1723" i="2"/>
  <c r="N1723" i="2"/>
  <c r="O1723" i="2"/>
  <c r="U1721" i="2"/>
  <c r="M1721" i="2"/>
  <c r="N1721" i="2"/>
  <c r="O1721" i="2"/>
  <c r="U1720" i="2"/>
  <c r="M1720" i="2"/>
  <c r="N1720" i="2"/>
  <c r="O1720" i="2"/>
  <c r="U1719" i="2"/>
  <c r="M1719" i="2"/>
  <c r="N1719" i="2"/>
  <c r="O1719" i="2"/>
  <c r="U1718" i="2"/>
  <c r="M1718" i="2"/>
  <c r="N1718" i="2"/>
  <c r="O1718" i="2"/>
  <c r="U1717" i="2"/>
  <c r="O1717" i="2"/>
  <c r="N1717" i="2"/>
  <c r="U1716" i="2"/>
  <c r="O1716" i="2"/>
  <c r="N1716" i="2"/>
  <c r="U1715" i="2"/>
  <c r="O1715" i="2"/>
  <c r="N1715" i="2"/>
  <c r="U1714" i="2"/>
  <c r="O1714" i="2"/>
  <c r="N1714" i="2"/>
  <c r="U1713" i="2"/>
  <c r="O1713" i="2"/>
  <c r="N1713" i="2"/>
  <c r="U1712" i="2"/>
  <c r="O1712" i="2"/>
  <c r="N1712" i="2"/>
  <c r="U1711" i="2"/>
  <c r="O1711" i="2"/>
  <c r="N1711" i="2"/>
  <c r="U1710" i="2"/>
  <c r="O1710" i="2"/>
  <c r="N1710" i="2"/>
  <c r="U1709" i="2"/>
  <c r="O1709" i="2"/>
  <c r="N1709" i="2"/>
  <c r="U1708" i="2"/>
  <c r="O1708" i="2"/>
  <c r="N1708" i="2"/>
  <c r="U1707" i="2"/>
  <c r="O1707" i="2"/>
  <c r="N1707" i="2"/>
  <c r="U1706" i="2"/>
  <c r="O1706" i="2"/>
  <c r="N1706" i="2"/>
  <c r="M1706" i="2"/>
  <c r="U1704" i="2"/>
  <c r="O1704" i="2"/>
  <c r="N1704" i="2"/>
  <c r="U1703" i="2"/>
  <c r="O1703" i="2"/>
  <c r="N1703" i="2"/>
  <c r="U1702" i="2"/>
  <c r="O1702" i="2"/>
  <c r="N1702" i="2"/>
  <c r="U1701" i="2"/>
  <c r="O1701" i="2"/>
  <c r="N1701" i="2"/>
  <c r="U1700" i="2"/>
  <c r="O1700" i="2"/>
  <c r="N1700" i="2"/>
  <c r="U1699" i="2"/>
  <c r="O1699" i="2"/>
  <c r="N1699" i="2"/>
  <c r="M1695" i="2"/>
  <c r="M1696" i="2"/>
  <c r="M1697" i="2"/>
  <c r="N1695" i="2"/>
  <c r="N1696" i="2"/>
  <c r="N1697" i="2"/>
  <c r="N1698" i="2"/>
  <c r="O1695" i="2"/>
  <c r="O1696" i="2"/>
  <c r="O1697" i="2"/>
  <c r="O1698" i="2"/>
  <c r="T1695" i="2"/>
  <c r="T1696" i="2"/>
  <c r="T1697" i="2"/>
  <c r="T1698" i="2"/>
  <c r="U1695" i="2"/>
  <c r="U1696" i="2"/>
  <c r="U1697" i="2"/>
  <c r="U1698" i="2"/>
  <c r="N1686" i="2"/>
  <c r="O1686" i="2"/>
  <c r="T1686" i="2"/>
  <c r="U1686" i="2"/>
  <c r="O1694" i="2"/>
  <c r="N1694" i="2"/>
  <c r="M1694" i="2"/>
  <c r="O1693" i="2"/>
  <c r="N1693" i="2"/>
  <c r="M1693" i="2"/>
  <c r="O1692" i="2"/>
  <c r="N1692" i="2"/>
  <c r="M1692" i="2"/>
  <c r="O1691" i="2"/>
  <c r="N1691" i="2"/>
  <c r="O1690" i="2"/>
  <c r="N1690" i="2"/>
  <c r="O1689" i="2"/>
  <c r="N1689" i="2"/>
  <c r="O1688" i="2"/>
  <c r="N1688" i="2"/>
  <c r="O1687" i="2"/>
  <c r="N1687" i="2"/>
  <c r="O1685" i="2"/>
  <c r="N1685" i="2"/>
  <c r="M1685" i="2"/>
  <c r="O1684" i="2"/>
  <c r="N1684" i="2"/>
  <c r="O1683" i="2"/>
  <c r="N1683" i="2"/>
  <c r="M1683" i="2"/>
  <c r="O1682" i="2"/>
  <c r="N1682" i="2"/>
  <c r="O1681" i="2"/>
  <c r="N1681" i="2"/>
  <c r="O1680" i="2"/>
  <c r="N1680" i="2"/>
  <c r="O1679" i="2"/>
  <c r="N1679" i="2"/>
  <c r="M1679" i="2"/>
  <c r="O1678" i="2"/>
  <c r="N1678" i="2"/>
  <c r="O1677" i="2"/>
  <c r="N1677" i="2"/>
  <c r="M1677" i="2"/>
  <c r="O1676" i="2"/>
  <c r="N1676" i="2"/>
  <c r="M1676" i="2"/>
  <c r="O1675" i="2"/>
  <c r="N1675" i="2"/>
  <c r="M1675" i="2"/>
  <c r="O1674" i="2"/>
  <c r="N1674" i="2"/>
  <c r="M1674" i="2"/>
  <c r="O1673" i="2"/>
  <c r="N1673" i="2"/>
  <c r="M1673" i="2"/>
  <c r="O1672" i="2"/>
  <c r="N1672" i="2"/>
  <c r="M1672" i="2"/>
  <c r="O1671" i="2"/>
  <c r="N1671" i="2"/>
  <c r="M1671" i="2"/>
  <c r="O1670" i="2"/>
  <c r="N1670" i="2"/>
  <c r="M1669" i="2"/>
  <c r="N1669" i="2"/>
  <c r="O1669" i="2"/>
  <c r="T1669" i="2"/>
  <c r="U1669" i="2"/>
  <c r="N1659" i="2"/>
  <c r="O1659" i="2"/>
  <c r="T1659" i="2"/>
  <c r="U1659" i="2"/>
  <c r="N1654" i="2"/>
  <c r="O1654" i="2"/>
  <c r="T1654" i="2"/>
  <c r="U1654" i="2"/>
  <c r="U1668" i="2"/>
  <c r="O1668" i="2"/>
  <c r="N1668" i="2"/>
  <c r="M1668" i="2"/>
  <c r="U1667" i="2"/>
  <c r="O1667" i="2"/>
  <c r="N1667" i="2"/>
  <c r="M1667" i="2"/>
  <c r="U1666" i="2"/>
  <c r="O1666" i="2"/>
  <c r="N1666" i="2"/>
  <c r="M1666" i="2"/>
  <c r="U1665" i="2"/>
  <c r="O1665" i="2"/>
  <c r="N1665" i="2"/>
  <c r="U1664" i="2"/>
  <c r="O1664" i="2"/>
  <c r="N1664" i="2"/>
  <c r="U1663" i="2"/>
  <c r="O1663" i="2"/>
  <c r="N1663" i="2"/>
  <c r="U1662" i="2"/>
  <c r="O1662" i="2"/>
  <c r="N1662" i="2"/>
  <c r="U1661" i="2"/>
  <c r="O1661" i="2"/>
  <c r="N1661" i="2"/>
  <c r="U1660" i="2"/>
  <c r="O1660" i="2"/>
  <c r="N1660" i="2"/>
  <c r="U1658" i="2"/>
  <c r="O1658" i="2"/>
  <c r="N1658" i="2"/>
  <c r="U1657" i="2"/>
  <c r="O1657" i="2"/>
  <c r="N1657" i="2"/>
  <c r="U1656" i="2"/>
  <c r="O1656" i="2"/>
  <c r="N1656" i="2"/>
  <c r="U1655" i="2"/>
  <c r="O1655" i="2"/>
  <c r="N1655" i="2"/>
  <c r="U1653" i="2"/>
  <c r="O1653" i="2"/>
  <c r="N1653" i="2"/>
  <c r="U1652" i="2"/>
  <c r="O1652" i="2"/>
  <c r="N1652" i="2"/>
  <c r="U1651" i="2"/>
  <c r="O1651" i="2"/>
  <c r="N1651" i="2"/>
  <c r="U1650" i="2"/>
  <c r="O1650" i="2"/>
  <c r="N1650" i="2"/>
  <c r="U1641" i="2"/>
  <c r="T1641" i="2"/>
  <c r="O1641" i="2"/>
  <c r="N1641" i="2"/>
  <c r="M1641" i="2"/>
  <c r="U1649" i="2"/>
  <c r="N1649" i="2"/>
  <c r="O1649" i="2"/>
  <c r="U1648" i="2"/>
  <c r="N1648" i="2"/>
  <c r="O1648" i="2"/>
  <c r="U1647" i="2"/>
  <c r="N1647" i="2"/>
  <c r="O1647" i="2"/>
  <c r="U1646" i="2"/>
  <c r="N1646" i="2"/>
  <c r="O1646" i="2"/>
  <c r="U1645" i="2"/>
  <c r="N1645" i="2"/>
  <c r="O1645" i="2"/>
  <c r="U1644" i="2"/>
  <c r="N1644" i="2"/>
  <c r="O1644" i="2"/>
  <c r="N1643" i="2"/>
  <c r="O1643" i="2"/>
  <c r="T1643" i="2"/>
  <c r="U1643" i="2"/>
  <c r="M1642" i="2"/>
  <c r="N1642" i="2"/>
  <c r="O1642" i="2"/>
  <c r="T1642" i="2"/>
  <c r="U1642" i="2"/>
  <c r="N1633" i="2"/>
  <c r="O1633" i="2"/>
  <c r="T1633" i="2"/>
  <c r="U1633" i="2"/>
  <c r="U1640" i="2"/>
  <c r="O1640" i="2"/>
  <c r="N1640" i="2"/>
  <c r="M1640" i="2"/>
  <c r="U1639" i="2"/>
  <c r="O1639" i="2"/>
  <c r="N1639" i="2"/>
  <c r="M1639" i="2"/>
  <c r="U1638" i="2"/>
  <c r="O1638" i="2"/>
  <c r="N1638" i="2"/>
  <c r="M1638" i="2"/>
  <c r="U1637" i="2"/>
  <c r="O1637" i="2"/>
  <c r="N1637" i="2"/>
  <c r="M1637" i="2"/>
  <c r="U1636" i="2"/>
  <c r="O1636" i="2"/>
  <c r="N1636" i="2"/>
  <c r="M1636" i="2"/>
  <c r="U1635" i="2"/>
  <c r="O1635" i="2"/>
  <c r="N1635" i="2"/>
  <c r="M1635" i="2"/>
  <c r="U1634" i="2"/>
  <c r="O1634" i="2"/>
  <c r="N1634" i="2"/>
  <c r="M1634" i="2"/>
  <c r="U1632" i="2"/>
  <c r="O1632" i="2"/>
  <c r="N1632" i="2"/>
  <c r="M1632" i="2"/>
  <c r="U1631" i="2"/>
  <c r="O1631" i="2"/>
  <c r="N1631" i="2"/>
  <c r="M1631" i="2"/>
  <c r="U1630" i="2"/>
  <c r="O1630" i="2"/>
  <c r="N1630" i="2"/>
  <c r="U1629" i="2"/>
  <c r="O1629" i="2"/>
  <c r="N1629" i="2"/>
  <c r="M1629" i="2"/>
  <c r="U1628" i="2"/>
  <c r="O1628" i="2"/>
  <c r="N1628" i="2"/>
  <c r="U1627" i="2"/>
  <c r="O1627" i="2"/>
  <c r="N1627" i="2"/>
  <c r="M1627" i="2"/>
  <c r="U1626" i="2"/>
  <c r="O1626" i="2"/>
  <c r="N1626" i="2"/>
  <c r="U1625" i="2"/>
  <c r="O1625" i="2"/>
  <c r="N1625" i="2"/>
  <c r="M1625" i="2"/>
  <c r="U1624" i="2"/>
  <c r="O1624" i="2"/>
  <c r="N1624" i="2"/>
  <c r="M1624" i="2"/>
  <c r="U1623" i="2"/>
  <c r="O1623" i="2"/>
  <c r="N1623" i="2"/>
  <c r="U1622" i="2"/>
  <c r="O1622" i="2"/>
  <c r="N1622" i="2"/>
  <c r="M1622" i="2"/>
  <c r="U1621" i="2"/>
  <c r="O1621" i="2"/>
  <c r="N1621" i="2"/>
  <c r="M1621" i="2"/>
  <c r="U1620" i="2"/>
  <c r="O1620" i="2"/>
  <c r="N1620" i="2"/>
  <c r="M1620" i="2"/>
  <c r="U1619" i="2"/>
  <c r="O1619" i="2"/>
  <c r="N1619" i="2"/>
  <c r="M1619" i="2"/>
  <c r="U1618" i="2"/>
  <c r="M1618" i="2"/>
  <c r="N1618" i="2"/>
  <c r="O1618" i="2"/>
  <c r="U1617" i="2"/>
  <c r="M1617" i="2"/>
  <c r="N1617" i="2"/>
  <c r="O1617" i="2"/>
  <c r="U1616" i="2"/>
  <c r="M1616" i="2"/>
  <c r="N1616" i="2"/>
  <c r="O1616" i="2"/>
  <c r="U1615" i="2"/>
  <c r="M1615" i="2"/>
  <c r="N1615" i="2"/>
  <c r="O1615" i="2"/>
  <c r="U1614" i="2"/>
  <c r="M1614" i="2"/>
  <c r="N1614" i="2"/>
  <c r="O1614" i="2"/>
  <c r="U1611" i="2"/>
  <c r="N1611" i="2"/>
  <c r="N1602" i="2"/>
  <c r="O1602" i="2"/>
  <c r="T1602" i="2"/>
  <c r="U1602" i="2"/>
  <c r="U1601" i="2"/>
  <c r="T1601" i="2"/>
  <c r="O1601" i="2"/>
  <c r="N1601" i="2"/>
  <c r="M1596" i="2"/>
  <c r="N1596" i="2"/>
  <c r="O1596" i="2"/>
  <c r="T1596" i="2"/>
  <c r="U1596" i="2"/>
  <c r="U1613" i="2"/>
  <c r="O1613" i="2"/>
  <c r="N1613" i="2"/>
  <c r="M1613" i="2"/>
  <c r="U1612" i="2"/>
  <c r="O1612" i="2"/>
  <c r="N1612" i="2"/>
  <c r="M1612" i="2"/>
  <c r="O1611" i="2"/>
  <c r="M1611" i="2"/>
  <c r="U1610" i="2"/>
  <c r="O1610" i="2"/>
  <c r="N1610" i="2"/>
  <c r="U1609" i="2"/>
  <c r="O1609" i="2"/>
  <c r="N1609" i="2"/>
  <c r="U1608" i="2"/>
  <c r="O1608" i="2"/>
  <c r="N1608" i="2"/>
  <c r="M1608" i="2"/>
  <c r="U1607" i="2"/>
  <c r="O1607" i="2"/>
  <c r="N1607" i="2"/>
  <c r="M1607" i="2"/>
  <c r="U1606" i="2"/>
  <c r="O1606" i="2"/>
  <c r="N1606" i="2"/>
  <c r="U1605" i="2"/>
  <c r="O1605" i="2"/>
  <c r="N1605" i="2"/>
  <c r="M1605" i="2"/>
  <c r="U1604" i="2"/>
  <c r="O1604" i="2"/>
  <c r="N1604" i="2"/>
  <c r="M1604" i="2"/>
  <c r="U1603" i="2"/>
  <c r="O1603" i="2"/>
  <c r="N1603" i="2"/>
  <c r="U1600" i="2"/>
  <c r="O1600" i="2"/>
  <c r="N1600" i="2"/>
  <c r="M1600" i="2"/>
  <c r="U1599" i="2"/>
  <c r="O1599" i="2"/>
  <c r="N1599" i="2"/>
  <c r="M1599" i="2"/>
  <c r="U1598" i="2"/>
  <c r="O1598" i="2"/>
  <c r="N1598" i="2"/>
  <c r="M1598" i="2"/>
  <c r="U1597" i="2"/>
  <c r="O1597" i="2"/>
  <c r="N1597" i="2"/>
  <c r="M1597" i="2"/>
  <c r="U1595" i="2"/>
  <c r="O1595" i="2"/>
  <c r="N1595" i="2"/>
  <c r="M1595" i="2"/>
  <c r="U1594" i="2"/>
  <c r="O1594" i="2"/>
  <c r="N1594" i="2"/>
  <c r="M1594" i="2"/>
  <c r="U1593" i="2"/>
  <c r="O1593" i="2"/>
  <c r="N1593" i="2"/>
  <c r="M1593" i="2"/>
  <c r="U1592" i="2"/>
  <c r="O1592" i="2"/>
  <c r="N1592" i="2"/>
  <c r="M1592" i="2"/>
  <c r="U1591" i="2"/>
  <c r="O1591" i="2"/>
  <c r="N1591" i="2"/>
  <c r="M1591" i="2"/>
  <c r="U1590" i="2"/>
  <c r="O1590" i="2"/>
  <c r="N1590" i="2"/>
  <c r="M1590" i="2"/>
  <c r="U1589" i="2"/>
  <c r="O1589" i="2"/>
  <c r="N1589" i="2"/>
  <c r="M1589" i="2"/>
  <c r="U1588" i="2"/>
  <c r="O1588" i="2"/>
  <c r="N1588" i="2"/>
  <c r="M1588" i="2"/>
  <c r="U1587" i="2"/>
  <c r="O1587" i="2"/>
  <c r="N1587" i="2"/>
  <c r="U1586" i="2"/>
  <c r="O1586" i="2"/>
  <c r="N1586" i="2"/>
  <c r="M1586" i="2"/>
  <c r="U1585" i="2"/>
  <c r="O1585" i="2"/>
  <c r="N1585" i="2"/>
  <c r="M1585" i="2"/>
  <c r="U1584" i="2"/>
  <c r="O1584" i="2"/>
  <c r="N1584" i="2"/>
  <c r="M1584" i="2"/>
  <c r="U1583" i="2"/>
  <c r="O1583" i="2"/>
  <c r="N1583" i="2"/>
  <c r="M1583" i="2"/>
  <c r="U1582" i="2"/>
  <c r="O1582" i="2"/>
  <c r="N1582" i="2"/>
  <c r="M1582" i="2"/>
  <c r="U1581" i="2"/>
  <c r="O1581" i="2"/>
  <c r="N1581" i="2"/>
  <c r="U1580" i="2"/>
  <c r="O1580" i="2"/>
  <c r="N1580" i="2"/>
  <c r="M1580" i="2"/>
  <c r="U1579" i="2"/>
  <c r="O1579" i="2"/>
  <c r="N1579" i="2"/>
  <c r="M1579" i="2"/>
  <c r="U1578" i="2"/>
  <c r="O1578" i="2"/>
  <c r="N1578" i="2"/>
  <c r="U1577" i="2"/>
  <c r="O1577" i="2"/>
  <c r="N1577" i="2"/>
  <c r="M1577" i="2"/>
  <c r="U1576" i="2"/>
  <c r="O1576" i="2"/>
  <c r="N1576" i="2"/>
  <c r="U1575" i="2"/>
  <c r="O1575" i="2"/>
  <c r="N1575" i="2"/>
  <c r="M1575" i="2"/>
  <c r="U1574" i="2"/>
  <c r="O1574" i="2"/>
  <c r="N1574" i="2"/>
  <c r="M1574" i="2"/>
  <c r="U1573" i="2"/>
  <c r="O1573" i="2"/>
  <c r="N1573" i="2"/>
  <c r="M1573" i="2"/>
  <c r="U1572" i="2"/>
  <c r="O1572" i="2"/>
  <c r="N1572" i="2"/>
  <c r="M1572" i="2"/>
  <c r="U1571" i="2"/>
  <c r="O1571" i="2"/>
  <c r="N1571" i="2"/>
  <c r="M1571" i="2"/>
  <c r="U1570" i="2"/>
  <c r="O1570" i="2"/>
  <c r="N1570" i="2"/>
  <c r="U1569" i="2"/>
  <c r="O1569" i="2"/>
  <c r="N1569" i="2"/>
  <c r="U1568" i="2"/>
  <c r="O1568" i="2"/>
  <c r="N1568" i="2"/>
  <c r="M1568" i="2"/>
  <c r="U1567" i="2"/>
  <c r="O1567" i="2"/>
  <c r="N1567" i="2"/>
  <c r="M1567" i="2"/>
  <c r="U1566" i="2"/>
  <c r="O1566" i="2"/>
  <c r="N1566" i="2"/>
  <c r="M1566" i="2"/>
  <c r="U1565" i="2"/>
  <c r="O1565" i="2"/>
  <c r="N1565" i="2"/>
  <c r="U1564" i="2"/>
  <c r="O1564" i="2"/>
  <c r="N1564" i="2"/>
  <c r="M1564" i="2"/>
  <c r="U1563" i="2"/>
  <c r="O1563" i="2"/>
  <c r="N1563" i="2"/>
  <c r="M1563" i="2"/>
  <c r="U1562" i="2"/>
  <c r="O1562" i="2"/>
  <c r="N1562" i="2"/>
  <c r="M1562" i="2"/>
  <c r="U1561" i="2"/>
  <c r="O1561" i="2"/>
  <c r="N1561" i="2"/>
  <c r="M1561" i="2"/>
  <c r="U1560" i="2"/>
  <c r="O1560" i="2"/>
  <c r="N1560" i="2"/>
  <c r="U1559" i="2"/>
  <c r="O1559" i="2"/>
  <c r="N1559" i="2"/>
  <c r="M1559" i="2"/>
  <c r="U1558" i="2"/>
  <c r="O1558" i="2"/>
  <c r="N1558" i="2"/>
  <c r="M1558" i="2"/>
  <c r="U1557" i="2"/>
  <c r="O1557" i="2"/>
  <c r="N1557" i="2"/>
  <c r="M1557" i="2"/>
  <c r="U1556" i="2"/>
  <c r="O1556" i="2"/>
  <c r="N1556" i="2"/>
  <c r="M1556" i="2"/>
  <c r="U1555" i="2"/>
  <c r="O1555" i="2"/>
  <c r="N1555" i="2"/>
  <c r="M1555" i="2"/>
  <c r="U1554" i="2"/>
  <c r="O1554" i="2"/>
  <c r="N1554" i="2"/>
  <c r="M1554" i="2"/>
  <c r="N1539" i="2"/>
  <c r="O1539" i="2"/>
  <c r="T1539" i="2"/>
  <c r="U1539" i="2"/>
  <c r="U1553" i="2"/>
  <c r="O1553" i="2"/>
  <c r="N1553" i="2"/>
  <c r="M1553" i="2"/>
  <c r="U1552" i="2"/>
  <c r="O1552" i="2"/>
  <c r="N1552" i="2"/>
  <c r="U1551" i="2"/>
  <c r="O1551" i="2"/>
  <c r="N1551" i="2"/>
  <c r="M1551" i="2"/>
  <c r="U1550" i="2"/>
  <c r="O1550" i="2"/>
  <c r="N1550" i="2"/>
  <c r="M1550" i="2"/>
  <c r="U1549" i="2"/>
  <c r="O1549" i="2"/>
  <c r="N1549" i="2"/>
  <c r="M1549" i="2"/>
  <c r="U1548" i="2"/>
  <c r="O1548" i="2"/>
  <c r="N1548" i="2"/>
  <c r="M1548" i="2"/>
  <c r="U1547" i="2"/>
  <c r="O1547" i="2"/>
  <c r="N1547" i="2"/>
  <c r="M1547" i="2"/>
  <c r="U1546" i="2"/>
  <c r="O1546" i="2"/>
  <c r="N1546" i="2"/>
  <c r="U1545" i="2"/>
  <c r="O1545" i="2"/>
  <c r="N1545" i="2"/>
  <c r="M1545" i="2"/>
  <c r="U1544" i="2"/>
  <c r="O1544" i="2"/>
  <c r="N1544" i="2"/>
  <c r="M1544" i="2"/>
  <c r="U1543" i="2"/>
  <c r="O1543" i="2"/>
  <c r="N1543" i="2"/>
  <c r="M1543" i="2"/>
  <c r="U1542" i="2"/>
  <c r="O1542" i="2"/>
  <c r="N1542" i="2"/>
  <c r="U1541" i="2"/>
  <c r="O1541" i="2"/>
  <c r="N1541" i="2"/>
  <c r="M1541" i="2"/>
  <c r="U1540" i="2"/>
  <c r="O1540" i="2"/>
  <c r="N1540" i="2"/>
  <c r="U1538" i="2"/>
  <c r="O1538" i="2"/>
  <c r="N1538" i="2"/>
  <c r="M1538" i="2"/>
  <c r="U1537" i="2"/>
  <c r="O1537" i="2"/>
  <c r="N1537" i="2"/>
  <c r="M1537" i="2"/>
  <c r="U1536" i="2"/>
  <c r="O1536" i="2"/>
  <c r="N1536" i="2"/>
  <c r="M1536" i="2"/>
  <c r="U1535" i="2"/>
  <c r="O1535" i="2"/>
  <c r="N1535" i="2"/>
  <c r="U1534" i="2"/>
  <c r="O1534" i="2"/>
  <c r="N1534" i="2"/>
  <c r="M1534" i="2"/>
  <c r="U1533" i="2"/>
  <c r="O1533" i="2"/>
  <c r="N1533" i="2"/>
  <c r="M1533" i="2"/>
  <c r="U1532" i="2"/>
  <c r="O1532" i="2"/>
  <c r="N1532" i="2"/>
  <c r="M1532" i="2"/>
  <c r="U1531" i="2"/>
  <c r="O1531" i="2"/>
  <c r="N1531" i="2"/>
  <c r="M1531" i="2"/>
  <c r="U1530" i="2"/>
  <c r="O1530" i="2"/>
  <c r="N1530" i="2"/>
  <c r="M1530" i="2"/>
  <c r="U1529" i="2"/>
  <c r="O1529" i="2"/>
  <c r="N1529" i="2"/>
  <c r="M1529" i="2"/>
  <c r="U1528" i="2"/>
  <c r="O1528" i="2"/>
  <c r="N1528" i="2"/>
  <c r="M1528" i="2"/>
  <c r="M1527" i="2"/>
  <c r="N1527" i="2"/>
  <c r="O1527" i="2"/>
  <c r="T1527" i="2"/>
  <c r="U1527" i="2"/>
  <c r="M1526" i="2"/>
  <c r="N1526" i="2"/>
  <c r="O1526" i="2"/>
  <c r="T1526" i="2"/>
  <c r="U1526" i="2"/>
  <c r="N1519" i="2"/>
  <c r="O1519" i="2"/>
  <c r="T1519" i="2"/>
  <c r="U1519" i="2"/>
  <c r="U1525" i="2"/>
  <c r="M1525" i="2"/>
  <c r="N1525" i="2"/>
  <c r="O1525" i="2"/>
  <c r="U1524" i="2"/>
  <c r="N1524" i="2"/>
  <c r="O1524" i="2"/>
  <c r="U1523" i="2"/>
  <c r="M1523" i="2"/>
  <c r="N1523" i="2"/>
  <c r="O1523" i="2"/>
  <c r="U1522" i="2"/>
  <c r="M1522" i="2"/>
  <c r="N1522" i="2"/>
  <c r="O1522" i="2"/>
  <c r="U1521" i="2"/>
  <c r="M1521" i="2"/>
  <c r="N1521" i="2"/>
  <c r="O1521" i="2"/>
  <c r="N1506" i="2"/>
  <c r="O1506" i="2"/>
  <c r="T1506" i="2"/>
  <c r="U1506" i="2"/>
  <c r="U1520" i="2"/>
  <c r="O1520" i="2"/>
  <c r="N1520" i="2"/>
  <c r="M1520" i="2"/>
  <c r="U1518" i="2"/>
  <c r="O1518" i="2"/>
  <c r="N1518" i="2"/>
  <c r="M1518" i="2"/>
  <c r="U1517" i="2"/>
  <c r="O1517" i="2"/>
  <c r="N1517" i="2"/>
  <c r="M1517" i="2"/>
  <c r="U1516" i="2"/>
  <c r="O1516" i="2"/>
  <c r="N1516" i="2"/>
  <c r="U1515" i="2"/>
  <c r="O1515" i="2"/>
  <c r="N1515" i="2"/>
  <c r="M1515" i="2"/>
  <c r="U1514" i="2"/>
  <c r="O1514" i="2"/>
  <c r="N1514" i="2"/>
  <c r="M1514" i="2"/>
  <c r="U1513" i="2"/>
  <c r="O1513" i="2"/>
  <c r="N1513" i="2"/>
  <c r="M1513" i="2"/>
  <c r="U1512" i="2"/>
  <c r="O1512" i="2"/>
  <c r="N1512" i="2"/>
  <c r="U1511" i="2"/>
  <c r="O1511" i="2"/>
  <c r="N1511" i="2"/>
  <c r="U1510" i="2"/>
  <c r="O1510" i="2"/>
  <c r="N1510" i="2"/>
  <c r="U1509" i="2"/>
  <c r="O1509" i="2"/>
  <c r="N1509" i="2"/>
  <c r="M1509" i="2"/>
  <c r="U1508" i="2"/>
  <c r="O1508" i="2"/>
  <c r="N1508" i="2"/>
  <c r="M1508" i="2"/>
  <c r="U1507" i="2"/>
  <c r="O1507" i="2"/>
  <c r="N1507" i="2"/>
  <c r="U1505" i="2"/>
  <c r="O1505" i="2"/>
  <c r="N1505" i="2"/>
  <c r="M1505" i="2"/>
  <c r="U1504" i="2"/>
  <c r="O1504" i="2"/>
  <c r="N1504" i="2"/>
  <c r="M1504" i="2"/>
  <c r="U1503" i="2"/>
  <c r="O1503" i="2"/>
  <c r="N1503" i="2"/>
  <c r="M1503" i="2"/>
  <c r="U1502" i="2"/>
  <c r="O1502" i="2"/>
  <c r="N1502" i="2"/>
  <c r="M1502" i="2"/>
  <c r="U1501" i="2"/>
  <c r="O1501" i="2"/>
  <c r="N1501" i="2"/>
  <c r="M1501" i="2"/>
  <c r="M1500" i="2"/>
  <c r="N1500" i="2"/>
  <c r="O1500" i="2"/>
  <c r="T1500" i="2"/>
  <c r="U1500" i="2"/>
  <c r="M1498" i="2"/>
  <c r="M1499" i="2"/>
  <c r="N1498" i="2"/>
  <c r="N1499" i="2"/>
  <c r="O1498" i="2"/>
  <c r="O1499" i="2"/>
  <c r="T1498" i="2"/>
  <c r="T1499" i="2"/>
  <c r="U1498" i="2"/>
  <c r="U1499" i="2"/>
  <c r="M1497" i="2"/>
  <c r="N1497" i="2"/>
  <c r="O1497" i="2"/>
  <c r="T1497" i="2"/>
  <c r="U1497" i="2"/>
  <c r="M1496" i="2"/>
  <c r="N1496" i="2"/>
  <c r="O1496" i="2"/>
  <c r="T1496" i="2"/>
  <c r="U1496" i="2"/>
  <c r="M1495" i="2"/>
  <c r="N1495" i="2"/>
  <c r="O1495" i="2"/>
  <c r="T1495" i="2"/>
  <c r="U1495" i="2"/>
  <c r="M1494" i="2"/>
  <c r="N1494" i="2"/>
  <c r="O1494" i="2"/>
  <c r="T1494" i="2"/>
  <c r="U1494" i="2"/>
  <c r="M1493" i="2"/>
  <c r="N1493" i="2"/>
  <c r="O1493" i="2"/>
  <c r="T1493" i="2"/>
  <c r="U1493" i="2"/>
  <c r="M1492" i="2"/>
  <c r="N1492" i="2"/>
  <c r="O1492" i="2"/>
  <c r="T1492" i="2"/>
  <c r="U1492" i="2"/>
  <c r="M1491" i="2"/>
  <c r="N1491" i="2"/>
  <c r="O1491" i="2"/>
  <c r="T1491" i="2"/>
  <c r="U1491" i="2"/>
  <c r="M1490" i="2"/>
  <c r="N1490" i="2"/>
  <c r="O1490" i="2"/>
  <c r="T1490" i="2"/>
  <c r="U1490" i="2"/>
  <c r="M1489" i="2"/>
  <c r="N1489" i="2"/>
  <c r="O1489" i="2"/>
  <c r="T1489" i="2"/>
  <c r="U1489" i="2"/>
  <c r="U1488" i="2"/>
  <c r="M1488" i="2"/>
  <c r="N1488" i="2"/>
  <c r="O1488" i="2"/>
  <c r="U1487" i="2"/>
  <c r="M1487" i="2"/>
  <c r="N1487" i="2"/>
  <c r="O1487" i="2"/>
  <c r="U1486" i="2"/>
  <c r="M1486" i="2"/>
  <c r="N1486" i="2"/>
  <c r="O1486" i="2"/>
  <c r="U1485" i="2"/>
  <c r="M1485" i="2"/>
  <c r="N1485" i="2"/>
  <c r="O1485" i="2"/>
  <c r="U1484" i="2"/>
  <c r="M1484" i="2"/>
  <c r="O1484" i="2"/>
  <c r="U1483" i="2"/>
  <c r="M1483" i="2"/>
  <c r="N1483" i="2"/>
  <c r="O1483" i="2"/>
  <c r="U1482" i="2"/>
  <c r="M1482" i="2"/>
  <c r="N1482" i="2"/>
  <c r="O1482" i="2"/>
  <c r="U1481" i="2"/>
  <c r="M1481" i="2"/>
  <c r="N1481" i="2"/>
  <c r="O1481" i="2"/>
  <c r="T1480" i="2"/>
  <c r="M1480" i="2"/>
  <c r="N1480" i="2"/>
  <c r="O1480" i="2"/>
  <c r="O1479" i="2"/>
  <c r="N1479" i="2"/>
  <c r="M1479" i="2"/>
  <c r="O1478" i="2"/>
  <c r="N1478" i="2"/>
  <c r="M1478" i="2"/>
  <c r="O1477" i="2"/>
  <c r="N1477" i="2"/>
  <c r="M1477" i="2"/>
  <c r="O1476" i="2"/>
  <c r="N1476" i="2"/>
  <c r="M1476" i="2"/>
  <c r="O1475" i="2"/>
  <c r="N1475" i="2"/>
  <c r="M1475" i="2"/>
  <c r="O1474" i="2"/>
  <c r="N1474" i="2"/>
  <c r="M1474" i="2"/>
  <c r="O1473" i="2"/>
  <c r="N1473" i="2"/>
  <c r="M1473" i="2"/>
  <c r="O1472" i="2"/>
  <c r="N1472" i="2"/>
  <c r="M1472" i="2"/>
  <c r="O1471" i="2"/>
  <c r="N1471" i="2"/>
  <c r="M1471" i="2"/>
  <c r="O1470" i="2"/>
  <c r="N1470" i="2"/>
  <c r="M1470" i="2"/>
  <c r="O1469" i="2"/>
  <c r="N1469" i="2"/>
  <c r="O1468" i="2"/>
  <c r="N1468" i="2"/>
  <c r="M1468" i="2"/>
  <c r="O1467" i="2"/>
  <c r="N1467" i="2"/>
  <c r="M1467" i="2"/>
  <c r="O1466" i="2"/>
  <c r="N1466" i="2"/>
  <c r="M1466" i="2"/>
  <c r="M1448" i="2"/>
  <c r="N1448" i="2"/>
  <c r="O1448" i="2"/>
  <c r="T1448" i="2"/>
  <c r="U1448" i="2"/>
  <c r="M1447" i="2"/>
  <c r="N1447" i="2"/>
  <c r="O1447" i="2"/>
  <c r="T1447" i="2"/>
  <c r="U1447" i="2"/>
  <c r="O1465" i="2"/>
  <c r="N1465" i="2"/>
  <c r="M1465" i="2"/>
  <c r="O1464" i="2"/>
  <c r="N1464" i="2"/>
  <c r="O1463" i="2"/>
  <c r="N1463" i="2"/>
  <c r="M1463" i="2"/>
  <c r="O1459" i="2"/>
  <c r="N1459" i="2"/>
  <c r="M1459" i="2"/>
  <c r="O1462" i="2"/>
  <c r="N1462" i="2"/>
  <c r="O1458" i="2"/>
  <c r="N1458" i="2"/>
  <c r="M1458" i="2"/>
  <c r="O1461" i="2"/>
  <c r="N1461" i="2"/>
  <c r="O1457" i="2"/>
  <c r="N1457" i="2"/>
  <c r="M1457" i="2"/>
  <c r="O1460" i="2"/>
  <c r="N1460" i="2"/>
  <c r="M1460" i="2"/>
  <c r="O1456" i="2"/>
  <c r="N1456" i="2"/>
  <c r="O1455" i="2"/>
  <c r="N1455" i="2"/>
  <c r="M1455" i="2"/>
  <c r="O1454" i="2"/>
  <c r="N1454" i="2"/>
  <c r="M1454" i="2"/>
  <c r="O1453" i="2"/>
  <c r="N1453" i="2"/>
  <c r="M1453" i="2"/>
  <c r="O1452" i="2"/>
  <c r="N1452" i="2"/>
  <c r="O1451" i="2"/>
  <c r="N1451" i="2"/>
  <c r="M1451" i="2"/>
  <c r="O1450" i="2"/>
  <c r="N1450" i="2"/>
  <c r="O1449" i="2"/>
  <c r="N1449" i="2"/>
  <c r="M1449" i="2"/>
  <c r="U1436" i="2"/>
  <c r="T1436" i="2"/>
  <c r="O1436" i="2"/>
  <c r="N1436" i="2"/>
  <c r="M1436" i="2"/>
  <c r="O1446" i="2"/>
  <c r="N1446" i="2"/>
  <c r="M1446" i="2"/>
  <c r="O1445" i="2"/>
  <c r="N1445" i="2"/>
  <c r="M1445" i="2"/>
  <c r="O1444" i="2"/>
  <c r="N1444" i="2"/>
  <c r="M1444" i="2"/>
  <c r="O1443" i="2"/>
  <c r="N1443" i="2"/>
  <c r="M1443" i="2"/>
  <c r="O1442" i="2"/>
  <c r="N1442" i="2"/>
  <c r="M1442" i="2"/>
  <c r="O1441" i="2"/>
  <c r="N1441" i="2"/>
  <c r="M1441" i="2"/>
  <c r="O1440" i="2"/>
  <c r="N1440" i="2"/>
  <c r="M1440" i="2"/>
  <c r="O1439" i="2"/>
  <c r="N1439" i="2"/>
  <c r="M1439" i="2"/>
  <c r="M1423" i="2"/>
  <c r="O1438" i="2"/>
  <c r="N1438" i="2"/>
  <c r="M1438" i="2"/>
  <c r="O1437" i="2"/>
  <c r="N1437" i="2"/>
  <c r="M1437" i="2"/>
  <c r="O1435" i="2"/>
  <c r="N1435" i="2"/>
  <c r="M1435" i="2"/>
  <c r="O1434" i="2"/>
  <c r="N1434" i="2"/>
  <c r="M1434" i="2"/>
  <c r="O1433" i="2"/>
  <c r="N1433" i="2"/>
  <c r="M1433" i="2"/>
  <c r="O1432" i="2"/>
  <c r="N1432" i="2"/>
  <c r="M1432" i="2"/>
  <c r="T1431" i="2"/>
  <c r="O1431" i="2"/>
  <c r="N1431" i="2"/>
  <c r="M1431" i="2"/>
  <c r="T1430" i="2"/>
  <c r="O1430" i="2"/>
  <c r="N1430" i="2"/>
  <c r="M1430" i="2"/>
  <c r="T1429" i="2"/>
  <c r="O1429" i="2"/>
  <c r="N1429" i="2"/>
  <c r="M1429" i="2"/>
  <c r="T1428" i="2"/>
  <c r="O1428" i="2"/>
  <c r="N1428" i="2"/>
  <c r="T1427" i="2"/>
  <c r="O1427" i="2"/>
  <c r="N1427" i="2"/>
  <c r="M1427" i="2"/>
  <c r="T1426" i="2"/>
  <c r="O1426" i="2"/>
  <c r="N1426" i="2"/>
  <c r="T1425" i="2"/>
  <c r="O1425" i="2"/>
  <c r="N1425" i="2"/>
  <c r="T1424" i="2"/>
  <c r="O1424" i="2"/>
  <c r="N1424" i="2"/>
  <c r="T1423" i="2"/>
  <c r="O1423" i="2"/>
  <c r="N1423" i="2"/>
  <c r="T1422" i="2"/>
  <c r="O1422" i="2"/>
  <c r="N1422" i="2"/>
  <c r="M1422" i="2"/>
  <c r="T1421" i="2"/>
  <c r="O1421" i="2"/>
  <c r="N1421" i="2"/>
  <c r="M1421" i="2"/>
  <c r="T1420" i="2"/>
  <c r="O1420" i="2"/>
  <c r="N1420" i="2"/>
  <c r="M1420" i="2"/>
  <c r="T1419" i="2"/>
  <c r="O1419" i="2"/>
  <c r="N1419" i="2"/>
  <c r="M1419" i="2"/>
  <c r="O1415" i="2"/>
  <c r="O1416" i="2"/>
  <c r="O1417" i="2"/>
  <c r="O1418" i="2"/>
  <c r="N1415" i="2"/>
  <c r="N1416" i="2"/>
  <c r="N1417" i="2"/>
  <c r="N1418" i="2"/>
  <c r="M1415" i="2"/>
  <c r="M1416" i="2"/>
  <c r="M1417" i="2"/>
  <c r="M1418" i="2"/>
  <c r="T1416" i="2"/>
  <c r="T1417" i="2"/>
  <c r="T1418" i="2"/>
  <c r="U1416" i="2"/>
  <c r="U1417" i="2"/>
  <c r="U1418" i="2"/>
  <c r="T1415" i="2"/>
  <c r="U1415" i="2"/>
  <c r="M1408" i="2"/>
  <c r="U1414" i="2"/>
  <c r="O1414" i="2"/>
  <c r="N1414" i="2"/>
  <c r="M1414" i="2"/>
  <c r="U1413" i="2"/>
  <c r="O1413" i="2"/>
  <c r="N1413" i="2"/>
  <c r="M1413" i="2"/>
  <c r="U1412" i="2"/>
  <c r="O1412" i="2"/>
  <c r="N1412" i="2"/>
  <c r="M1412" i="2"/>
  <c r="U1411" i="2"/>
  <c r="O1411" i="2"/>
  <c r="N1411" i="2"/>
  <c r="M1411" i="2"/>
  <c r="U1410" i="2"/>
  <c r="O1410" i="2"/>
  <c r="N1410" i="2"/>
  <c r="M1410" i="2"/>
  <c r="U1409" i="2"/>
  <c r="O1409" i="2"/>
  <c r="N1409" i="2"/>
  <c r="M1409" i="2"/>
  <c r="U1408" i="2"/>
  <c r="O1408" i="2"/>
  <c r="N1408" i="2"/>
  <c r="U1407" i="2"/>
  <c r="O1407" i="2"/>
  <c r="N1407" i="2"/>
  <c r="M1407" i="2"/>
  <c r="U1406" i="2"/>
  <c r="O1406" i="2"/>
  <c r="N1406" i="2"/>
  <c r="M1406" i="2"/>
  <c r="U1405" i="2"/>
  <c r="O1405" i="2"/>
  <c r="N1405" i="2"/>
  <c r="M1405" i="2"/>
  <c r="U1389" i="2"/>
  <c r="T1389" i="2"/>
  <c r="O1389" i="2"/>
  <c r="N1389" i="2"/>
  <c r="M1389" i="2"/>
  <c r="M1395" i="2"/>
  <c r="N1395" i="2"/>
  <c r="O1395" i="2"/>
  <c r="T1395" i="2"/>
  <c r="U1395" i="2"/>
  <c r="N1392" i="2"/>
  <c r="O1392" i="2"/>
  <c r="T1392" i="2"/>
  <c r="U1392" i="2"/>
  <c r="M1388" i="2"/>
  <c r="N1388" i="2"/>
  <c r="O1388" i="2"/>
  <c r="T1388" i="2"/>
  <c r="U1388" i="2"/>
  <c r="U1404" i="2"/>
  <c r="O1404" i="2"/>
  <c r="N1404" i="2"/>
  <c r="M1404" i="2"/>
  <c r="U1403" i="2"/>
  <c r="O1403" i="2"/>
  <c r="N1403" i="2"/>
  <c r="M1403" i="2"/>
  <c r="U1402" i="2"/>
  <c r="O1402" i="2"/>
  <c r="N1402" i="2"/>
  <c r="M1402" i="2"/>
  <c r="U1401" i="2"/>
  <c r="O1401" i="2"/>
  <c r="N1401" i="2"/>
  <c r="U1400" i="2"/>
  <c r="O1400" i="2"/>
  <c r="N1400" i="2"/>
  <c r="M1400" i="2"/>
  <c r="U1399" i="2"/>
  <c r="O1399" i="2"/>
  <c r="N1399" i="2"/>
  <c r="M1399" i="2"/>
  <c r="U1398" i="2"/>
  <c r="O1398" i="2"/>
  <c r="N1398" i="2"/>
  <c r="U1397" i="2"/>
  <c r="O1397" i="2"/>
  <c r="N1397" i="2"/>
  <c r="M1397" i="2"/>
  <c r="U1396" i="2"/>
  <c r="O1396" i="2"/>
  <c r="N1396" i="2"/>
  <c r="U1394" i="2"/>
  <c r="O1394" i="2"/>
  <c r="N1394" i="2"/>
  <c r="M1394" i="2"/>
  <c r="U1393" i="2"/>
  <c r="O1393" i="2"/>
  <c r="N1393" i="2"/>
  <c r="M1393" i="2"/>
  <c r="U1391" i="2"/>
  <c r="O1391" i="2"/>
  <c r="N1391" i="2"/>
  <c r="M1391" i="2"/>
  <c r="U1390" i="2"/>
  <c r="O1390" i="2"/>
  <c r="N1390" i="2"/>
  <c r="M1390" i="2"/>
  <c r="U1387" i="2"/>
  <c r="O1387" i="2"/>
  <c r="N1387" i="2"/>
  <c r="M1387" i="2"/>
  <c r="U1386" i="2"/>
  <c r="O1386" i="2"/>
  <c r="N1386" i="2"/>
  <c r="M1386" i="2"/>
  <c r="O1384" i="2"/>
  <c r="O1385" i="2"/>
  <c r="N1384" i="2"/>
  <c r="N1385" i="2"/>
  <c r="M1384" i="2"/>
  <c r="M1385" i="2"/>
  <c r="T1385" i="2"/>
  <c r="U1385" i="2"/>
  <c r="T1384" i="2"/>
  <c r="U1384" i="2"/>
  <c r="O1382" i="2"/>
  <c r="O1383" i="2"/>
  <c r="N1382" i="2"/>
  <c r="N1383" i="2"/>
  <c r="M1382" i="2"/>
  <c r="M1383" i="2"/>
  <c r="O1381" i="2"/>
  <c r="N1381" i="2"/>
  <c r="M1381" i="2"/>
  <c r="U1383" i="2"/>
  <c r="U1382" i="2"/>
  <c r="U1381" i="2"/>
  <c r="U1380" i="2"/>
  <c r="O1380" i="2"/>
  <c r="N1380" i="2"/>
  <c r="M1380" i="2"/>
  <c r="U1379" i="2"/>
  <c r="O1379" i="2"/>
  <c r="N1379" i="2"/>
  <c r="M1379" i="2"/>
  <c r="U1378" i="2"/>
  <c r="O1378" i="2"/>
  <c r="N1378" i="2"/>
  <c r="M1378" i="2"/>
  <c r="U1377" i="2"/>
  <c r="O1377" i="2"/>
  <c r="N1377" i="2"/>
  <c r="M1377" i="2"/>
  <c r="U1376" i="2"/>
  <c r="O1376" i="2"/>
  <c r="N1376" i="2"/>
  <c r="M1376" i="2"/>
  <c r="U1375" i="2"/>
  <c r="O1375" i="2"/>
  <c r="N1375" i="2"/>
  <c r="M1375" i="2"/>
  <c r="U1374" i="2"/>
  <c r="O1374" i="2"/>
  <c r="N1374" i="2"/>
  <c r="M1374" i="2"/>
  <c r="U1373" i="2"/>
  <c r="O1373" i="2"/>
  <c r="N1373" i="2"/>
  <c r="M1373" i="2"/>
  <c r="U1372" i="2"/>
  <c r="O1372" i="2"/>
  <c r="N1372" i="2"/>
  <c r="M1372" i="2"/>
  <c r="U1371" i="2"/>
  <c r="O1371" i="2"/>
  <c r="N1371" i="2"/>
  <c r="U1370" i="2"/>
  <c r="O1370" i="2"/>
  <c r="N1370" i="2"/>
  <c r="M1370" i="2"/>
  <c r="U1369" i="2"/>
  <c r="O1369" i="2"/>
  <c r="N1369" i="2"/>
  <c r="U1368" i="2"/>
  <c r="O1368" i="2"/>
  <c r="N1368" i="2"/>
  <c r="M1368" i="2"/>
  <c r="U1367" i="2"/>
  <c r="O1367" i="2"/>
  <c r="N1367" i="2"/>
  <c r="M1367" i="2"/>
  <c r="U1366" i="2"/>
  <c r="O1366" i="2"/>
  <c r="N1366" i="2"/>
  <c r="M1366" i="2"/>
  <c r="U1365" i="2"/>
  <c r="O1365" i="2"/>
  <c r="N1365" i="2"/>
  <c r="U1364" i="2"/>
  <c r="O1364" i="2"/>
  <c r="N1364" i="2"/>
  <c r="M1364" i="2"/>
  <c r="U1363" i="2"/>
  <c r="O1363" i="2"/>
  <c r="N1363" i="2"/>
  <c r="M1363" i="2"/>
  <c r="U1362" i="2"/>
  <c r="O1362" i="2"/>
  <c r="N1362" i="2"/>
  <c r="M1362" i="2"/>
  <c r="U1361" i="2"/>
  <c r="O1361" i="2"/>
  <c r="N1361" i="2"/>
  <c r="M1361" i="2"/>
  <c r="U1360" i="2"/>
  <c r="O1360" i="2"/>
  <c r="N1360" i="2"/>
  <c r="U1359" i="2"/>
  <c r="O1359" i="2"/>
  <c r="N1359" i="2"/>
  <c r="M1359" i="2"/>
  <c r="O1347" i="2"/>
  <c r="U1358" i="2"/>
  <c r="O1358" i="2"/>
  <c r="N1358" i="2"/>
  <c r="M1358" i="2"/>
  <c r="U1357" i="2"/>
  <c r="O1357" i="2"/>
  <c r="N1357" i="2"/>
  <c r="M1357" i="2"/>
  <c r="U1356" i="2"/>
  <c r="O1356" i="2"/>
  <c r="N1356" i="2"/>
  <c r="M1356" i="2"/>
  <c r="U1355" i="2"/>
  <c r="O1355" i="2"/>
  <c r="N1355" i="2"/>
  <c r="M1355" i="2"/>
  <c r="U1354" i="2"/>
  <c r="O1354" i="2"/>
  <c r="N1354" i="2"/>
  <c r="M1354" i="2"/>
  <c r="U1353" i="2"/>
  <c r="O1353" i="2"/>
  <c r="N1353" i="2"/>
  <c r="M1353" i="2"/>
  <c r="U1352" i="2"/>
  <c r="O1352" i="2"/>
  <c r="N1352" i="2"/>
  <c r="M1352" i="2"/>
  <c r="U1351" i="2"/>
  <c r="O1351" i="2"/>
  <c r="N1351" i="2"/>
  <c r="M1351" i="2"/>
  <c r="U1350" i="2"/>
  <c r="O1350" i="2"/>
  <c r="N1350" i="2"/>
  <c r="M1350" i="2"/>
  <c r="U1349" i="2"/>
  <c r="O1349" i="2"/>
  <c r="N1349" i="2"/>
  <c r="M1349" i="2"/>
  <c r="U1348" i="2"/>
  <c r="O1348" i="2"/>
  <c r="N1348" i="2"/>
  <c r="U1347" i="2"/>
  <c r="N1347" i="2"/>
  <c r="M1347" i="2"/>
  <c r="U1346" i="2"/>
  <c r="O1346" i="2"/>
  <c r="N1346" i="2"/>
  <c r="M1346" i="2"/>
  <c r="O1337" i="2"/>
  <c r="O1338" i="2"/>
  <c r="O1339" i="2"/>
  <c r="O1340" i="2"/>
  <c r="O1341" i="2"/>
  <c r="O1342" i="2"/>
  <c r="O1343" i="2"/>
  <c r="O1344" i="2"/>
  <c r="O1345" i="2"/>
  <c r="N1337" i="2"/>
  <c r="N1338" i="2"/>
  <c r="N1339" i="2"/>
  <c r="N1340" i="2"/>
  <c r="N1341" i="2"/>
  <c r="N1342" i="2"/>
  <c r="N1343" i="2"/>
  <c r="N1344" i="2"/>
  <c r="N1345" i="2"/>
  <c r="M1337" i="2"/>
  <c r="M1338" i="2"/>
  <c r="M1339" i="2"/>
  <c r="M1340" i="2"/>
  <c r="M1341" i="2"/>
  <c r="M1342" i="2"/>
  <c r="M1343" i="2"/>
  <c r="M1345" i="2"/>
  <c r="T1342" i="2"/>
  <c r="T1343" i="2"/>
  <c r="T1344" i="2"/>
  <c r="T1345" i="2"/>
  <c r="U1342" i="2"/>
  <c r="U1343" i="2"/>
  <c r="U1344" i="2"/>
  <c r="U1345" i="2"/>
  <c r="U1341" i="2"/>
  <c r="U1340" i="2"/>
  <c r="U1339" i="2"/>
  <c r="U1338" i="2"/>
  <c r="U1337" i="2"/>
  <c r="U1336" i="2"/>
  <c r="O1336" i="2"/>
  <c r="N1336" i="2"/>
  <c r="M1336" i="2"/>
  <c r="U1335" i="2"/>
  <c r="O1335" i="2"/>
  <c r="N1335" i="2"/>
  <c r="M1335" i="2"/>
  <c r="M1319" i="2"/>
  <c r="N1319" i="2"/>
  <c r="O1319" i="2"/>
  <c r="T1319" i="2"/>
  <c r="U1319" i="2"/>
  <c r="U1334" i="2"/>
  <c r="O1334" i="2"/>
  <c r="N1334" i="2"/>
  <c r="U1333" i="2"/>
  <c r="O1333" i="2"/>
  <c r="N1333" i="2"/>
  <c r="U1332" i="2"/>
  <c r="O1332" i="2"/>
  <c r="N1332" i="2"/>
  <c r="M1332" i="2"/>
  <c r="U1331" i="2"/>
  <c r="O1331" i="2"/>
  <c r="N1331" i="2"/>
  <c r="M1331" i="2"/>
  <c r="U1330" i="2"/>
  <c r="O1330" i="2"/>
  <c r="N1330" i="2"/>
  <c r="M1330" i="2"/>
  <c r="U1329" i="2"/>
  <c r="O1329" i="2"/>
  <c r="N1329" i="2"/>
  <c r="M1329" i="2"/>
  <c r="U1328" i="2"/>
  <c r="O1328" i="2"/>
  <c r="N1328" i="2"/>
  <c r="M1328" i="2"/>
  <c r="U1327" i="2"/>
  <c r="O1327" i="2"/>
  <c r="N1327" i="2"/>
  <c r="M1327" i="2"/>
  <c r="U1326" i="2"/>
  <c r="O1326" i="2"/>
  <c r="N1326" i="2"/>
  <c r="M1326" i="2"/>
  <c r="U1325" i="2"/>
  <c r="O1325" i="2"/>
  <c r="N1325" i="2"/>
  <c r="M1325" i="2"/>
  <c r="U1324" i="2"/>
  <c r="O1324" i="2"/>
  <c r="N1324" i="2"/>
  <c r="M1324" i="2"/>
  <c r="U1323" i="2"/>
  <c r="O1323" i="2"/>
  <c r="N1323" i="2"/>
  <c r="M1323" i="2"/>
  <c r="U1322" i="2"/>
  <c r="O1322" i="2"/>
  <c r="N1322" i="2"/>
  <c r="M1322" i="2"/>
  <c r="U1321" i="2"/>
  <c r="O1321" i="2"/>
  <c r="N1321" i="2"/>
  <c r="U1320" i="2"/>
  <c r="O1320" i="2"/>
  <c r="N1320" i="2"/>
  <c r="M1320" i="2"/>
  <c r="U1318" i="2"/>
  <c r="O1318" i="2"/>
  <c r="N1318" i="2"/>
  <c r="M1318" i="2"/>
  <c r="U1317" i="2"/>
  <c r="O1317" i="2"/>
  <c r="N1317" i="2"/>
  <c r="U1316" i="2"/>
  <c r="O1316" i="2"/>
  <c r="N1316" i="2"/>
  <c r="M1316" i="2"/>
  <c r="U1315" i="2"/>
  <c r="O1315" i="2"/>
  <c r="N1315" i="2"/>
  <c r="U1314" i="2"/>
  <c r="O1314" i="2"/>
  <c r="N1314" i="2"/>
  <c r="M1314" i="2"/>
  <c r="U1313" i="2"/>
  <c r="O1313" i="2"/>
  <c r="N1313" i="2"/>
  <c r="M1313" i="2"/>
  <c r="U1312" i="2"/>
  <c r="O1312" i="2"/>
  <c r="N1312" i="2"/>
  <c r="M1312" i="2"/>
  <c r="U1311" i="2"/>
  <c r="O1311" i="2"/>
  <c r="N1311" i="2"/>
  <c r="M1311" i="2"/>
  <c r="U1310" i="2"/>
  <c r="O1310" i="2"/>
  <c r="N1310" i="2"/>
  <c r="M1310" i="2"/>
  <c r="U1309" i="2"/>
  <c r="O1309" i="2"/>
  <c r="N1309" i="2"/>
  <c r="M1309" i="2"/>
  <c r="M1297" i="2"/>
  <c r="N1297" i="2"/>
  <c r="O1297" i="2"/>
  <c r="T1297" i="2"/>
  <c r="U1297" i="2"/>
  <c r="O1308" i="2"/>
  <c r="N1308" i="2"/>
  <c r="M1308" i="2"/>
  <c r="O1307" i="2"/>
  <c r="N1307" i="2"/>
  <c r="M1307" i="2"/>
  <c r="O1306" i="2"/>
  <c r="N1306" i="2"/>
  <c r="M1306" i="2"/>
  <c r="O1305" i="2"/>
  <c r="N1305" i="2"/>
  <c r="M1305" i="2"/>
  <c r="O1304" i="2"/>
  <c r="N1304" i="2"/>
  <c r="M1304" i="2"/>
  <c r="O1303" i="2"/>
  <c r="N1303" i="2"/>
  <c r="M1303" i="2"/>
  <c r="O1302" i="2"/>
  <c r="N1302" i="2"/>
  <c r="M1302" i="2"/>
  <c r="O1301" i="2"/>
  <c r="N1301" i="2"/>
  <c r="O1300" i="2"/>
  <c r="N1300" i="2"/>
  <c r="M1300" i="2"/>
  <c r="O1299" i="2"/>
  <c r="N1299" i="2"/>
  <c r="O1298" i="2"/>
  <c r="N1298" i="2"/>
  <c r="M1298" i="2"/>
  <c r="O1296" i="2"/>
  <c r="N1296" i="2"/>
  <c r="M1296" i="2"/>
  <c r="O1295" i="2"/>
  <c r="N1295" i="2"/>
  <c r="M1295" i="2"/>
  <c r="O1294" i="2"/>
  <c r="N1294" i="2"/>
  <c r="M1294" i="2"/>
  <c r="O1293" i="2"/>
  <c r="N1293" i="2"/>
  <c r="M1293" i="2"/>
  <c r="O1292" i="2"/>
  <c r="N1292" i="2"/>
  <c r="M1292" i="2"/>
  <c r="O1291" i="2"/>
  <c r="N1291" i="2"/>
  <c r="M1291" i="2"/>
  <c r="O1290" i="2"/>
  <c r="N1290" i="2"/>
  <c r="M1290" i="2"/>
  <c r="O1289" i="2"/>
  <c r="M1289" i="2"/>
  <c r="N1288" i="2"/>
  <c r="M1288" i="2"/>
  <c r="M1287" i="2"/>
  <c r="N1280" i="2"/>
  <c r="M1280" i="2"/>
  <c r="O1280" i="2"/>
  <c r="T1280" i="2"/>
  <c r="U1280" i="2"/>
  <c r="O1286" i="2"/>
  <c r="O1287" i="2"/>
  <c r="O1288" i="2"/>
  <c r="N1286" i="2"/>
  <c r="N1287" i="2"/>
  <c r="N1289" i="2"/>
  <c r="M1286" i="2"/>
  <c r="O1285" i="2"/>
  <c r="N1285" i="2"/>
  <c r="M1285" i="2"/>
  <c r="O1283" i="2"/>
  <c r="O1284" i="2"/>
  <c r="N1284" i="2"/>
  <c r="M1283" i="2"/>
  <c r="M1284" i="2"/>
  <c r="M1277" i="2"/>
  <c r="M1278" i="2"/>
  <c r="M1279" i="2"/>
  <c r="M1281" i="2"/>
  <c r="M1282" i="2"/>
  <c r="M1276" i="2"/>
  <c r="M1265" i="2"/>
  <c r="M1266" i="2"/>
  <c r="M1267" i="2"/>
  <c r="M1268" i="2"/>
  <c r="M1269" i="2"/>
  <c r="M1270" i="2"/>
  <c r="M1271" i="2"/>
  <c r="M1272" i="2"/>
  <c r="M1273" i="2"/>
  <c r="M1274" i="2"/>
  <c r="O1277" i="2"/>
  <c r="O1278" i="2"/>
  <c r="O1279" i="2"/>
  <c r="O1281" i="2"/>
  <c r="O1282" i="2"/>
  <c r="N1277" i="2"/>
  <c r="N1278" i="2"/>
  <c r="N1279" i="2"/>
  <c r="N1281" i="2"/>
  <c r="N1282" i="2"/>
  <c r="N1283" i="2"/>
  <c r="O1275" i="2"/>
  <c r="O1276" i="2"/>
  <c r="N1274" i="2"/>
  <c r="N1275" i="2"/>
  <c r="N1276" i="2"/>
  <c r="U1275" i="2"/>
  <c r="M1263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6" i="2"/>
  <c r="T1277" i="2"/>
  <c r="T1278" i="2"/>
  <c r="T1279" i="2"/>
  <c r="T1281" i="2"/>
  <c r="T1282" i="2"/>
  <c r="T1283" i="2"/>
  <c r="T1284" i="2"/>
  <c r="T1285" i="2"/>
  <c r="T1286" i="2"/>
  <c r="T1287" i="2"/>
  <c r="T1288" i="2"/>
  <c r="T1289" i="2"/>
  <c r="T1290" i="2"/>
  <c r="T1292" i="2"/>
  <c r="T1293" i="2"/>
  <c r="T1294" i="2"/>
  <c r="T1295" i="2"/>
  <c r="T1296" i="2"/>
  <c r="T1298" i="2"/>
  <c r="T1299" i="2"/>
  <c r="T1300" i="2"/>
  <c r="T1301" i="2"/>
  <c r="T1302" i="2"/>
  <c r="T1303" i="2"/>
  <c r="T1304" i="2"/>
  <c r="T1305" i="2"/>
  <c r="T1306" i="2"/>
  <c r="T1307" i="2"/>
  <c r="T1308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6" i="2"/>
  <c r="U1277" i="2"/>
  <c r="U1278" i="2"/>
  <c r="U1279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8" i="2"/>
  <c r="U1299" i="2"/>
  <c r="U1300" i="2"/>
  <c r="U1301" i="2"/>
  <c r="U1302" i="2"/>
  <c r="U1303" i="2"/>
  <c r="U1304" i="2"/>
  <c r="U1305" i="2"/>
  <c r="U1306" i="2"/>
  <c r="U1307" i="2"/>
  <c r="U1308" i="2"/>
  <c r="N1256" i="2"/>
  <c r="O1256" i="2"/>
  <c r="T1256" i="2"/>
  <c r="U1256" i="2"/>
  <c r="O1255" i="2"/>
  <c r="N1255" i="2"/>
  <c r="M1255" i="2"/>
  <c r="U1255" i="2"/>
  <c r="O1254" i="2"/>
  <c r="N1254" i="2"/>
  <c r="M1254" i="2"/>
  <c r="T1254" i="2"/>
  <c r="U1254" i="2"/>
  <c r="O1249" i="2"/>
  <c r="O1250" i="2"/>
  <c r="O1251" i="2"/>
  <c r="O1252" i="2"/>
  <c r="O1253" i="2"/>
  <c r="N1249" i="2"/>
  <c r="N1250" i="2"/>
  <c r="N1251" i="2"/>
  <c r="N1252" i="2"/>
  <c r="N1253" i="2"/>
  <c r="T1251" i="2"/>
  <c r="T1252" i="2"/>
  <c r="T1253" i="2"/>
  <c r="U1251" i="2"/>
  <c r="U1252" i="2"/>
  <c r="U1253" i="2"/>
  <c r="M1253" i="2"/>
  <c r="M1252" i="2"/>
  <c r="M1251" i="2"/>
  <c r="M1248" i="2"/>
  <c r="M1249" i="2"/>
  <c r="M1250" i="2"/>
  <c r="T1250" i="2"/>
  <c r="U1250" i="2"/>
  <c r="T1249" i="2"/>
  <c r="U1249" i="2"/>
  <c r="U1248" i="2"/>
  <c r="O1248" i="2"/>
  <c r="N1248" i="2"/>
  <c r="U1247" i="2"/>
  <c r="O1247" i="2"/>
  <c r="N1247" i="2"/>
  <c r="U1246" i="2"/>
  <c r="O1246" i="2"/>
  <c r="N1246" i="2"/>
  <c r="M1246" i="2"/>
  <c r="U1245" i="2"/>
  <c r="O1245" i="2"/>
  <c r="N1245" i="2"/>
  <c r="M1245" i="2"/>
  <c r="U1244" i="2"/>
  <c r="O1244" i="2"/>
  <c r="N1244" i="2"/>
  <c r="M1244" i="2"/>
  <c r="U1243" i="2"/>
  <c r="O1243" i="2"/>
  <c r="N1243" i="2"/>
  <c r="M1243" i="2"/>
  <c r="U1242" i="2"/>
  <c r="O1242" i="2"/>
  <c r="N1242" i="2"/>
  <c r="M1242" i="2"/>
  <c r="U1241" i="2"/>
  <c r="O1241" i="2"/>
  <c r="N1241" i="2"/>
  <c r="M1241" i="2"/>
  <c r="U1240" i="2"/>
  <c r="O1240" i="2"/>
  <c r="N1240" i="2"/>
  <c r="M1240" i="2"/>
  <c r="U1239" i="2"/>
  <c r="O1239" i="2"/>
  <c r="N1239" i="2"/>
  <c r="M1239" i="2"/>
  <c r="U1238" i="2"/>
  <c r="O1238" i="2"/>
  <c r="N1238" i="2"/>
  <c r="U1237" i="2"/>
  <c r="O1237" i="2"/>
  <c r="N1237" i="2"/>
  <c r="M1237" i="2"/>
  <c r="U1236" i="2"/>
  <c r="O1236" i="2"/>
  <c r="N1236" i="2"/>
  <c r="M1236" i="2"/>
  <c r="U1235" i="2"/>
  <c r="O1235" i="2"/>
  <c r="N1235" i="2"/>
  <c r="M1235" i="2"/>
  <c r="U1234" i="2"/>
  <c r="O1234" i="2"/>
  <c r="N1234" i="2"/>
  <c r="M1234" i="2"/>
  <c r="O1224" i="2"/>
  <c r="O1225" i="2"/>
  <c r="O1226" i="2"/>
  <c r="O1227" i="2"/>
  <c r="O1228" i="2"/>
  <c r="O1229" i="2"/>
  <c r="O1230" i="2"/>
  <c r="O1231" i="2"/>
  <c r="O1232" i="2"/>
  <c r="O1233" i="2"/>
  <c r="N1224" i="2"/>
  <c r="N1225" i="2"/>
  <c r="N1226" i="2"/>
  <c r="N1227" i="2"/>
  <c r="N1228" i="2"/>
  <c r="N1229" i="2"/>
  <c r="N1230" i="2"/>
  <c r="N1231" i="2"/>
  <c r="N1232" i="2"/>
  <c r="N1233" i="2"/>
  <c r="M1224" i="2"/>
  <c r="M1225" i="2"/>
  <c r="M1226" i="2"/>
  <c r="M1227" i="2"/>
  <c r="M1228" i="2"/>
  <c r="M1229" i="2"/>
  <c r="M1232" i="2"/>
  <c r="M1233" i="2"/>
  <c r="T1226" i="2"/>
  <c r="T1227" i="2"/>
  <c r="T1228" i="2"/>
  <c r="T1229" i="2"/>
  <c r="T1230" i="2"/>
  <c r="T1231" i="2"/>
  <c r="T1232" i="2"/>
  <c r="T1233" i="2"/>
  <c r="U1226" i="2"/>
  <c r="U1227" i="2"/>
  <c r="U1228" i="2"/>
  <c r="U1229" i="2"/>
  <c r="U1230" i="2"/>
  <c r="U1231" i="2"/>
  <c r="U1232" i="2"/>
  <c r="U1233" i="2"/>
  <c r="U1225" i="2"/>
  <c r="O1217" i="2"/>
  <c r="O1218" i="2"/>
  <c r="O1219" i="2"/>
  <c r="O1220" i="2"/>
  <c r="O1221" i="2"/>
  <c r="O1222" i="2"/>
  <c r="O1223" i="2"/>
  <c r="N1217" i="2"/>
  <c r="N1218" i="2"/>
  <c r="N1219" i="2"/>
  <c r="N1220" i="2"/>
  <c r="N1221" i="2"/>
  <c r="N1222" i="2"/>
  <c r="N1223" i="2"/>
  <c r="M1217" i="2"/>
  <c r="M1218" i="2"/>
  <c r="M1219" i="2"/>
  <c r="M1220" i="2"/>
  <c r="M1221" i="2"/>
  <c r="M1222" i="2"/>
  <c r="M1223" i="2"/>
  <c r="U1224" i="2"/>
  <c r="U1223" i="2"/>
  <c r="U1222" i="2"/>
  <c r="U1221" i="2"/>
  <c r="U1220" i="2"/>
  <c r="U1219" i="2"/>
  <c r="U1218" i="2"/>
  <c r="U1217" i="2"/>
  <c r="U1216" i="2"/>
  <c r="O1216" i="2"/>
  <c r="N1216" i="2"/>
  <c r="M1216" i="2"/>
  <c r="U1215" i="2"/>
  <c r="O1215" i="2"/>
  <c r="N1215" i="2"/>
  <c r="M1215" i="2"/>
  <c r="U1214" i="2"/>
  <c r="T1214" i="2"/>
  <c r="O1214" i="2"/>
  <c r="N1214" i="2"/>
  <c r="M1213" i="2"/>
  <c r="N1213" i="2"/>
  <c r="O1213" i="2"/>
  <c r="T1213" i="2"/>
  <c r="U1213" i="2"/>
  <c r="U1212" i="2"/>
  <c r="O1212" i="2"/>
  <c r="N1212" i="2"/>
  <c r="M1212" i="2"/>
  <c r="U1211" i="2"/>
  <c r="O1211" i="2"/>
  <c r="N1211" i="2"/>
  <c r="M1211" i="2"/>
  <c r="U1210" i="2"/>
  <c r="O1210" i="2"/>
  <c r="N1210" i="2"/>
  <c r="U1209" i="2"/>
  <c r="O1209" i="2"/>
  <c r="N1209" i="2"/>
  <c r="U1208" i="2"/>
  <c r="O1208" i="2"/>
  <c r="N1208" i="2"/>
  <c r="M1208" i="2"/>
  <c r="U1207" i="2"/>
  <c r="O1207" i="2"/>
  <c r="N1207" i="2"/>
  <c r="U1206" i="2"/>
  <c r="O1206" i="2"/>
  <c r="N1206" i="2"/>
  <c r="M1206" i="2"/>
  <c r="U1205" i="2"/>
  <c r="O1205" i="2"/>
  <c r="N1205" i="2"/>
  <c r="M1205" i="2"/>
  <c r="U1204" i="2"/>
  <c r="O1204" i="2"/>
  <c r="N1204" i="2"/>
  <c r="M1204" i="2"/>
  <c r="U1203" i="2"/>
  <c r="O1203" i="2"/>
  <c r="N1203" i="2"/>
  <c r="M1203" i="2"/>
  <c r="U1202" i="2"/>
  <c r="O1202" i="2"/>
  <c r="N1202" i="2"/>
  <c r="U1201" i="2"/>
  <c r="O1201" i="2"/>
  <c r="N1201" i="2"/>
  <c r="U1200" i="2"/>
  <c r="O1200" i="2"/>
  <c r="N1200" i="2"/>
  <c r="M1200" i="2"/>
  <c r="U1199" i="2"/>
  <c r="O1199" i="2"/>
  <c r="N1199" i="2"/>
  <c r="M1199" i="2"/>
  <c r="U1198" i="2"/>
  <c r="O1198" i="2"/>
  <c r="N1198" i="2"/>
  <c r="U1197" i="2"/>
  <c r="O1197" i="2"/>
  <c r="N1197" i="2"/>
  <c r="M1197" i="2"/>
  <c r="U1196" i="2"/>
  <c r="O1196" i="2"/>
  <c r="N1196" i="2"/>
  <c r="M1196" i="2"/>
  <c r="U1195" i="2"/>
  <c r="O1195" i="2"/>
  <c r="N1195" i="2"/>
  <c r="M1195" i="2"/>
  <c r="U1194" i="2"/>
  <c r="O1194" i="2"/>
  <c r="N1194" i="2"/>
  <c r="M1194" i="2"/>
  <c r="U1193" i="2"/>
  <c r="O1193" i="2"/>
  <c r="N1193" i="2"/>
  <c r="O1190" i="2"/>
  <c r="O1191" i="2"/>
  <c r="O1192" i="2"/>
  <c r="N1189" i="2"/>
  <c r="N1190" i="2"/>
  <c r="N1191" i="2"/>
  <c r="N1192" i="2"/>
  <c r="M1189" i="2"/>
  <c r="M1190" i="2"/>
  <c r="M1191" i="2"/>
  <c r="M1186" i="2"/>
  <c r="M1187" i="2"/>
  <c r="M1188" i="2"/>
  <c r="O1188" i="2"/>
  <c r="O1189" i="2"/>
  <c r="N1187" i="2"/>
  <c r="N1188" i="2"/>
  <c r="O1187" i="2"/>
  <c r="U1192" i="2"/>
  <c r="U1191" i="2"/>
  <c r="U1190" i="2"/>
  <c r="U1189" i="2"/>
  <c r="U1188" i="2"/>
  <c r="U1187" i="2"/>
  <c r="U1183" i="2"/>
  <c r="T1183" i="2"/>
  <c r="O1183" i="2"/>
  <c r="N1183" i="2"/>
  <c r="U1186" i="2"/>
  <c r="N1186" i="2"/>
  <c r="O1186" i="2"/>
  <c r="U1172" i="2"/>
  <c r="T1172" i="2"/>
  <c r="O1172" i="2"/>
  <c r="N1172" i="2"/>
  <c r="U1185" i="2"/>
  <c r="M1185" i="2"/>
  <c r="N1185" i="2"/>
  <c r="O1185" i="2"/>
  <c r="U1184" i="2"/>
  <c r="N1184" i="2"/>
  <c r="O1184" i="2"/>
  <c r="U1182" i="2"/>
  <c r="N1182" i="2"/>
  <c r="O1182" i="2"/>
  <c r="U1181" i="2"/>
  <c r="N1181" i="2"/>
  <c r="O1181" i="2"/>
  <c r="U1180" i="2"/>
  <c r="N1180" i="2"/>
  <c r="O1180" i="2"/>
  <c r="U1179" i="2"/>
  <c r="M1179" i="2"/>
  <c r="N1179" i="2"/>
  <c r="O1179" i="2"/>
  <c r="U1162" i="2"/>
  <c r="T1162" i="2"/>
  <c r="O1162" i="2"/>
  <c r="N1162" i="2"/>
  <c r="N1168" i="2"/>
  <c r="O1168" i="2"/>
  <c r="T1168" i="2"/>
  <c r="U1168" i="2"/>
  <c r="N1161" i="2"/>
  <c r="O1161" i="2"/>
  <c r="T1161" i="2"/>
  <c r="U1161" i="2"/>
  <c r="U1178" i="2"/>
  <c r="O1178" i="2"/>
  <c r="N1178" i="2"/>
  <c r="U1177" i="2"/>
  <c r="O1177" i="2"/>
  <c r="N1177" i="2"/>
  <c r="U1176" i="2"/>
  <c r="O1176" i="2"/>
  <c r="N1176" i="2"/>
  <c r="M1176" i="2"/>
  <c r="U1175" i="2"/>
  <c r="O1175" i="2"/>
  <c r="N1175" i="2"/>
  <c r="U1174" i="2"/>
  <c r="O1174" i="2"/>
  <c r="N1174" i="2"/>
  <c r="U1173" i="2"/>
  <c r="O1173" i="2"/>
  <c r="N1173" i="2"/>
  <c r="M1173" i="2"/>
  <c r="U1171" i="2"/>
  <c r="O1171" i="2"/>
  <c r="N1171" i="2"/>
  <c r="U1170" i="2"/>
  <c r="O1170" i="2"/>
  <c r="N1170" i="2"/>
  <c r="U1169" i="2"/>
  <c r="O1169" i="2"/>
  <c r="N1169" i="2"/>
  <c r="M1169" i="2"/>
  <c r="U1167" i="2"/>
  <c r="O1167" i="2"/>
  <c r="N1167" i="2"/>
  <c r="U1166" i="2"/>
  <c r="O1166" i="2"/>
  <c r="N1166" i="2"/>
  <c r="U1165" i="2"/>
  <c r="O1165" i="2"/>
  <c r="N1165" i="2"/>
  <c r="U1164" i="2"/>
  <c r="O1164" i="2"/>
  <c r="N1164" i="2"/>
  <c r="U1163" i="2"/>
  <c r="O1163" i="2"/>
  <c r="N1163" i="2"/>
  <c r="U1160" i="2"/>
  <c r="O1160" i="2"/>
  <c r="N1160" i="2"/>
  <c r="U1159" i="2"/>
  <c r="O1159" i="2"/>
  <c r="N1159" i="2"/>
  <c r="U1158" i="2"/>
  <c r="O1158" i="2"/>
  <c r="N1158" i="2"/>
  <c r="U1157" i="2"/>
  <c r="O1157" i="2"/>
  <c r="N1157" i="2"/>
  <c r="M1156" i="2"/>
  <c r="N1156" i="2"/>
  <c r="O1156" i="2"/>
  <c r="T1156" i="2"/>
  <c r="U1156" i="2"/>
  <c r="M1155" i="2"/>
  <c r="N1155" i="2"/>
  <c r="O1155" i="2"/>
  <c r="T1155" i="2"/>
  <c r="U1155" i="2"/>
  <c r="U1154" i="2"/>
  <c r="T1154" i="2"/>
  <c r="O1154" i="2"/>
  <c r="N1154" i="2"/>
  <c r="M1154" i="2"/>
  <c r="N1153" i="2"/>
  <c r="O1153" i="2"/>
  <c r="T1153" i="2"/>
  <c r="U1153" i="2"/>
  <c r="N1152" i="2"/>
  <c r="O1152" i="2"/>
  <c r="T1152" i="2"/>
  <c r="U1152" i="2"/>
  <c r="M1151" i="2"/>
  <c r="N1151" i="2"/>
  <c r="O1151" i="2"/>
  <c r="T1151" i="2"/>
  <c r="U1151" i="2"/>
  <c r="M1150" i="2"/>
  <c r="N1150" i="2"/>
  <c r="O1150" i="2"/>
  <c r="T1150" i="2"/>
  <c r="U1150" i="2"/>
  <c r="N1149" i="2"/>
  <c r="O1149" i="2"/>
  <c r="T1149" i="2"/>
  <c r="U1149" i="2"/>
  <c r="U1148" i="2"/>
  <c r="N1148" i="2"/>
  <c r="O1148" i="2"/>
  <c r="N1128" i="2"/>
  <c r="O1128" i="2"/>
  <c r="O1137" i="2"/>
  <c r="O1140" i="2"/>
  <c r="O1141" i="2"/>
  <c r="O1142" i="2"/>
  <c r="O1138" i="2"/>
  <c r="O1139" i="2"/>
  <c r="O1143" i="2"/>
  <c r="O1144" i="2"/>
  <c r="O1145" i="2"/>
  <c r="O1146" i="2"/>
  <c r="U1128" i="2"/>
  <c r="U1146" i="2"/>
  <c r="N1146" i="2"/>
  <c r="U1145" i="2"/>
  <c r="N1145" i="2"/>
  <c r="U1144" i="2"/>
  <c r="M1144" i="2"/>
  <c r="N1144" i="2"/>
  <c r="U1143" i="2"/>
  <c r="N1143" i="2"/>
  <c r="U1139" i="2"/>
  <c r="N1139" i="2"/>
  <c r="U1138" i="2"/>
  <c r="N1138" i="2"/>
  <c r="U1142" i="2"/>
  <c r="N1142" i="2"/>
  <c r="U1141" i="2"/>
  <c r="M1141" i="2"/>
  <c r="N1141" i="2"/>
  <c r="U1140" i="2"/>
  <c r="N1140" i="2"/>
  <c r="U1137" i="2"/>
  <c r="N1137" i="2"/>
  <c r="U1136" i="2"/>
  <c r="N1136" i="2"/>
  <c r="O1136" i="2"/>
  <c r="U1135" i="2"/>
  <c r="M1135" i="2"/>
  <c r="N1135" i="2"/>
  <c r="O1135" i="2"/>
  <c r="U1134" i="2"/>
  <c r="M1134" i="2"/>
  <c r="N1134" i="2"/>
  <c r="O1134" i="2"/>
  <c r="U1126" i="2"/>
  <c r="T1126" i="2"/>
  <c r="O1126" i="2"/>
  <c r="N1126" i="2"/>
  <c r="N1125" i="2"/>
  <c r="O1125" i="2"/>
  <c r="T1125" i="2"/>
  <c r="U1125" i="2"/>
  <c r="O1132" i="2"/>
  <c r="N1132" i="2"/>
  <c r="O1133" i="2"/>
  <c r="N1133" i="2"/>
  <c r="O1131" i="2"/>
  <c r="N1131" i="2"/>
  <c r="O1130" i="2"/>
  <c r="N1130" i="2"/>
  <c r="O1129" i="2"/>
  <c r="N1129" i="2"/>
  <c r="O1147" i="2"/>
  <c r="N1147" i="2"/>
  <c r="O1127" i="2"/>
  <c r="N1127" i="2"/>
  <c r="O1124" i="2"/>
  <c r="N1124" i="2"/>
  <c r="O1123" i="2"/>
  <c r="N1123" i="2"/>
  <c r="O1116" i="2"/>
  <c r="N1116" i="2"/>
  <c r="O1115" i="2"/>
  <c r="N1115" i="2"/>
  <c r="O1114" i="2"/>
  <c r="N1114" i="2"/>
  <c r="O1113" i="2"/>
  <c r="N1113" i="2"/>
  <c r="M1113" i="2"/>
  <c r="O1112" i="2"/>
  <c r="N1112" i="2"/>
  <c r="O1111" i="2"/>
  <c r="N1111" i="2"/>
  <c r="O1120" i="2"/>
  <c r="N1120" i="2"/>
  <c r="O1122" i="2"/>
  <c r="N1122" i="2"/>
  <c r="O1121" i="2"/>
  <c r="N1121" i="2"/>
  <c r="M1121" i="2"/>
  <c r="O1119" i="2"/>
  <c r="N1119" i="2"/>
  <c r="O1118" i="2"/>
  <c r="N1118" i="2"/>
  <c r="M1118" i="2"/>
  <c r="O1117" i="2"/>
  <c r="N1117" i="2"/>
  <c r="M1117" i="2"/>
  <c r="M1110" i="2"/>
  <c r="N1110" i="2"/>
  <c r="O1110" i="2"/>
  <c r="T1110" i="2"/>
  <c r="U1110" i="2"/>
  <c r="M1109" i="2"/>
  <c r="N1109" i="2"/>
  <c r="O1109" i="2"/>
  <c r="T1109" i="2"/>
  <c r="U1109" i="2"/>
  <c r="O1108" i="2"/>
  <c r="N1108" i="2"/>
  <c r="M1108" i="2"/>
  <c r="U1108" i="2"/>
  <c r="M1107" i="2"/>
  <c r="N1107" i="2"/>
  <c r="O1107" i="2"/>
  <c r="U1107" i="2"/>
  <c r="U1106" i="2"/>
  <c r="M1106" i="2"/>
  <c r="N1106" i="2"/>
  <c r="O1106" i="2"/>
  <c r="U1105" i="2"/>
  <c r="M1105" i="2"/>
  <c r="N1105" i="2"/>
  <c r="O1105" i="2"/>
  <c r="M1104" i="2"/>
  <c r="N1104" i="2"/>
  <c r="O1104" i="2"/>
  <c r="U1104" i="2"/>
  <c r="U1100" i="2"/>
  <c r="M1100" i="2"/>
  <c r="N1100" i="2"/>
  <c r="O1100" i="2"/>
  <c r="T1103" i="2"/>
  <c r="O1103" i="2"/>
  <c r="N1103" i="2"/>
  <c r="M1103" i="2"/>
  <c r="T1102" i="2"/>
  <c r="O1102" i="2"/>
  <c r="N1102" i="2"/>
  <c r="M1102" i="2"/>
  <c r="T1101" i="2"/>
  <c r="O1101" i="2"/>
  <c r="N1101" i="2"/>
  <c r="M1101" i="2"/>
  <c r="T1099" i="2"/>
  <c r="O1099" i="2"/>
  <c r="N1099" i="2"/>
  <c r="M1099" i="2"/>
  <c r="T1098" i="2"/>
  <c r="O1098" i="2"/>
  <c r="N1098" i="2"/>
  <c r="M1098" i="2"/>
  <c r="T1097" i="2"/>
  <c r="O1097" i="2"/>
  <c r="N1097" i="2"/>
  <c r="M1097" i="2"/>
  <c r="T1095" i="2"/>
  <c r="O1095" i="2"/>
  <c r="N1095" i="2"/>
  <c r="M1095" i="2"/>
  <c r="T1088" i="2"/>
  <c r="O1088" i="2"/>
  <c r="N1088" i="2"/>
  <c r="M1088" i="2"/>
  <c r="T1096" i="2"/>
  <c r="O1096" i="2"/>
  <c r="N1096" i="2"/>
  <c r="M1096" i="2"/>
  <c r="T1094" i="2"/>
  <c r="O1094" i="2"/>
  <c r="N1094" i="2"/>
  <c r="M1094" i="2"/>
  <c r="T1080" i="2"/>
  <c r="O1080" i="2"/>
  <c r="N1080" i="2"/>
  <c r="M1080" i="2"/>
  <c r="T1081" i="2"/>
  <c r="O1081" i="2"/>
  <c r="N1081" i="2"/>
  <c r="M1081" i="2"/>
  <c r="T1079" i="2"/>
  <c r="O1079" i="2"/>
  <c r="N1079" i="2"/>
  <c r="M1079" i="2"/>
  <c r="T1091" i="2"/>
  <c r="O1091" i="2"/>
  <c r="N1091" i="2"/>
  <c r="M1091" i="2"/>
  <c r="T1090" i="2"/>
  <c r="U1090" i="2"/>
  <c r="O1090" i="2"/>
  <c r="N1090" i="2"/>
  <c r="M1090" i="2"/>
  <c r="T1087" i="2"/>
  <c r="O1087" i="2"/>
  <c r="N1087" i="2"/>
  <c r="M1087" i="2"/>
  <c r="M1085" i="2"/>
  <c r="F6" i="10"/>
  <c r="T1093" i="2"/>
  <c r="O1093" i="2"/>
  <c r="N1093" i="2"/>
  <c r="M1093" i="2"/>
  <c r="T1092" i="2"/>
  <c r="O1092" i="2"/>
  <c r="N1092" i="2"/>
  <c r="M1092" i="2"/>
  <c r="M1078" i="2"/>
  <c r="N1078" i="2"/>
  <c r="O1078" i="2"/>
  <c r="T1078" i="2"/>
  <c r="U1078" i="2"/>
  <c r="M1074" i="2"/>
  <c r="N1074" i="2"/>
  <c r="O1074" i="2"/>
  <c r="T1074" i="2"/>
  <c r="U1074" i="2"/>
  <c r="M1070" i="2"/>
  <c r="N1070" i="2"/>
  <c r="O1070" i="2"/>
  <c r="T1070" i="2"/>
  <c r="U1070" i="2"/>
  <c r="T1089" i="2"/>
  <c r="O1089" i="2"/>
  <c r="N1089" i="2"/>
  <c r="M1089" i="2"/>
  <c r="T1086" i="2"/>
  <c r="O1086" i="2"/>
  <c r="N1086" i="2"/>
  <c r="M1086" i="2"/>
  <c r="T1085" i="2"/>
  <c r="O1085" i="2"/>
  <c r="N1085" i="2"/>
  <c r="T1084" i="2"/>
  <c r="O1084" i="2"/>
  <c r="N1084" i="2"/>
  <c r="M1084" i="2"/>
  <c r="T1083" i="2"/>
  <c r="O1083" i="2"/>
  <c r="N1083" i="2"/>
  <c r="M1083" i="2"/>
  <c r="T1082" i="2"/>
  <c r="O1082" i="2"/>
  <c r="N1082" i="2"/>
  <c r="M1082" i="2"/>
  <c r="T1077" i="2"/>
  <c r="O1077" i="2"/>
  <c r="N1077" i="2"/>
  <c r="M1077" i="2"/>
  <c r="N1060" i="2"/>
  <c r="O1060" i="2"/>
  <c r="T1060" i="2"/>
  <c r="U1060" i="2"/>
  <c r="N1053" i="2"/>
  <c r="O1053" i="2"/>
  <c r="T1053" i="2"/>
  <c r="U1053" i="2"/>
  <c r="T1076" i="2"/>
  <c r="O1076" i="2"/>
  <c r="N1076" i="2"/>
  <c r="M1076" i="2"/>
  <c r="T1075" i="2"/>
  <c r="O1075" i="2"/>
  <c r="N1075" i="2"/>
  <c r="M1075" i="2"/>
  <c r="T1073" i="2"/>
  <c r="O1073" i="2"/>
  <c r="N1073" i="2"/>
  <c r="M1073" i="2"/>
  <c r="T1072" i="2"/>
  <c r="O1072" i="2"/>
  <c r="N1072" i="2"/>
  <c r="M1072" i="2"/>
  <c r="T1071" i="2"/>
  <c r="O1071" i="2"/>
  <c r="N1071" i="2"/>
  <c r="M1071" i="2"/>
  <c r="T1069" i="2"/>
  <c r="O1069" i="2"/>
  <c r="N1069" i="2"/>
  <c r="T1068" i="2"/>
  <c r="O1068" i="2"/>
  <c r="N1068" i="2"/>
  <c r="M1068" i="2"/>
  <c r="T1067" i="2"/>
  <c r="O1067" i="2"/>
  <c r="N1067" i="2"/>
  <c r="M1067" i="2"/>
  <c r="T1066" i="2"/>
  <c r="O1066" i="2"/>
  <c r="N1066" i="2"/>
  <c r="M1066" i="2"/>
  <c r="T1065" i="2"/>
  <c r="O1065" i="2"/>
  <c r="N1065" i="2"/>
  <c r="M1065" i="2"/>
  <c r="T1064" i="2"/>
  <c r="O1064" i="2"/>
  <c r="N1064" i="2"/>
  <c r="M1064" i="2"/>
  <c r="T1063" i="2"/>
  <c r="O1063" i="2"/>
  <c r="N1063" i="2"/>
  <c r="M1063" i="2"/>
  <c r="T1062" i="2"/>
  <c r="O1062" i="2"/>
  <c r="N1062" i="2"/>
  <c r="M1062" i="2"/>
  <c r="M1061" i="2"/>
  <c r="N1061" i="2"/>
  <c r="O1061" i="2"/>
  <c r="T1061" i="2"/>
  <c r="U1061" i="2"/>
  <c r="T1059" i="2"/>
  <c r="O1059" i="2"/>
  <c r="N1059" i="2"/>
  <c r="M1059" i="2"/>
  <c r="T1056" i="2"/>
  <c r="O1056" i="2"/>
  <c r="N1056" i="2"/>
  <c r="M1056" i="2"/>
  <c r="T1058" i="2"/>
  <c r="O1058" i="2"/>
  <c r="N1058" i="2"/>
  <c r="M1058" i="2"/>
  <c r="T1055" i="2"/>
  <c r="O1055" i="2"/>
  <c r="N1055" i="2"/>
  <c r="M1055" i="2"/>
  <c r="T1054" i="2"/>
  <c r="O1054" i="2"/>
  <c r="N1054" i="2"/>
  <c r="M1054" i="2"/>
  <c r="T1057" i="2"/>
  <c r="O1057" i="2"/>
  <c r="N1057" i="2"/>
  <c r="M1057" i="2"/>
  <c r="T1049" i="2"/>
  <c r="O1049" i="2"/>
  <c r="N1049" i="2"/>
  <c r="M1049" i="2"/>
  <c r="T1052" i="2"/>
  <c r="O1052" i="2"/>
  <c r="N1052" i="2"/>
  <c r="M1052" i="2"/>
  <c r="T1051" i="2"/>
  <c r="O1051" i="2"/>
  <c r="N1051" i="2"/>
  <c r="M1051" i="2"/>
  <c r="T1048" i="2"/>
  <c r="O1048" i="2"/>
  <c r="N1048" i="2"/>
  <c r="M1048" i="2"/>
  <c r="F89" i="10"/>
  <c r="F88" i="10"/>
  <c r="F87" i="10"/>
  <c r="F86" i="10"/>
  <c r="F85" i="10"/>
  <c r="F84" i="10"/>
  <c r="F90" i="10" s="1"/>
  <c r="M1028" i="2"/>
  <c r="N1028" i="2"/>
  <c r="O1028" i="2"/>
  <c r="T1028" i="2"/>
  <c r="U1028" i="2"/>
  <c r="M1026" i="2"/>
  <c r="N1026" i="2"/>
  <c r="O1026" i="2"/>
  <c r="T1026" i="2"/>
  <c r="U1026" i="2"/>
  <c r="T1050" i="2"/>
  <c r="O1050" i="2"/>
  <c r="N1050" i="2"/>
  <c r="T1047" i="2"/>
  <c r="O1047" i="2"/>
  <c r="N1047" i="2"/>
  <c r="M1047" i="2"/>
  <c r="T1045" i="2"/>
  <c r="O1045" i="2"/>
  <c r="N1045" i="2"/>
  <c r="M1045" i="2"/>
  <c r="T1044" i="2"/>
  <c r="O1044" i="2"/>
  <c r="N1044" i="2"/>
  <c r="M1044" i="2"/>
  <c r="T1043" i="2"/>
  <c r="O1043" i="2"/>
  <c r="N1043" i="2"/>
  <c r="M1043" i="2"/>
  <c r="T1042" i="2"/>
  <c r="O1042" i="2"/>
  <c r="N1042" i="2"/>
  <c r="M1042" i="2"/>
  <c r="T1046" i="2"/>
  <c r="O1046" i="2"/>
  <c r="N1046" i="2"/>
  <c r="M1046" i="2"/>
  <c r="T1037" i="2"/>
  <c r="O1037" i="2"/>
  <c r="N1037" i="2"/>
  <c r="M1037" i="2"/>
  <c r="T1038" i="2"/>
  <c r="O1038" i="2"/>
  <c r="N1038" i="2"/>
  <c r="M1038" i="2"/>
  <c r="T1041" i="2"/>
  <c r="O1041" i="2"/>
  <c r="N1041" i="2"/>
  <c r="M1041" i="2"/>
  <c r="T1040" i="2"/>
  <c r="O1040" i="2"/>
  <c r="N1040" i="2"/>
  <c r="M1040" i="2"/>
  <c r="T1039" i="2"/>
  <c r="O1039" i="2"/>
  <c r="N1039" i="2"/>
  <c r="M1039" i="2"/>
  <c r="T1036" i="2"/>
  <c r="O1036" i="2"/>
  <c r="N1036" i="2"/>
  <c r="M1036" i="2"/>
  <c r="T1035" i="2"/>
  <c r="O1035" i="2"/>
  <c r="N1035" i="2"/>
  <c r="M1035" i="2"/>
  <c r="T1034" i="2"/>
  <c r="O1034" i="2"/>
  <c r="N1034" i="2"/>
  <c r="M1034" i="2"/>
  <c r="T1033" i="2"/>
  <c r="O1033" i="2"/>
  <c r="N1033" i="2"/>
  <c r="M1033" i="2"/>
  <c r="T1032" i="2"/>
  <c r="O1032" i="2"/>
  <c r="N1032" i="2"/>
  <c r="M1032" i="2"/>
  <c r="T1031" i="2"/>
  <c r="O1031" i="2"/>
  <c r="N1031" i="2"/>
  <c r="M1031" i="2"/>
  <c r="T1030" i="2"/>
  <c r="O1030" i="2"/>
  <c r="N1030" i="2"/>
  <c r="M1030" i="2"/>
  <c r="T1029" i="2"/>
  <c r="O1029" i="2"/>
  <c r="N1029" i="2"/>
  <c r="M1029" i="2"/>
  <c r="T1027" i="2"/>
  <c r="O1027" i="2"/>
  <c r="N1027" i="2"/>
  <c r="M1027" i="2"/>
  <c r="T1025" i="2"/>
  <c r="O1025" i="2"/>
  <c r="N1025" i="2"/>
  <c r="M1025" i="2"/>
  <c r="T1024" i="2"/>
  <c r="O1024" i="2"/>
  <c r="N1024" i="2"/>
  <c r="M1024" i="2"/>
  <c r="T1023" i="2"/>
  <c r="O1023" i="2"/>
  <c r="N1023" i="2"/>
  <c r="M1023" i="2"/>
  <c r="T1022" i="2"/>
  <c r="O1022" i="2"/>
  <c r="N1022" i="2"/>
  <c r="M1022" i="2"/>
  <c r="F77" i="10"/>
  <c r="F82" i="10"/>
  <c r="F81" i="10"/>
  <c r="F80" i="10"/>
  <c r="F79" i="10"/>
  <c r="F78" i="10"/>
  <c r="U1018" i="2"/>
  <c r="U1019" i="2"/>
  <c r="U1020" i="2"/>
  <c r="U1021" i="2"/>
  <c r="T1018" i="2"/>
  <c r="T1019" i="2"/>
  <c r="T1020" i="2"/>
  <c r="T1021" i="2"/>
  <c r="O1018" i="2"/>
  <c r="O1019" i="2"/>
  <c r="O1020" i="2"/>
  <c r="O1021" i="2"/>
  <c r="N1018" i="2"/>
  <c r="N1019" i="2"/>
  <c r="N1020" i="2"/>
  <c r="N1021" i="2"/>
  <c r="M1018" i="2"/>
  <c r="M1019" i="2"/>
  <c r="M1020" i="2"/>
  <c r="M1021" i="2"/>
  <c r="M1017" i="2"/>
  <c r="N1017" i="2"/>
  <c r="O1017" i="2"/>
  <c r="T1017" i="2"/>
  <c r="U1017" i="2"/>
  <c r="M1016" i="2"/>
  <c r="N1016" i="2"/>
  <c r="O1016" i="2"/>
  <c r="T1016" i="2"/>
  <c r="U1016" i="2"/>
  <c r="O1005" i="2"/>
  <c r="N1005" i="2"/>
  <c r="M1005" i="2"/>
  <c r="O1004" i="2"/>
  <c r="N1004" i="2"/>
  <c r="M1004" i="2"/>
  <c r="O1003" i="2"/>
  <c r="N1003" i="2"/>
  <c r="M1003" i="2"/>
  <c r="O1002" i="2"/>
  <c r="N1002" i="2"/>
  <c r="M1002" i="2"/>
  <c r="O1001" i="2"/>
  <c r="N1001" i="2"/>
  <c r="M1001" i="2"/>
  <c r="O1000" i="2"/>
  <c r="N1000" i="2"/>
  <c r="M1000" i="2"/>
  <c r="O999" i="2"/>
  <c r="N999" i="2"/>
  <c r="O998" i="2"/>
  <c r="N998" i="2"/>
  <c r="M998" i="2"/>
  <c r="O997" i="2"/>
  <c r="N997" i="2"/>
  <c r="M997" i="2"/>
  <c r="T1015" i="2"/>
  <c r="O1015" i="2"/>
  <c r="N1015" i="2"/>
  <c r="M1015" i="2"/>
  <c r="T1014" i="2"/>
  <c r="O1014" i="2"/>
  <c r="N1014" i="2"/>
  <c r="M1014" i="2"/>
  <c r="T1013" i="2"/>
  <c r="O1013" i="2"/>
  <c r="N1013" i="2"/>
  <c r="M1013" i="2"/>
  <c r="T1012" i="2"/>
  <c r="O1012" i="2"/>
  <c r="N1012" i="2"/>
  <c r="M1012" i="2"/>
  <c r="T1011" i="2"/>
  <c r="O1011" i="2"/>
  <c r="N1011" i="2"/>
  <c r="M1011" i="2"/>
  <c r="T1010" i="2"/>
  <c r="O1010" i="2"/>
  <c r="N1010" i="2"/>
  <c r="M1010" i="2"/>
  <c r="T1003" i="2"/>
  <c r="T1002" i="2"/>
  <c r="T1001" i="2"/>
  <c r="T1000" i="2"/>
  <c r="T999" i="2"/>
  <c r="T998" i="2"/>
  <c r="T997" i="2"/>
  <c r="N1009" i="2"/>
  <c r="O1009" i="2"/>
  <c r="T1009" i="2"/>
  <c r="M1009" i="2"/>
  <c r="N1008" i="2"/>
  <c r="O1008" i="2"/>
  <c r="T1008" i="2"/>
  <c r="M1008" i="2"/>
  <c r="N1007" i="2"/>
  <c r="O1007" i="2"/>
  <c r="T1007" i="2"/>
  <c r="M1007" i="2"/>
  <c r="N1006" i="2"/>
  <c r="O1006" i="2"/>
  <c r="T1006" i="2"/>
  <c r="M1006" i="2"/>
  <c r="O996" i="2"/>
  <c r="N996" i="2"/>
  <c r="M996" i="2"/>
  <c r="O995" i="2"/>
  <c r="N995" i="2"/>
  <c r="M995" i="2"/>
  <c r="M994" i="2"/>
  <c r="T1005" i="2"/>
  <c r="T1004" i="2"/>
  <c r="T996" i="2"/>
  <c r="T995" i="2"/>
  <c r="N987" i="2"/>
  <c r="O987" i="2"/>
  <c r="T987" i="2"/>
  <c r="M988" i="2"/>
  <c r="N988" i="2"/>
  <c r="O988" i="2"/>
  <c r="T988" i="2"/>
  <c r="M989" i="2"/>
  <c r="N989" i="2"/>
  <c r="O989" i="2"/>
  <c r="T989" i="2"/>
  <c r="M990" i="2"/>
  <c r="N990" i="2"/>
  <c r="O990" i="2"/>
  <c r="T990" i="2"/>
  <c r="M991" i="2"/>
  <c r="N991" i="2"/>
  <c r="O991" i="2"/>
  <c r="T991" i="2"/>
  <c r="M992" i="2"/>
  <c r="N992" i="2"/>
  <c r="O992" i="2"/>
  <c r="T992" i="2"/>
  <c r="M993" i="2"/>
  <c r="N993" i="2"/>
  <c r="O993" i="2"/>
  <c r="T993" i="2"/>
  <c r="N994" i="2"/>
  <c r="O994" i="2"/>
  <c r="T994" i="2"/>
  <c r="F75" i="10"/>
  <c r="F74" i="10"/>
  <c r="F73" i="10"/>
  <c r="F72" i="10"/>
  <c r="F71" i="10"/>
  <c r="F70" i="10"/>
  <c r="F69" i="10"/>
  <c r="U1004" i="2"/>
  <c r="U1005" i="2"/>
  <c r="U988" i="2"/>
  <c r="U989" i="2"/>
  <c r="U990" i="2"/>
  <c r="U991" i="2"/>
  <c r="U992" i="2"/>
  <c r="U993" i="2"/>
  <c r="U994" i="2"/>
  <c r="U996" i="2"/>
  <c r="U987" i="2"/>
  <c r="T986" i="2"/>
  <c r="O986" i="2"/>
  <c r="N986" i="2"/>
  <c r="M986" i="2"/>
  <c r="T985" i="2"/>
  <c r="O985" i="2"/>
  <c r="N985" i="2"/>
  <c r="M985" i="2"/>
  <c r="T984" i="2"/>
  <c r="O984" i="2"/>
  <c r="N984" i="2"/>
  <c r="M984" i="2"/>
  <c r="T983" i="2"/>
  <c r="O983" i="2"/>
  <c r="N983" i="2"/>
  <c r="M983" i="2"/>
  <c r="T982" i="2"/>
  <c r="O982" i="2"/>
  <c r="N982" i="2"/>
  <c r="M982" i="2"/>
  <c r="T981" i="2"/>
  <c r="O981" i="2"/>
  <c r="N981" i="2"/>
  <c r="M981" i="2"/>
  <c r="T980" i="2"/>
  <c r="O980" i="2"/>
  <c r="N980" i="2"/>
  <c r="M980" i="2"/>
  <c r="T979" i="2"/>
  <c r="O979" i="2"/>
  <c r="N979" i="2"/>
  <c r="M979" i="2"/>
  <c r="T978" i="2"/>
  <c r="O978" i="2"/>
  <c r="N978" i="2"/>
  <c r="M978" i="2"/>
  <c r="T977" i="2"/>
  <c r="O977" i="2"/>
  <c r="N977" i="2"/>
  <c r="M977" i="2"/>
  <c r="T976" i="2"/>
  <c r="O976" i="2"/>
  <c r="N976" i="2"/>
  <c r="M976" i="2"/>
  <c r="T975" i="2"/>
  <c r="O975" i="2"/>
  <c r="N975" i="2"/>
  <c r="M975" i="2"/>
  <c r="T974" i="2"/>
  <c r="O974" i="2"/>
  <c r="N974" i="2"/>
  <c r="M974" i="2"/>
  <c r="T973" i="2"/>
  <c r="O973" i="2"/>
  <c r="N973" i="2"/>
  <c r="M973" i="2"/>
  <c r="T972" i="2"/>
  <c r="O972" i="2"/>
  <c r="N972" i="2"/>
  <c r="M972" i="2"/>
  <c r="T971" i="2"/>
  <c r="O971" i="2"/>
  <c r="N971" i="2"/>
  <c r="M971" i="2"/>
  <c r="T970" i="2"/>
  <c r="O970" i="2"/>
  <c r="N970" i="2"/>
  <c r="M970" i="2"/>
  <c r="T969" i="2"/>
  <c r="O969" i="2"/>
  <c r="N969" i="2"/>
  <c r="M969" i="2"/>
  <c r="T968" i="2"/>
  <c r="O968" i="2"/>
  <c r="N968" i="2"/>
  <c r="M968" i="2"/>
  <c r="T967" i="2"/>
  <c r="O967" i="2"/>
  <c r="N967" i="2"/>
  <c r="M967" i="2"/>
  <c r="T966" i="2"/>
  <c r="O966" i="2"/>
  <c r="N966" i="2"/>
  <c r="M966" i="2"/>
  <c r="T965" i="2"/>
  <c r="O965" i="2"/>
  <c r="N965" i="2"/>
  <c r="M965" i="2"/>
  <c r="T964" i="2"/>
  <c r="O964" i="2"/>
  <c r="N964" i="2"/>
  <c r="M964" i="2"/>
  <c r="T963" i="2"/>
  <c r="O963" i="2"/>
  <c r="N963" i="2"/>
  <c r="M963" i="2"/>
  <c r="T962" i="2"/>
  <c r="O962" i="2"/>
  <c r="N962" i="2"/>
  <c r="M962" i="2"/>
  <c r="T961" i="2"/>
  <c r="O961" i="2"/>
  <c r="N961" i="2"/>
  <c r="M961" i="2"/>
  <c r="F67" i="10"/>
  <c r="F66" i="10"/>
  <c r="F65" i="10"/>
  <c r="F64" i="10"/>
  <c r="F63" i="10"/>
  <c r="F62" i="10"/>
  <c r="F68" i="10" s="1"/>
  <c r="N954" i="2"/>
  <c r="O954" i="2"/>
  <c r="T954" i="2"/>
  <c r="U954" i="2"/>
  <c r="T960" i="2"/>
  <c r="O960" i="2"/>
  <c r="N960" i="2"/>
  <c r="M960" i="2"/>
  <c r="T959" i="2"/>
  <c r="O959" i="2"/>
  <c r="N959" i="2"/>
  <c r="M959" i="2"/>
  <c r="T958" i="2"/>
  <c r="O958" i="2"/>
  <c r="N958" i="2"/>
  <c r="M958" i="2"/>
  <c r="T957" i="2"/>
  <c r="O957" i="2"/>
  <c r="N957" i="2"/>
  <c r="M957" i="2"/>
  <c r="T956" i="2"/>
  <c r="O956" i="2"/>
  <c r="N956" i="2"/>
  <c r="M956" i="2"/>
  <c r="T955" i="2"/>
  <c r="O955" i="2"/>
  <c r="N955" i="2"/>
  <c r="M955" i="2"/>
  <c r="T953" i="2"/>
  <c r="O953" i="2"/>
  <c r="N953" i="2"/>
  <c r="M953" i="2"/>
  <c r="T952" i="2"/>
  <c r="O952" i="2"/>
  <c r="N952" i="2"/>
  <c r="M952" i="2"/>
  <c r="T951" i="2"/>
  <c r="O951" i="2"/>
  <c r="N951" i="2"/>
  <c r="M951" i="2"/>
  <c r="T950" i="2"/>
  <c r="O950" i="2"/>
  <c r="N950" i="2"/>
  <c r="M950" i="2"/>
  <c r="T949" i="2"/>
  <c r="O949" i="2"/>
  <c r="N949" i="2"/>
  <c r="M949" i="2"/>
  <c r="T948" i="2"/>
  <c r="O948" i="2"/>
  <c r="N948" i="2"/>
  <c r="M948" i="2"/>
  <c r="T947" i="2"/>
  <c r="O947" i="2"/>
  <c r="N947" i="2"/>
  <c r="M947" i="2"/>
  <c r="T946" i="2"/>
  <c r="O946" i="2"/>
  <c r="N946" i="2"/>
  <c r="M946" i="2"/>
  <c r="T945" i="2"/>
  <c r="O945" i="2"/>
  <c r="N945" i="2"/>
  <c r="M945" i="2"/>
  <c r="T944" i="2"/>
  <c r="O944" i="2"/>
  <c r="N944" i="2"/>
  <c r="M944" i="2"/>
  <c r="T943" i="2"/>
  <c r="O943" i="2"/>
  <c r="N943" i="2"/>
  <c r="M943" i="2"/>
  <c r="T942" i="2"/>
  <c r="O942" i="2"/>
  <c r="N942" i="2"/>
  <c r="M942" i="2"/>
  <c r="T941" i="2"/>
  <c r="O941" i="2"/>
  <c r="N941" i="2"/>
  <c r="M941" i="2"/>
  <c r="U947" i="2"/>
  <c r="U948" i="2"/>
  <c r="U949" i="2"/>
  <c r="U950" i="2"/>
  <c r="U951" i="2"/>
  <c r="U952" i="2"/>
  <c r="U953" i="2"/>
  <c r="U955" i="2"/>
  <c r="U956" i="2"/>
  <c r="U957" i="2"/>
  <c r="U958" i="2"/>
  <c r="U959" i="2"/>
  <c r="U960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M925" i="2"/>
  <c r="M926" i="2"/>
  <c r="M927" i="2"/>
  <c r="M928" i="2"/>
  <c r="M929" i="2"/>
  <c r="M930" i="2"/>
  <c r="M931" i="2"/>
  <c r="M932" i="2"/>
  <c r="M935" i="2"/>
  <c r="M936" i="2"/>
  <c r="M937" i="2"/>
  <c r="M938" i="2"/>
  <c r="M939" i="2"/>
  <c r="M940" i="2"/>
  <c r="M913" i="2"/>
  <c r="N913" i="2"/>
  <c r="O913" i="2"/>
  <c r="T913" i="2"/>
  <c r="U913" i="2"/>
  <c r="N909" i="2"/>
  <c r="O909" i="2"/>
  <c r="T909" i="2"/>
  <c r="U909" i="2"/>
  <c r="U910" i="2"/>
  <c r="T910" i="2"/>
  <c r="O910" i="2"/>
  <c r="N910" i="2"/>
  <c r="M910" i="2"/>
  <c r="N911" i="2"/>
  <c r="O911" i="2"/>
  <c r="T911" i="2"/>
  <c r="U911" i="2"/>
  <c r="T908" i="2"/>
  <c r="O908" i="2"/>
  <c r="N908" i="2"/>
  <c r="F56" i="10"/>
  <c r="M893" i="2"/>
  <c r="O880" i="2"/>
  <c r="N880" i="2"/>
  <c r="M880" i="2"/>
  <c r="O881" i="2"/>
  <c r="N881" i="2"/>
  <c r="M881" i="2"/>
  <c r="M882" i="2"/>
  <c r="N882" i="2"/>
  <c r="O882" i="2"/>
  <c r="M883" i="2"/>
  <c r="N883" i="2"/>
  <c r="O883" i="2"/>
  <c r="M884" i="2"/>
  <c r="N884" i="2"/>
  <c r="O884" i="2"/>
  <c r="M885" i="2"/>
  <c r="N885" i="2"/>
  <c r="O885" i="2"/>
  <c r="M886" i="2"/>
  <c r="N886" i="2"/>
  <c r="O886" i="2"/>
  <c r="M887" i="2"/>
  <c r="N887" i="2"/>
  <c r="O887" i="2"/>
  <c r="M889" i="2"/>
  <c r="N889" i="2"/>
  <c r="O889" i="2"/>
  <c r="M891" i="2"/>
  <c r="N891" i="2"/>
  <c r="O891" i="2"/>
  <c r="N893" i="2"/>
  <c r="O893" i="2"/>
  <c r="M888" i="2"/>
  <c r="N888" i="2"/>
  <c r="O888" i="2"/>
  <c r="M890" i="2"/>
  <c r="N890" i="2"/>
  <c r="O890" i="2"/>
  <c r="M894" i="2"/>
  <c r="N894" i="2"/>
  <c r="O894" i="2"/>
  <c r="M892" i="2"/>
  <c r="N892" i="2"/>
  <c r="O892" i="2"/>
  <c r="M895" i="2"/>
  <c r="N895" i="2"/>
  <c r="O895" i="2"/>
  <c r="M896" i="2"/>
  <c r="N896" i="2"/>
  <c r="O896" i="2"/>
  <c r="M897" i="2"/>
  <c r="N897" i="2"/>
  <c r="O897" i="2"/>
  <c r="M899" i="2"/>
  <c r="N899" i="2"/>
  <c r="O899" i="2"/>
  <c r="M900" i="2"/>
  <c r="N900" i="2"/>
  <c r="O900" i="2"/>
  <c r="M901" i="2"/>
  <c r="N901" i="2"/>
  <c r="O901" i="2"/>
  <c r="M902" i="2"/>
  <c r="N902" i="2"/>
  <c r="O902" i="2"/>
  <c r="M903" i="2"/>
  <c r="N903" i="2"/>
  <c r="O903" i="2"/>
  <c r="M904" i="2"/>
  <c r="N904" i="2"/>
  <c r="O904" i="2"/>
  <c r="M905" i="2"/>
  <c r="N905" i="2"/>
  <c r="O905" i="2"/>
  <c r="M906" i="2"/>
  <c r="N906" i="2"/>
  <c r="O906" i="2"/>
  <c r="M898" i="2"/>
  <c r="N898" i="2"/>
  <c r="O898" i="2"/>
  <c r="M907" i="2"/>
  <c r="N907" i="2"/>
  <c r="O907" i="2"/>
  <c r="M912" i="2"/>
  <c r="N912" i="2"/>
  <c r="O912" i="2"/>
  <c r="M914" i="2"/>
  <c r="N914" i="2"/>
  <c r="O914" i="2"/>
  <c r="N915" i="2"/>
  <c r="O915" i="2"/>
  <c r="M916" i="2"/>
  <c r="N916" i="2"/>
  <c r="O916" i="2"/>
  <c r="M917" i="2"/>
  <c r="N917" i="2"/>
  <c r="O917" i="2"/>
  <c r="M918" i="2"/>
  <c r="N918" i="2"/>
  <c r="O918" i="2"/>
  <c r="M919" i="2"/>
  <c r="N919" i="2"/>
  <c r="O919" i="2"/>
  <c r="M920" i="2"/>
  <c r="N920" i="2"/>
  <c r="O920" i="2"/>
  <c r="M921" i="2"/>
  <c r="N921" i="2"/>
  <c r="O921" i="2"/>
  <c r="M922" i="2"/>
  <c r="N922" i="2"/>
  <c r="O922" i="2"/>
  <c r="M923" i="2"/>
  <c r="N923" i="2"/>
  <c r="O923" i="2"/>
  <c r="M924" i="2"/>
  <c r="N924" i="2"/>
  <c r="O924" i="2"/>
  <c r="T924" i="2"/>
  <c r="T923" i="2"/>
  <c r="T922" i="2"/>
  <c r="T921" i="2"/>
  <c r="T920" i="2"/>
  <c r="T919" i="2"/>
  <c r="T918" i="2"/>
  <c r="T917" i="2"/>
  <c r="T916" i="2"/>
  <c r="T915" i="2"/>
  <c r="T914" i="2"/>
  <c r="T912" i="2"/>
  <c r="T907" i="2"/>
  <c r="T898" i="2"/>
  <c r="T906" i="2"/>
  <c r="T905" i="2"/>
  <c r="T904" i="2"/>
  <c r="T903" i="2"/>
  <c r="T902" i="2"/>
  <c r="T901" i="2"/>
  <c r="T900" i="2"/>
  <c r="T899" i="2"/>
  <c r="T897" i="2"/>
  <c r="T896" i="2"/>
  <c r="T895" i="2"/>
  <c r="T892" i="2"/>
  <c r="T894" i="2"/>
  <c r="T890" i="2"/>
  <c r="T888" i="2"/>
  <c r="T893" i="2"/>
  <c r="T891" i="2"/>
  <c r="T889" i="2"/>
  <c r="T887" i="2"/>
  <c r="T886" i="2"/>
  <c r="T885" i="2"/>
  <c r="T884" i="2"/>
  <c r="T883" i="2"/>
  <c r="M879" i="2"/>
  <c r="N879" i="2"/>
  <c r="O879" i="2"/>
  <c r="T879" i="2"/>
  <c r="U879" i="2"/>
  <c r="M878" i="2"/>
  <c r="N878" i="2"/>
  <c r="O878" i="2"/>
  <c r="T878" i="2"/>
  <c r="U878" i="2"/>
  <c r="M877" i="2"/>
  <c r="N877" i="2"/>
  <c r="O877" i="2"/>
  <c r="T877" i="2"/>
  <c r="U877" i="2"/>
  <c r="U876" i="2"/>
  <c r="T876" i="2"/>
  <c r="O876" i="2"/>
  <c r="N876" i="2"/>
  <c r="M876" i="2"/>
  <c r="N870" i="2"/>
  <c r="M867" i="2"/>
  <c r="M868" i="2"/>
  <c r="M869" i="2"/>
  <c r="M870" i="2"/>
  <c r="M871" i="2"/>
  <c r="M872" i="2"/>
  <c r="M873" i="2"/>
  <c r="M874" i="2"/>
  <c r="M875" i="2"/>
  <c r="N867" i="2"/>
  <c r="N868" i="2"/>
  <c r="N869" i="2"/>
  <c r="N871" i="2"/>
  <c r="N872" i="2"/>
  <c r="N873" i="2"/>
  <c r="N874" i="2"/>
  <c r="N875" i="2"/>
  <c r="O867" i="2"/>
  <c r="O868" i="2"/>
  <c r="O869" i="2"/>
  <c r="O870" i="2"/>
  <c r="O871" i="2"/>
  <c r="O872" i="2"/>
  <c r="O873" i="2"/>
  <c r="O874" i="2"/>
  <c r="O875" i="2"/>
  <c r="T867" i="2"/>
  <c r="T868" i="2"/>
  <c r="T869" i="2"/>
  <c r="T870" i="2"/>
  <c r="T871" i="2"/>
  <c r="T872" i="2"/>
  <c r="T873" i="2"/>
  <c r="T874" i="2"/>
  <c r="T875" i="2"/>
  <c r="U867" i="2"/>
  <c r="U868" i="2"/>
  <c r="U869" i="2"/>
  <c r="U870" i="2"/>
  <c r="U871" i="2"/>
  <c r="U872" i="2"/>
  <c r="U873" i="2"/>
  <c r="U874" i="2"/>
  <c r="U875" i="2"/>
  <c r="N844" i="2"/>
  <c r="O844" i="2"/>
  <c r="T844" i="2"/>
  <c r="U844" i="2"/>
  <c r="U865" i="2"/>
  <c r="U866" i="2"/>
  <c r="T865" i="2"/>
  <c r="T866" i="2"/>
  <c r="O865" i="2"/>
  <c r="O866" i="2"/>
  <c r="N865" i="2"/>
  <c r="N866" i="2"/>
  <c r="M865" i="2"/>
  <c r="M86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36" i="2"/>
  <c r="M841" i="2"/>
  <c r="U804" i="2"/>
  <c r="N804" i="2"/>
  <c r="M801" i="2"/>
  <c r="M793" i="2"/>
  <c r="N793" i="2"/>
  <c r="O793" i="2"/>
  <c r="T793" i="2"/>
  <c r="U793" i="2"/>
  <c r="O790" i="2"/>
  <c r="N790" i="2"/>
  <c r="M790" i="2"/>
  <c r="O789" i="2"/>
  <c r="N789" i="2"/>
  <c r="M789" i="2"/>
  <c r="O788" i="2"/>
  <c r="N788" i="2"/>
  <c r="M788" i="2"/>
  <c r="O787" i="2"/>
  <c r="N787" i="2"/>
  <c r="M787" i="2"/>
  <c r="O786" i="2"/>
  <c r="N786" i="2"/>
  <c r="M786" i="2"/>
  <c r="O785" i="2"/>
  <c r="N785" i="2"/>
  <c r="M785" i="2"/>
  <c r="O784" i="2"/>
  <c r="N784" i="2"/>
  <c r="M784" i="2"/>
  <c r="O783" i="2"/>
  <c r="N783" i="2"/>
  <c r="M783" i="2"/>
  <c r="O782" i="2"/>
  <c r="N782" i="2"/>
  <c r="M782" i="2"/>
  <c r="O781" i="2"/>
  <c r="N781" i="2"/>
  <c r="M781" i="2"/>
  <c r="O780" i="2"/>
  <c r="N780" i="2"/>
  <c r="M780" i="2"/>
  <c r="U780" i="2"/>
  <c r="U781" i="2"/>
  <c r="U782" i="2"/>
  <c r="U783" i="2"/>
  <c r="U784" i="2"/>
  <c r="U785" i="2"/>
  <c r="U786" i="2"/>
  <c r="U787" i="2"/>
  <c r="U788" i="2"/>
  <c r="U789" i="2"/>
  <c r="U790" i="2"/>
  <c r="O751" i="2"/>
  <c r="U724" i="2"/>
  <c r="T724" i="2"/>
  <c r="O724" i="2"/>
  <c r="N724" i="2"/>
  <c r="M724" i="2"/>
  <c r="Q2" i="2"/>
  <c r="N675" i="2"/>
  <c r="N677" i="2"/>
  <c r="M675" i="2"/>
  <c r="M677" i="2"/>
  <c r="M669" i="2"/>
  <c r="M664" i="2"/>
  <c r="N664" i="2"/>
  <c r="O664" i="2"/>
  <c r="T664" i="2"/>
  <c r="U664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M640" i="2"/>
  <c r="N635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91" i="2"/>
  <c r="U792" i="2"/>
  <c r="U794" i="2"/>
  <c r="U795" i="2"/>
  <c r="U796" i="2"/>
  <c r="U797" i="2"/>
  <c r="U798" i="2"/>
  <c r="U799" i="2"/>
  <c r="U800" i="2"/>
  <c r="U801" i="2"/>
  <c r="U802" i="2"/>
  <c r="U803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30" i="2"/>
  <c r="U829" i="2"/>
  <c r="U828" i="2"/>
  <c r="U831" i="2"/>
  <c r="U833" i="2"/>
  <c r="U836" i="2"/>
  <c r="U841" i="2"/>
  <c r="U834" i="2"/>
  <c r="U835" i="2"/>
  <c r="U839" i="2"/>
  <c r="U837" i="2"/>
  <c r="U832" i="2"/>
  <c r="U838" i="2"/>
  <c r="U840" i="2"/>
  <c r="U842" i="2"/>
  <c r="U843" i="2"/>
  <c r="U845" i="2"/>
  <c r="U846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92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30" i="2"/>
  <c r="T829" i="2"/>
  <c r="T828" i="2"/>
  <c r="T831" i="2"/>
  <c r="T833" i="2"/>
  <c r="T836" i="2"/>
  <c r="T841" i="2"/>
  <c r="T834" i="2"/>
  <c r="T835" i="2"/>
  <c r="T839" i="2"/>
  <c r="T837" i="2"/>
  <c r="T832" i="2"/>
  <c r="T838" i="2"/>
  <c r="T840" i="2"/>
  <c r="T842" i="2"/>
  <c r="T843" i="2"/>
  <c r="T845" i="2"/>
  <c r="T846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91" i="2"/>
  <c r="O792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30" i="2"/>
  <c r="O829" i="2"/>
  <c r="O828" i="2"/>
  <c r="O831" i="2"/>
  <c r="O833" i="2"/>
  <c r="O836" i="2"/>
  <c r="O841" i="2"/>
  <c r="O834" i="2"/>
  <c r="O835" i="2"/>
  <c r="O839" i="2"/>
  <c r="O837" i="2"/>
  <c r="O832" i="2"/>
  <c r="O838" i="2"/>
  <c r="O840" i="2"/>
  <c r="O842" i="2"/>
  <c r="O843" i="2"/>
  <c r="O845" i="2"/>
  <c r="O846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91" i="2"/>
  <c r="N792" i="2"/>
  <c r="N794" i="2"/>
  <c r="N795" i="2"/>
  <c r="N796" i="2"/>
  <c r="N797" i="2"/>
  <c r="N798" i="2"/>
  <c r="N799" i="2"/>
  <c r="N800" i="2"/>
  <c r="N801" i="2"/>
  <c r="N802" i="2"/>
  <c r="N803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30" i="2"/>
  <c r="N829" i="2"/>
  <c r="N828" i="2"/>
  <c r="N831" i="2"/>
  <c r="N833" i="2"/>
  <c r="N836" i="2"/>
  <c r="N841" i="2"/>
  <c r="N834" i="2"/>
  <c r="N835" i="2"/>
  <c r="N839" i="2"/>
  <c r="N837" i="2"/>
  <c r="N832" i="2"/>
  <c r="N838" i="2"/>
  <c r="N840" i="2"/>
  <c r="N842" i="2"/>
  <c r="N843" i="2"/>
  <c r="N845" i="2"/>
  <c r="N846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91" i="2"/>
  <c r="M792" i="2"/>
  <c r="M794" i="2"/>
  <c r="M795" i="2"/>
  <c r="M796" i="2"/>
  <c r="M797" i="2"/>
  <c r="M798" i="2"/>
  <c r="M799" i="2"/>
  <c r="M800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30" i="2"/>
  <c r="M829" i="2"/>
  <c r="M828" i="2"/>
  <c r="M831" i="2"/>
  <c r="M833" i="2"/>
  <c r="M834" i="2"/>
  <c r="M835" i="2"/>
  <c r="M839" i="2"/>
  <c r="M837" i="2"/>
  <c r="M832" i="2"/>
  <c r="M838" i="2"/>
  <c r="M840" i="2"/>
  <c r="M842" i="2"/>
  <c r="M843" i="2"/>
  <c r="M845" i="2"/>
  <c r="M84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1" i="2"/>
  <c r="M642" i="2"/>
  <c r="M643" i="2"/>
  <c r="M644" i="2"/>
  <c r="M645" i="2"/>
  <c r="M646" i="2"/>
  <c r="M647" i="2"/>
  <c r="M648" i="2"/>
  <c r="M649" i="2"/>
  <c r="M657" i="2"/>
  <c r="M658" i="2"/>
  <c r="M659" i="2"/>
  <c r="M660" i="2"/>
  <c r="M661" i="2"/>
  <c r="M662" i="2"/>
  <c r="M663" i="2"/>
  <c r="M665" i="2"/>
  <c r="M666" i="2"/>
  <c r="M667" i="2"/>
  <c r="M668" i="2"/>
  <c r="M670" i="2"/>
  <c r="M671" i="2"/>
  <c r="M672" i="2"/>
  <c r="M673" i="2"/>
  <c r="M674" i="2"/>
  <c r="M676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7" i="2"/>
  <c r="O658" i="2"/>
  <c r="O659" i="2"/>
  <c r="O660" i="2"/>
  <c r="O661" i="2"/>
  <c r="O662" i="2"/>
  <c r="O663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N627" i="2"/>
  <c r="N628" i="2"/>
  <c r="N629" i="2"/>
  <c r="N630" i="2"/>
  <c r="N631" i="2"/>
  <c r="N632" i="2"/>
  <c r="N633" i="2"/>
  <c r="N634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7" i="2"/>
  <c r="N658" i="2"/>
  <c r="N659" i="2"/>
  <c r="N660" i="2"/>
  <c r="N661" i="2"/>
  <c r="N662" i="2"/>
  <c r="N663" i="2"/>
  <c r="N665" i="2"/>
  <c r="N666" i="2"/>
  <c r="N667" i="2"/>
  <c r="N668" i="2"/>
  <c r="N669" i="2"/>
  <c r="N670" i="2"/>
  <c r="N671" i="2"/>
  <c r="N672" i="2"/>
  <c r="N673" i="2"/>
  <c r="N674" i="2"/>
  <c r="N676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N601" i="2"/>
  <c r="O601" i="2"/>
  <c r="M601" i="2"/>
  <c r="T601" i="2"/>
  <c r="U601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547" i="2"/>
  <c r="N548" i="2"/>
  <c r="N550" i="2"/>
  <c r="N549" i="2"/>
  <c r="N551" i="2"/>
  <c r="N552" i="2"/>
  <c r="N553" i="2"/>
  <c r="N556" i="2"/>
  <c r="N554" i="2"/>
  <c r="N555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O547" i="2"/>
  <c r="O548" i="2"/>
  <c r="O550" i="2"/>
  <c r="O549" i="2"/>
  <c r="O551" i="2"/>
  <c r="O552" i="2"/>
  <c r="O553" i="2"/>
  <c r="O556" i="2"/>
  <c r="O554" i="2"/>
  <c r="O555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M548" i="2"/>
  <c r="M550" i="2"/>
  <c r="M549" i="2"/>
  <c r="M551" i="2"/>
  <c r="M552" i="2"/>
  <c r="M553" i="2"/>
  <c r="M556" i="2"/>
  <c r="M554" i="2"/>
  <c r="M555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T547" i="2"/>
  <c r="T548" i="2"/>
  <c r="T550" i="2"/>
  <c r="T549" i="2"/>
  <c r="T551" i="2"/>
  <c r="T552" i="2"/>
  <c r="T553" i="2"/>
  <c r="T556" i="2"/>
  <c r="T554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U547" i="2"/>
  <c r="U548" i="2"/>
  <c r="U550" i="2"/>
  <c r="U549" i="2"/>
  <c r="U551" i="2"/>
  <c r="U552" i="2"/>
  <c r="U553" i="2"/>
  <c r="U556" i="2"/>
  <c r="U554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N545" i="2"/>
  <c r="O545" i="2"/>
  <c r="M545" i="2"/>
  <c r="T545" i="2"/>
  <c r="U545" i="2"/>
  <c r="U517" i="2"/>
  <c r="T517" i="2"/>
  <c r="M517" i="2"/>
  <c r="O517" i="2"/>
  <c r="N517" i="2"/>
  <c r="U516" i="2"/>
  <c r="T516" i="2"/>
  <c r="M516" i="2"/>
  <c r="O516" i="2"/>
  <c r="N516" i="2"/>
  <c r="U515" i="2"/>
  <c r="T515" i="2"/>
  <c r="M515" i="2"/>
  <c r="O515" i="2"/>
  <c r="N515" i="2"/>
  <c r="U514" i="2"/>
  <c r="T514" i="2"/>
  <c r="M514" i="2"/>
  <c r="O514" i="2"/>
  <c r="N514" i="2"/>
  <c r="U512" i="2"/>
  <c r="T512" i="2"/>
  <c r="M512" i="2"/>
  <c r="O512" i="2"/>
  <c r="N512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6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6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6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6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6" i="2"/>
  <c r="N513" i="2"/>
  <c r="O513" i="2"/>
  <c r="M513" i="2"/>
  <c r="T513" i="2"/>
  <c r="U513" i="2"/>
  <c r="N511" i="2"/>
  <c r="O511" i="2"/>
  <c r="M511" i="2"/>
  <c r="T511" i="2"/>
  <c r="U511" i="2"/>
  <c r="N510" i="2"/>
  <c r="O510" i="2"/>
  <c r="M510" i="2"/>
  <c r="T510" i="2"/>
  <c r="U510" i="2"/>
  <c r="N509" i="2"/>
  <c r="O509" i="2"/>
  <c r="M509" i="2"/>
  <c r="T509" i="2"/>
  <c r="U509" i="2"/>
  <c r="N508" i="2"/>
  <c r="O508" i="2"/>
  <c r="M508" i="2"/>
  <c r="T508" i="2"/>
  <c r="U508" i="2"/>
  <c r="N507" i="2"/>
  <c r="O507" i="2"/>
  <c r="M507" i="2"/>
  <c r="T507" i="2"/>
  <c r="U507" i="2"/>
  <c r="N506" i="2"/>
  <c r="O506" i="2"/>
  <c r="M506" i="2"/>
  <c r="T506" i="2"/>
  <c r="U506" i="2"/>
  <c r="N505" i="2"/>
  <c r="O505" i="2"/>
  <c r="M505" i="2"/>
  <c r="T505" i="2"/>
  <c r="U505" i="2"/>
  <c r="N504" i="2"/>
  <c r="O504" i="2"/>
  <c r="M504" i="2"/>
  <c r="T504" i="2"/>
  <c r="U504" i="2"/>
  <c r="N503" i="2"/>
  <c r="O503" i="2"/>
  <c r="M503" i="2"/>
  <c r="T503" i="2"/>
  <c r="U503" i="2"/>
  <c r="N502" i="2"/>
  <c r="O502" i="2"/>
  <c r="M502" i="2"/>
  <c r="T502" i="2"/>
  <c r="U502" i="2"/>
  <c r="N501" i="2"/>
  <c r="O501" i="2"/>
  <c r="M501" i="2"/>
  <c r="T501" i="2"/>
  <c r="U501" i="2"/>
  <c r="N500" i="2"/>
  <c r="O500" i="2"/>
  <c r="M500" i="2"/>
  <c r="T500" i="2"/>
  <c r="U500" i="2"/>
  <c r="N493" i="2"/>
  <c r="N494" i="2"/>
  <c r="N495" i="2"/>
  <c r="N496" i="2"/>
  <c r="N497" i="2"/>
  <c r="N498" i="2"/>
  <c r="N499" i="2"/>
  <c r="O493" i="2"/>
  <c r="O494" i="2"/>
  <c r="O495" i="2"/>
  <c r="O496" i="2"/>
  <c r="O497" i="2"/>
  <c r="O498" i="2"/>
  <c r="O499" i="2"/>
  <c r="M493" i="2"/>
  <c r="M494" i="2"/>
  <c r="M495" i="2"/>
  <c r="M496" i="2"/>
  <c r="M497" i="2"/>
  <c r="M498" i="2"/>
  <c r="M499" i="2"/>
  <c r="T493" i="2"/>
  <c r="T494" i="2"/>
  <c r="T495" i="2"/>
  <c r="T496" i="2"/>
  <c r="T497" i="2"/>
  <c r="T498" i="2"/>
  <c r="T499" i="2"/>
  <c r="U493" i="2"/>
  <c r="U494" i="2"/>
  <c r="U495" i="2"/>
  <c r="U496" i="2"/>
  <c r="U497" i="2"/>
  <c r="U498" i="2"/>
  <c r="U499" i="2"/>
  <c r="N486" i="2"/>
  <c r="N487" i="2"/>
  <c r="N488" i="2"/>
  <c r="N489" i="2"/>
  <c r="N490" i="2"/>
  <c r="N491" i="2"/>
  <c r="N492" i="2"/>
  <c r="O486" i="2"/>
  <c r="O487" i="2"/>
  <c r="O488" i="2"/>
  <c r="O489" i="2"/>
  <c r="O490" i="2"/>
  <c r="O491" i="2"/>
  <c r="O492" i="2"/>
  <c r="M486" i="2"/>
  <c r="M487" i="2"/>
  <c r="M488" i="2"/>
  <c r="M489" i="2"/>
  <c r="M490" i="2"/>
  <c r="M491" i="2"/>
  <c r="M492" i="2"/>
  <c r="T486" i="2"/>
  <c r="T487" i="2"/>
  <c r="T488" i="2"/>
  <c r="T489" i="2"/>
  <c r="T490" i="2"/>
  <c r="T491" i="2"/>
  <c r="T492" i="2"/>
  <c r="U486" i="2"/>
  <c r="U487" i="2"/>
  <c r="U488" i="2"/>
  <c r="U489" i="2"/>
  <c r="U490" i="2"/>
  <c r="U491" i="2"/>
  <c r="U492" i="2"/>
  <c r="U456" i="2"/>
  <c r="U457" i="2"/>
  <c r="U458" i="2"/>
  <c r="U459" i="2"/>
  <c r="U460" i="2"/>
  <c r="U461" i="2"/>
  <c r="U462" i="2"/>
  <c r="U463" i="2"/>
  <c r="U464" i="2"/>
  <c r="U467" i="2"/>
  <c r="U465" i="2"/>
  <c r="U466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T456" i="2"/>
  <c r="T457" i="2"/>
  <c r="T458" i="2"/>
  <c r="T459" i="2"/>
  <c r="T460" i="2"/>
  <c r="T461" i="2"/>
  <c r="T462" i="2"/>
  <c r="T463" i="2"/>
  <c r="T464" i="2"/>
  <c r="T467" i="2"/>
  <c r="T465" i="2"/>
  <c r="T466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M456" i="2"/>
  <c r="M457" i="2"/>
  <c r="M458" i="2"/>
  <c r="M459" i="2"/>
  <c r="M460" i="2"/>
  <c r="M461" i="2"/>
  <c r="M462" i="2"/>
  <c r="M463" i="2"/>
  <c r="M464" i="2"/>
  <c r="M467" i="2"/>
  <c r="M465" i="2"/>
  <c r="M466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O456" i="2"/>
  <c r="O457" i="2"/>
  <c r="O458" i="2"/>
  <c r="O459" i="2"/>
  <c r="O460" i="2"/>
  <c r="O461" i="2"/>
  <c r="O462" i="2"/>
  <c r="O463" i="2"/>
  <c r="O464" i="2"/>
  <c r="O467" i="2"/>
  <c r="O465" i="2"/>
  <c r="O466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N456" i="2"/>
  <c r="N457" i="2"/>
  <c r="N458" i="2"/>
  <c r="N459" i="2"/>
  <c r="N460" i="2"/>
  <c r="N461" i="2"/>
  <c r="N462" i="2"/>
  <c r="N463" i="2"/>
  <c r="N464" i="2"/>
  <c r="N467" i="2"/>
  <c r="N465" i="2"/>
  <c r="N466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M436" i="2"/>
  <c r="M437" i="2"/>
  <c r="M438" i="2"/>
  <c r="M439" i="2"/>
  <c r="M440" i="2"/>
  <c r="M441" i="2"/>
  <c r="M442" i="2"/>
  <c r="M443" i="2"/>
  <c r="M444" i="2"/>
  <c r="M445" i="2"/>
  <c r="M447" i="2"/>
  <c r="M448" i="2"/>
  <c r="M449" i="2"/>
  <c r="M450" i="2"/>
  <c r="M451" i="2"/>
  <c r="M452" i="2"/>
  <c r="M453" i="2"/>
  <c r="M454" i="2"/>
  <c r="M45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N435" i="2"/>
  <c r="O435" i="2"/>
  <c r="M435" i="2"/>
  <c r="T435" i="2"/>
  <c r="U435" i="2"/>
  <c r="N434" i="2"/>
  <c r="O434" i="2"/>
  <c r="M434" i="2"/>
  <c r="T434" i="2"/>
  <c r="U434" i="2"/>
  <c r="N433" i="2"/>
  <c r="O433" i="2"/>
  <c r="M433" i="2"/>
  <c r="T433" i="2"/>
  <c r="U433" i="2"/>
  <c r="N432" i="2"/>
  <c r="O432" i="2"/>
  <c r="M432" i="2"/>
  <c r="T432" i="2"/>
  <c r="U432" i="2"/>
  <c r="N431" i="2"/>
  <c r="O431" i="2"/>
  <c r="M431" i="2"/>
  <c r="T431" i="2"/>
  <c r="U431" i="2"/>
  <c r="N430" i="2"/>
  <c r="O430" i="2"/>
  <c r="M430" i="2"/>
  <c r="T430" i="2"/>
  <c r="U430" i="2"/>
  <c r="N429" i="2"/>
  <c r="O429" i="2"/>
  <c r="M429" i="2"/>
  <c r="T429" i="2"/>
  <c r="U429" i="2"/>
  <c r="N428" i="2"/>
  <c r="O428" i="2"/>
  <c r="M428" i="2"/>
  <c r="T428" i="2"/>
  <c r="U428" i="2"/>
  <c r="N427" i="2"/>
  <c r="O427" i="2"/>
  <c r="M427" i="2"/>
  <c r="T427" i="2"/>
  <c r="U427" i="2"/>
  <c r="N426" i="2"/>
  <c r="O426" i="2"/>
  <c r="M426" i="2"/>
  <c r="T426" i="2"/>
  <c r="U426" i="2"/>
  <c r="N425" i="2"/>
  <c r="O425" i="2"/>
  <c r="M425" i="2"/>
  <c r="T425" i="2"/>
  <c r="U425" i="2"/>
  <c r="N422" i="2"/>
  <c r="N423" i="2"/>
  <c r="N424" i="2"/>
  <c r="O422" i="2"/>
  <c r="O423" i="2"/>
  <c r="O424" i="2"/>
  <c r="M422" i="2"/>
  <c r="M423" i="2"/>
  <c r="M424" i="2"/>
  <c r="T422" i="2"/>
  <c r="T423" i="2"/>
  <c r="T424" i="2"/>
  <c r="U422" i="2"/>
  <c r="U423" i="2"/>
  <c r="U424" i="2"/>
  <c r="N417" i="2"/>
  <c r="N418" i="2"/>
  <c r="N419" i="2"/>
  <c r="N420" i="2"/>
  <c r="N421" i="2"/>
  <c r="O417" i="2"/>
  <c r="O418" i="2"/>
  <c r="O419" i="2"/>
  <c r="O420" i="2"/>
  <c r="O421" i="2"/>
  <c r="M417" i="2"/>
  <c r="M418" i="2"/>
  <c r="M419" i="2"/>
  <c r="M420" i="2"/>
  <c r="M421" i="2"/>
  <c r="T417" i="2"/>
  <c r="T418" i="2"/>
  <c r="T419" i="2"/>
  <c r="T420" i="2"/>
  <c r="T421" i="2"/>
  <c r="U417" i="2"/>
  <c r="U418" i="2"/>
  <c r="U419" i="2"/>
  <c r="U420" i="2"/>
  <c r="U421" i="2"/>
  <c r="N416" i="2"/>
  <c r="O416" i="2"/>
  <c r="M416" i="2"/>
  <c r="T416" i="2"/>
  <c r="U416" i="2"/>
  <c r="N415" i="2"/>
  <c r="O415" i="2"/>
  <c r="M415" i="2"/>
  <c r="T415" i="2"/>
  <c r="U415" i="2"/>
  <c r="N414" i="2"/>
  <c r="O414" i="2"/>
  <c r="M414" i="2"/>
  <c r="T414" i="2"/>
  <c r="U414" i="2"/>
  <c r="N410" i="2"/>
  <c r="N411" i="2"/>
  <c r="N412" i="2"/>
  <c r="N413" i="2"/>
  <c r="O410" i="2"/>
  <c r="O411" i="2"/>
  <c r="O412" i="2"/>
  <c r="O413" i="2"/>
  <c r="M410" i="2"/>
  <c r="M411" i="2"/>
  <c r="M412" i="2"/>
  <c r="M413" i="2"/>
  <c r="T410" i="2"/>
  <c r="T411" i="2"/>
  <c r="T412" i="2"/>
  <c r="T413" i="2"/>
  <c r="U410" i="2"/>
  <c r="U411" i="2"/>
  <c r="U412" i="2"/>
  <c r="U413" i="2"/>
  <c r="O406" i="2"/>
  <c r="O407" i="2"/>
  <c r="O408" i="2"/>
  <c r="O409" i="2"/>
  <c r="M406" i="2"/>
  <c r="M407" i="2"/>
  <c r="M408" i="2"/>
  <c r="M409" i="2"/>
  <c r="T406" i="2"/>
  <c r="T407" i="2"/>
  <c r="T408" i="2"/>
  <c r="T409" i="2"/>
  <c r="U406" i="2"/>
  <c r="U407" i="2"/>
  <c r="U408" i="2"/>
  <c r="U409" i="2"/>
  <c r="N409" i="2"/>
  <c r="N408" i="2"/>
  <c r="N407" i="2"/>
  <c r="N406" i="2"/>
  <c r="N405" i="2"/>
  <c r="N404" i="2"/>
  <c r="O405" i="2"/>
  <c r="M405" i="2"/>
  <c r="T405" i="2"/>
  <c r="U405" i="2"/>
  <c r="O404" i="2"/>
  <c r="M404" i="2"/>
  <c r="T404" i="2"/>
  <c r="U404" i="2"/>
  <c r="N403" i="2"/>
  <c r="O403" i="2"/>
  <c r="M403" i="2"/>
  <c r="T403" i="2"/>
  <c r="U403" i="2"/>
  <c r="T400" i="2"/>
  <c r="U400" i="2"/>
  <c r="N402" i="2"/>
  <c r="O402" i="2"/>
  <c r="M402" i="2"/>
  <c r="T402" i="2"/>
  <c r="U402" i="2"/>
  <c r="N401" i="2"/>
  <c r="O401" i="2"/>
  <c r="M401" i="2"/>
  <c r="T401" i="2"/>
  <c r="U401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U371" i="2"/>
  <c r="U372" i="2"/>
  <c r="U373" i="2"/>
  <c r="U374" i="2"/>
  <c r="U367" i="2"/>
  <c r="U368" i="2"/>
  <c r="U369" i="2"/>
  <c r="U370" i="2"/>
  <c r="U375" i="2"/>
  <c r="U377" i="2"/>
  <c r="U376" i="2"/>
  <c r="T371" i="2"/>
  <c r="T372" i="2"/>
  <c r="T373" i="2"/>
  <c r="T374" i="2"/>
  <c r="T367" i="2"/>
  <c r="T368" i="2"/>
  <c r="T369" i="2"/>
  <c r="T370" i="2"/>
  <c r="T375" i="2"/>
  <c r="T377" i="2"/>
  <c r="T376" i="2"/>
  <c r="M371" i="2"/>
  <c r="M372" i="2"/>
  <c r="M373" i="2"/>
  <c r="M374" i="2"/>
  <c r="M367" i="2"/>
  <c r="M368" i="2"/>
  <c r="M369" i="2"/>
  <c r="M370" i="2"/>
  <c r="M375" i="2"/>
  <c r="M377" i="2"/>
  <c r="M376" i="2"/>
  <c r="O371" i="2"/>
  <c r="O372" i="2"/>
  <c r="O373" i="2"/>
  <c r="O374" i="2"/>
  <c r="O367" i="2"/>
  <c r="O368" i="2"/>
  <c r="O369" i="2"/>
  <c r="O370" i="2"/>
  <c r="O375" i="2"/>
  <c r="O377" i="2"/>
  <c r="O376" i="2"/>
  <c r="N371" i="2"/>
  <c r="N372" i="2"/>
  <c r="N373" i="2"/>
  <c r="N374" i="2"/>
  <c r="N367" i="2"/>
  <c r="N368" i="2"/>
  <c r="N369" i="2"/>
  <c r="N370" i="2"/>
  <c r="N375" i="2"/>
  <c r="N377" i="2"/>
  <c r="N376" i="2"/>
  <c r="U365" i="2"/>
  <c r="U366" i="2"/>
  <c r="T365" i="2"/>
  <c r="T366" i="2"/>
  <c r="M365" i="2"/>
  <c r="M366" i="2"/>
  <c r="O365" i="2"/>
  <c r="O366" i="2"/>
  <c r="N365" i="2"/>
  <c r="N366" i="2"/>
  <c r="N364" i="2"/>
  <c r="O364" i="2"/>
  <c r="M364" i="2"/>
  <c r="T364" i="2"/>
  <c r="U364" i="2"/>
  <c r="N362" i="2"/>
  <c r="N363" i="2"/>
  <c r="O362" i="2"/>
  <c r="O363" i="2"/>
  <c r="M362" i="2"/>
  <c r="M363" i="2"/>
  <c r="T362" i="2"/>
  <c r="T363" i="2"/>
  <c r="U362" i="2"/>
  <c r="U363" i="2"/>
  <c r="N361" i="2"/>
  <c r="O361" i="2"/>
  <c r="M361" i="2"/>
  <c r="T361" i="2"/>
  <c r="U361" i="2"/>
  <c r="N360" i="2"/>
  <c r="O360" i="2"/>
  <c r="M360" i="2"/>
  <c r="T360" i="2"/>
  <c r="U360" i="2"/>
  <c r="N359" i="2"/>
  <c r="O359" i="2"/>
  <c r="M359" i="2"/>
  <c r="T359" i="2"/>
  <c r="U359" i="2"/>
  <c r="N358" i="2"/>
  <c r="O358" i="2"/>
  <c r="M358" i="2"/>
  <c r="T358" i="2"/>
  <c r="U358" i="2"/>
  <c r="N357" i="2"/>
  <c r="O357" i="2"/>
  <c r="M357" i="2"/>
  <c r="T357" i="2"/>
  <c r="U357" i="2"/>
  <c r="N355" i="2"/>
  <c r="N356" i="2"/>
  <c r="O355" i="2"/>
  <c r="O356" i="2"/>
  <c r="M355" i="2"/>
  <c r="M356" i="2"/>
  <c r="T355" i="2"/>
  <c r="T356" i="2"/>
  <c r="U355" i="2"/>
  <c r="U356" i="2"/>
  <c r="N354" i="2"/>
  <c r="O354" i="2"/>
  <c r="M354" i="2"/>
  <c r="T354" i="2"/>
  <c r="U354" i="2"/>
  <c r="N353" i="2"/>
  <c r="O353" i="2"/>
  <c r="M353" i="2"/>
  <c r="T353" i="2"/>
  <c r="U353" i="2"/>
  <c r="N349" i="2"/>
  <c r="N350" i="2"/>
  <c r="N351" i="2"/>
  <c r="N352" i="2"/>
  <c r="O349" i="2"/>
  <c r="O350" i="2"/>
  <c r="O351" i="2"/>
  <c r="O352" i="2"/>
  <c r="M349" i="2"/>
  <c r="M350" i="2"/>
  <c r="M351" i="2"/>
  <c r="M352" i="2"/>
  <c r="T349" i="2"/>
  <c r="T350" i="2"/>
  <c r="T351" i="2"/>
  <c r="T352" i="2"/>
  <c r="U349" i="2"/>
  <c r="U350" i="2"/>
  <c r="U351" i="2"/>
  <c r="U352" i="2"/>
  <c r="U342" i="2"/>
  <c r="U343" i="2"/>
  <c r="U344" i="2"/>
  <c r="U345" i="2"/>
  <c r="U346" i="2"/>
  <c r="U347" i="2"/>
  <c r="U348" i="2"/>
  <c r="T342" i="2"/>
  <c r="T343" i="2"/>
  <c r="T344" i="2"/>
  <c r="T345" i="2"/>
  <c r="T346" i="2"/>
  <c r="T347" i="2"/>
  <c r="T348" i="2"/>
  <c r="M342" i="2"/>
  <c r="M343" i="2"/>
  <c r="M344" i="2"/>
  <c r="M345" i="2"/>
  <c r="M346" i="2"/>
  <c r="M347" i="2"/>
  <c r="M348" i="2"/>
  <c r="O342" i="2"/>
  <c r="O343" i="2"/>
  <c r="O344" i="2"/>
  <c r="O345" i="2"/>
  <c r="O346" i="2"/>
  <c r="O347" i="2"/>
  <c r="O348" i="2"/>
  <c r="N342" i="2"/>
  <c r="N343" i="2"/>
  <c r="N344" i="2"/>
  <c r="N345" i="2"/>
  <c r="N346" i="2"/>
  <c r="N347" i="2"/>
  <c r="N348" i="2"/>
  <c r="U341" i="2"/>
  <c r="T341" i="2"/>
  <c r="M341" i="2"/>
  <c r="O341" i="2"/>
  <c r="N341" i="2"/>
  <c r="N340" i="2"/>
  <c r="O340" i="2"/>
  <c r="M340" i="2"/>
  <c r="T340" i="2"/>
  <c r="U340" i="2"/>
  <c r="N335" i="2"/>
  <c r="N336" i="2"/>
  <c r="N337" i="2"/>
  <c r="N338" i="2"/>
  <c r="N339" i="2"/>
  <c r="O335" i="2"/>
  <c r="O336" i="2"/>
  <c r="O337" i="2"/>
  <c r="O338" i="2"/>
  <c r="O339" i="2"/>
  <c r="M335" i="2"/>
  <c r="M336" i="2"/>
  <c r="M337" i="2"/>
  <c r="M338" i="2"/>
  <c r="M339" i="2"/>
  <c r="T335" i="2"/>
  <c r="T336" i="2"/>
  <c r="T337" i="2"/>
  <c r="T338" i="2"/>
  <c r="T339" i="2"/>
  <c r="U335" i="2"/>
  <c r="U336" i="2"/>
  <c r="U337" i="2"/>
  <c r="U338" i="2"/>
  <c r="U339" i="2"/>
  <c r="F60" i="10"/>
  <c r="F59" i="10"/>
  <c r="F58" i="10"/>
  <c r="F57" i="10"/>
  <c r="M55" i="10"/>
  <c r="F55" i="10"/>
  <c r="M54" i="10"/>
  <c r="F54" i="10"/>
  <c r="F53" i="10"/>
  <c r="N307" i="2"/>
  <c r="N308" i="2"/>
  <c r="N310" i="2"/>
  <c r="N311" i="2"/>
  <c r="N309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O307" i="2"/>
  <c r="O308" i="2"/>
  <c r="O310" i="2"/>
  <c r="O311" i="2"/>
  <c r="O309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M307" i="2"/>
  <c r="M308" i="2"/>
  <c r="M310" i="2"/>
  <c r="M311" i="2"/>
  <c r="M309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T307" i="2"/>
  <c r="T308" i="2"/>
  <c r="T310" i="2"/>
  <c r="T311" i="2"/>
  <c r="T309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U307" i="2"/>
  <c r="U308" i="2"/>
  <c r="U310" i="2"/>
  <c r="U311" i="2"/>
  <c r="U309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N297" i="2"/>
  <c r="N298" i="2"/>
  <c r="N299" i="2"/>
  <c r="N300" i="2"/>
  <c r="N302" i="2"/>
  <c r="N301" i="2"/>
  <c r="N303" i="2"/>
  <c r="N304" i="2"/>
  <c r="N306" i="2"/>
  <c r="N305" i="2"/>
  <c r="O297" i="2"/>
  <c r="O298" i="2"/>
  <c r="O299" i="2"/>
  <c r="O300" i="2"/>
  <c r="O302" i="2"/>
  <c r="O301" i="2"/>
  <c r="O303" i="2"/>
  <c r="O304" i="2"/>
  <c r="O306" i="2"/>
  <c r="O305" i="2"/>
  <c r="M297" i="2"/>
  <c r="M298" i="2"/>
  <c r="M299" i="2"/>
  <c r="M300" i="2"/>
  <c r="M302" i="2"/>
  <c r="M301" i="2"/>
  <c r="M303" i="2"/>
  <c r="M304" i="2"/>
  <c r="M306" i="2"/>
  <c r="M305" i="2"/>
  <c r="T297" i="2"/>
  <c r="T298" i="2"/>
  <c r="T299" i="2"/>
  <c r="T300" i="2"/>
  <c r="T302" i="2"/>
  <c r="T301" i="2"/>
  <c r="T303" i="2"/>
  <c r="T304" i="2"/>
  <c r="T306" i="2"/>
  <c r="T305" i="2"/>
  <c r="U297" i="2"/>
  <c r="U298" i="2"/>
  <c r="U299" i="2"/>
  <c r="U300" i="2"/>
  <c r="U302" i="2"/>
  <c r="U301" i="2"/>
  <c r="U303" i="2"/>
  <c r="U304" i="2"/>
  <c r="U306" i="2"/>
  <c r="U305" i="2"/>
  <c r="M41" i="10"/>
  <c r="M40" i="10"/>
  <c r="F49" i="10"/>
  <c r="F48" i="10"/>
  <c r="F47" i="10"/>
  <c r="F46" i="10"/>
  <c r="F45" i="10"/>
  <c r="F44" i="10"/>
  <c r="F43" i="10"/>
  <c r="F42" i="10"/>
  <c r="F41" i="10"/>
  <c r="F40" i="10"/>
  <c r="F39" i="10"/>
  <c r="N285" i="2"/>
  <c r="N280" i="2"/>
  <c r="N279" i="2"/>
  <c r="N282" i="2"/>
  <c r="N286" i="2"/>
  <c r="N287" i="2"/>
  <c r="N288" i="2"/>
  <c r="N289" i="2"/>
  <c r="N290" i="2"/>
  <c r="N291" i="2"/>
  <c r="N292" i="2"/>
  <c r="N293" i="2"/>
  <c r="N294" i="2"/>
  <c r="N295" i="2"/>
  <c r="N296" i="2"/>
  <c r="O285" i="2"/>
  <c r="O280" i="2"/>
  <c r="O279" i="2"/>
  <c r="O282" i="2"/>
  <c r="O286" i="2"/>
  <c r="O287" i="2"/>
  <c r="O288" i="2"/>
  <c r="O289" i="2"/>
  <c r="O290" i="2"/>
  <c r="O291" i="2"/>
  <c r="O292" i="2"/>
  <c r="O293" i="2"/>
  <c r="O294" i="2"/>
  <c r="O295" i="2"/>
  <c r="O296" i="2"/>
  <c r="M285" i="2"/>
  <c r="M280" i="2"/>
  <c r="M279" i="2"/>
  <c r="M282" i="2"/>
  <c r="M286" i="2"/>
  <c r="M287" i="2"/>
  <c r="M288" i="2"/>
  <c r="M289" i="2"/>
  <c r="M290" i="2"/>
  <c r="M291" i="2"/>
  <c r="M292" i="2"/>
  <c r="M293" i="2"/>
  <c r="M294" i="2"/>
  <c r="M295" i="2"/>
  <c r="M296" i="2"/>
  <c r="T285" i="2"/>
  <c r="T280" i="2"/>
  <c r="T279" i="2"/>
  <c r="T282" i="2"/>
  <c r="T286" i="2"/>
  <c r="T287" i="2"/>
  <c r="T288" i="2"/>
  <c r="T289" i="2"/>
  <c r="T290" i="2"/>
  <c r="T291" i="2"/>
  <c r="T292" i="2"/>
  <c r="T293" i="2"/>
  <c r="T294" i="2"/>
  <c r="T295" i="2"/>
  <c r="T296" i="2"/>
  <c r="U285" i="2"/>
  <c r="U280" i="2"/>
  <c r="U279" i="2"/>
  <c r="U282" i="2"/>
  <c r="U286" i="2"/>
  <c r="U287" i="2"/>
  <c r="U288" i="2"/>
  <c r="U289" i="2"/>
  <c r="U290" i="2"/>
  <c r="U291" i="2"/>
  <c r="U292" i="2"/>
  <c r="U293" i="2"/>
  <c r="U294" i="2"/>
  <c r="U295" i="2"/>
  <c r="U296" i="2"/>
  <c r="M29" i="10"/>
  <c r="M28" i="10"/>
  <c r="M30" i="10" s="1"/>
  <c r="F37" i="10"/>
  <c r="F36" i="10"/>
  <c r="F35" i="10"/>
  <c r="F34" i="10"/>
  <c r="F33" i="10"/>
  <c r="F32" i="10"/>
  <c r="F31" i="10"/>
  <c r="F30" i="10"/>
  <c r="F29" i="10"/>
  <c r="F28" i="10"/>
  <c r="F27" i="10"/>
  <c r="N275" i="2"/>
  <c r="N276" i="2"/>
  <c r="N277" i="2"/>
  <c r="N278" i="2"/>
  <c r="N281" i="2"/>
  <c r="N283" i="2"/>
  <c r="N284" i="2"/>
  <c r="O275" i="2"/>
  <c r="O276" i="2"/>
  <c r="O277" i="2"/>
  <c r="O278" i="2"/>
  <c r="O281" i="2"/>
  <c r="O283" i="2"/>
  <c r="O284" i="2"/>
  <c r="M275" i="2"/>
  <c r="M276" i="2"/>
  <c r="M277" i="2"/>
  <c r="M278" i="2"/>
  <c r="M281" i="2"/>
  <c r="M283" i="2"/>
  <c r="M284" i="2"/>
  <c r="T275" i="2"/>
  <c r="T276" i="2"/>
  <c r="T277" i="2"/>
  <c r="T278" i="2"/>
  <c r="T281" i="2"/>
  <c r="T283" i="2"/>
  <c r="T284" i="2"/>
  <c r="U275" i="2"/>
  <c r="U276" i="2"/>
  <c r="U277" i="2"/>
  <c r="U278" i="2"/>
  <c r="U281" i="2"/>
  <c r="U283" i="2"/>
  <c r="U284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M17" i="10"/>
  <c r="N257" i="2"/>
  <c r="N258" i="2"/>
  <c r="N259" i="2"/>
  <c r="N260" i="2"/>
  <c r="N261" i="2"/>
  <c r="M16" i="10"/>
  <c r="M18" i="10" s="1"/>
  <c r="F16" i="10"/>
  <c r="F17" i="10"/>
  <c r="F18" i="10"/>
  <c r="F19" i="10"/>
  <c r="F20" i="10"/>
  <c r="F21" i="10"/>
  <c r="F22" i="10"/>
  <c r="F23" i="10"/>
  <c r="F24" i="10"/>
  <c r="F25" i="10"/>
  <c r="F15" i="10"/>
  <c r="F13" i="10"/>
  <c r="F12" i="10"/>
  <c r="F11" i="10"/>
  <c r="F10" i="10"/>
  <c r="F9" i="10"/>
  <c r="F8" i="10"/>
  <c r="F7" i="10"/>
  <c r="F5" i="10"/>
  <c r="F4" i="10"/>
  <c r="F3" i="10"/>
  <c r="F83" i="10" l="1"/>
  <c r="M42" i="10"/>
  <c r="F61" i="10"/>
  <c r="F52" i="10"/>
  <c r="F38" i="10"/>
  <c r="F26" i="10"/>
  <c r="F14" i="10"/>
  <c r="U257" i="2"/>
  <c r="U258" i="2"/>
  <c r="U259" i="2"/>
  <c r="U260" i="2"/>
  <c r="U261" i="2"/>
  <c r="T257" i="2"/>
  <c r="T258" i="2"/>
  <c r="T259" i="2"/>
  <c r="T260" i="2"/>
  <c r="T261" i="2"/>
  <c r="M257" i="2"/>
  <c r="M258" i="2"/>
  <c r="M259" i="2"/>
  <c r="M260" i="2"/>
  <c r="M261" i="2"/>
  <c r="O257" i="2"/>
  <c r="O258" i="2"/>
  <c r="O259" i="2"/>
  <c r="O260" i="2"/>
  <c r="O261" i="2"/>
  <c r="U251" i="2"/>
  <c r="U252" i="2"/>
  <c r="U253" i="2"/>
  <c r="U254" i="2"/>
  <c r="U255" i="2"/>
  <c r="U256" i="2"/>
  <c r="T251" i="2"/>
  <c r="T252" i="2"/>
  <c r="T253" i="2"/>
  <c r="T254" i="2"/>
  <c r="T255" i="2"/>
  <c r="T256" i="2"/>
  <c r="M251" i="2"/>
  <c r="M252" i="2"/>
  <c r="M253" i="2"/>
  <c r="M254" i="2"/>
  <c r="M255" i="2"/>
  <c r="M256" i="2"/>
  <c r="O251" i="2"/>
  <c r="O252" i="2"/>
  <c r="O253" i="2"/>
  <c r="O254" i="2"/>
  <c r="O255" i="2"/>
  <c r="O256" i="2"/>
  <c r="N251" i="2"/>
  <c r="N252" i="2"/>
  <c r="N253" i="2"/>
  <c r="N254" i="2"/>
  <c r="N255" i="2"/>
  <c r="N256" i="2"/>
  <c r="U248" i="2"/>
  <c r="T248" i="2"/>
  <c r="M248" i="2"/>
  <c r="O248" i="2"/>
  <c r="N248" i="2"/>
  <c r="U247" i="2"/>
  <c r="T247" i="2"/>
  <c r="M247" i="2"/>
  <c r="O247" i="2"/>
  <c r="N247" i="2"/>
  <c r="U249" i="2"/>
  <c r="T249" i="2"/>
  <c r="M249" i="2"/>
  <c r="O249" i="2"/>
  <c r="N249" i="2"/>
  <c r="N250" i="2"/>
  <c r="O250" i="2"/>
  <c r="M250" i="2"/>
  <c r="T250" i="2"/>
  <c r="U250" i="2"/>
  <c r="N239" i="2"/>
  <c r="N240" i="2"/>
  <c r="N241" i="2"/>
  <c r="N242" i="2"/>
  <c r="N243" i="2"/>
  <c r="N244" i="2"/>
  <c r="N245" i="2"/>
  <c r="N246" i="2"/>
  <c r="O239" i="2"/>
  <c r="O240" i="2"/>
  <c r="O241" i="2"/>
  <c r="O242" i="2"/>
  <c r="O243" i="2"/>
  <c r="O244" i="2"/>
  <c r="O245" i="2"/>
  <c r="O246" i="2"/>
  <c r="M239" i="2"/>
  <c r="M240" i="2"/>
  <c r="M241" i="2"/>
  <c r="M242" i="2"/>
  <c r="M243" i="2"/>
  <c r="M244" i="2"/>
  <c r="M245" i="2"/>
  <c r="M246" i="2"/>
  <c r="T239" i="2"/>
  <c r="T240" i="2"/>
  <c r="T241" i="2"/>
  <c r="T242" i="2"/>
  <c r="T243" i="2"/>
  <c r="T244" i="2"/>
  <c r="T245" i="2"/>
  <c r="T246" i="2"/>
  <c r="U239" i="2"/>
  <c r="U240" i="2"/>
  <c r="U241" i="2"/>
  <c r="U242" i="2"/>
  <c r="U243" i="2"/>
  <c r="U244" i="2"/>
  <c r="U245" i="2"/>
  <c r="U246" i="2"/>
  <c r="U238" i="2"/>
  <c r="T238" i="2"/>
  <c r="M238" i="2"/>
  <c r="O238" i="2"/>
  <c r="N238" i="2"/>
  <c r="U237" i="2"/>
  <c r="T237" i="2"/>
  <c r="M237" i="2"/>
  <c r="O237" i="2"/>
  <c r="N237" i="2"/>
  <c r="U236" i="2"/>
  <c r="T236" i="2"/>
  <c r="M236" i="2"/>
  <c r="O236" i="2"/>
  <c r="N236" i="2"/>
  <c r="N235" i="2"/>
  <c r="O235" i="2"/>
  <c r="M235" i="2"/>
  <c r="T235" i="2"/>
  <c r="U235" i="2"/>
  <c r="N234" i="2"/>
  <c r="O234" i="2"/>
  <c r="M234" i="2"/>
  <c r="T234" i="2"/>
  <c r="U234" i="2"/>
  <c r="N233" i="2"/>
  <c r="O233" i="2"/>
  <c r="M233" i="2"/>
  <c r="T233" i="2"/>
  <c r="U233" i="2"/>
  <c r="N232" i="2"/>
  <c r="O232" i="2"/>
  <c r="M232" i="2"/>
  <c r="T232" i="2"/>
  <c r="U232" i="2"/>
  <c r="N231" i="2"/>
  <c r="O231" i="2"/>
  <c r="M231" i="2"/>
  <c r="T231" i="2"/>
  <c r="U231" i="2"/>
  <c r="N230" i="2"/>
  <c r="O230" i="2"/>
  <c r="M230" i="2"/>
  <c r="T230" i="2"/>
  <c r="U230" i="2"/>
  <c r="N229" i="2"/>
  <c r="O229" i="2"/>
  <c r="M229" i="2"/>
  <c r="T229" i="2"/>
  <c r="U229" i="2"/>
  <c r="N228" i="2"/>
  <c r="O228" i="2"/>
  <c r="M228" i="2"/>
  <c r="T228" i="2"/>
  <c r="U228" i="2"/>
  <c r="N227" i="2"/>
  <c r="O227" i="2"/>
  <c r="M227" i="2"/>
  <c r="T227" i="2"/>
  <c r="U227" i="2"/>
  <c r="N226" i="2"/>
  <c r="O226" i="2"/>
  <c r="M226" i="2"/>
  <c r="T226" i="2"/>
  <c r="U226" i="2"/>
  <c r="M225" i="2"/>
  <c r="O225" i="2"/>
  <c r="N225" i="2"/>
  <c r="O190" i="2"/>
  <c r="M171" i="2"/>
  <c r="M172" i="2"/>
  <c r="M173" i="2"/>
  <c r="M174" i="2"/>
  <c r="M175" i="2"/>
  <c r="M176" i="2"/>
  <c r="M177" i="2"/>
  <c r="M178" i="2"/>
  <c r="M179" i="2"/>
  <c r="M180" i="2"/>
  <c r="M181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M166" i="2"/>
  <c r="M167" i="2"/>
  <c r="M168" i="2"/>
  <c r="M169" i="2"/>
  <c r="O166" i="2"/>
  <c r="O167" i="2"/>
  <c r="O168" i="2"/>
  <c r="O169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N213" i="2" l="1"/>
  <c r="N214" i="2"/>
  <c r="N215" i="2"/>
  <c r="N216" i="2"/>
  <c r="N217" i="2"/>
  <c r="N218" i="2"/>
  <c r="N219" i="2"/>
  <c r="N220" i="2"/>
  <c r="U222" i="2"/>
  <c r="T222" i="2"/>
  <c r="M222" i="2"/>
  <c r="O222" i="2"/>
  <c r="N222" i="2"/>
  <c r="U224" i="2"/>
  <c r="T224" i="2"/>
  <c r="M224" i="2"/>
  <c r="O224" i="2"/>
  <c r="N224" i="2"/>
  <c r="U221" i="2"/>
  <c r="T221" i="2"/>
  <c r="M221" i="2"/>
  <c r="O221" i="2"/>
  <c r="N221" i="2"/>
  <c r="U220" i="2"/>
  <c r="T220" i="2"/>
  <c r="M220" i="2"/>
  <c r="O220" i="2"/>
  <c r="N223" i="2"/>
  <c r="O223" i="2"/>
  <c r="M223" i="2"/>
  <c r="T223" i="2"/>
  <c r="U223" i="2"/>
  <c r="N208" i="2"/>
  <c r="N209" i="2"/>
  <c r="N210" i="2"/>
  <c r="N211" i="2"/>
  <c r="N212" i="2"/>
  <c r="N207" i="2"/>
  <c r="T208" i="2"/>
  <c r="T209" i="2"/>
  <c r="T210" i="2"/>
  <c r="T211" i="2"/>
  <c r="T212" i="2"/>
  <c r="T214" i="2"/>
  <c r="T213" i="2"/>
  <c r="T215" i="2"/>
  <c r="T216" i="2"/>
  <c r="T217" i="2"/>
  <c r="T218" i="2"/>
  <c r="T219" i="2"/>
  <c r="T225" i="2"/>
  <c r="U208" i="2"/>
  <c r="U209" i="2"/>
  <c r="U210" i="2"/>
  <c r="U211" i="2"/>
  <c r="U212" i="2"/>
  <c r="U214" i="2"/>
  <c r="U213" i="2"/>
  <c r="U215" i="2"/>
  <c r="U216" i="2"/>
  <c r="U217" i="2"/>
  <c r="U218" i="2"/>
  <c r="U219" i="2"/>
  <c r="U225" i="2"/>
  <c r="T207" i="2"/>
  <c r="U207" i="2"/>
  <c r="U205" i="2"/>
  <c r="U206" i="2"/>
  <c r="T205" i="2"/>
  <c r="T206" i="2"/>
  <c r="M205" i="2"/>
  <c r="M206" i="2"/>
  <c r="O205" i="2"/>
  <c r="O206" i="2"/>
  <c r="N205" i="2"/>
  <c r="N206" i="2"/>
  <c r="M190" i="2"/>
  <c r="M192" i="2"/>
  <c r="M194" i="2"/>
  <c r="M200" i="2"/>
  <c r="M203" i="2"/>
  <c r="M182" i="2"/>
  <c r="M183" i="2"/>
  <c r="M184" i="2"/>
  <c r="M185" i="2"/>
  <c r="M186" i="2"/>
  <c r="M187" i="2"/>
  <c r="N192" i="2"/>
  <c r="N194" i="2"/>
  <c r="N200" i="2"/>
  <c r="N203" i="2"/>
  <c r="N193" i="2"/>
  <c r="N196" i="2"/>
  <c r="N197" i="2"/>
  <c r="N198" i="2"/>
  <c r="N195" i="2"/>
  <c r="N201" i="2"/>
  <c r="N191" i="2"/>
  <c r="N199" i="2"/>
  <c r="N204" i="2"/>
  <c r="N202" i="2"/>
  <c r="O192" i="2"/>
  <c r="O194" i="2"/>
  <c r="O200" i="2"/>
  <c r="O203" i="2"/>
  <c r="O193" i="2"/>
  <c r="O196" i="2"/>
  <c r="O197" i="2"/>
  <c r="O198" i="2"/>
  <c r="O195" i="2"/>
  <c r="O201" i="2"/>
  <c r="O191" i="2"/>
  <c r="O199" i="2"/>
  <c r="O204" i="2"/>
  <c r="O202" i="2"/>
  <c r="M193" i="2"/>
  <c r="M196" i="2"/>
  <c r="M197" i="2"/>
  <c r="M198" i="2"/>
  <c r="M195" i="2"/>
  <c r="M201" i="2"/>
  <c r="M191" i="2"/>
  <c r="M199" i="2"/>
  <c r="M204" i="2"/>
  <c r="M202" i="2"/>
  <c r="T192" i="2"/>
  <c r="T194" i="2"/>
  <c r="T200" i="2"/>
  <c r="T203" i="2"/>
  <c r="T193" i="2"/>
  <c r="T196" i="2"/>
  <c r="T197" i="2"/>
  <c r="T198" i="2"/>
  <c r="T195" i="2"/>
  <c r="T201" i="2"/>
  <c r="T191" i="2"/>
  <c r="T199" i="2"/>
  <c r="T204" i="2"/>
  <c r="T202" i="2"/>
  <c r="U192" i="2"/>
  <c r="U194" i="2"/>
  <c r="U200" i="2"/>
  <c r="U203" i="2"/>
  <c r="U193" i="2"/>
  <c r="U196" i="2"/>
  <c r="U197" i="2"/>
  <c r="U198" i="2"/>
  <c r="U195" i="2"/>
  <c r="U201" i="2"/>
  <c r="U191" i="2"/>
  <c r="U199" i="2"/>
  <c r="U204" i="2"/>
  <c r="U202" i="2"/>
  <c r="N178" i="2"/>
  <c r="N176" i="2"/>
  <c r="N177" i="2"/>
  <c r="N166" i="2"/>
  <c r="N169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70" i="2"/>
  <c r="U167" i="2"/>
  <c r="U168" i="2"/>
  <c r="U169" i="2"/>
  <c r="U166" i="2"/>
  <c r="U171" i="2"/>
  <c r="U175" i="2"/>
  <c r="U173" i="2"/>
  <c r="U172" i="2"/>
  <c r="U177" i="2"/>
  <c r="U174" i="2"/>
  <c r="U176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N167" i="2"/>
  <c r="N168" i="2"/>
  <c r="N171" i="2"/>
  <c r="N175" i="2"/>
  <c r="N173" i="2"/>
  <c r="N172" i="2"/>
  <c r="N174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M170" i="2"/>
  <c r="O170" i="2"/>
  <c r="N170" i="2"/>
  <c r="T187" i="2"/>
  <c r="O188" i="2"/>
  <c r="M188" i="2"/>
  <c r="T188" i="2"/>
  <c r="O189" i="2"/>
  <c r="M189" i="2"/>
  <c r="T189" i="2"/>
  <c r="N165" i="2"/>
  <c r="O165" i="2"/>
  <c r="M165" i="2"/>
  <c r="T186" i="2"/>
  <c r="T185" i="2"/>
  <c r="M164" i="2"/>
  <c r="O164" i="2"/>
  <c r="N164" i="2"/>
  <c r="T184" i="2"/>
  <c r="M163" i="2"/>
  <c r="O163" i="2"/>
  <c r="N163" i="2"/>
  <c r="N162" i="2"/>
  <c r="T183" i="2"/>
  <c r="M162" i="2"/>
  <c r="O162" i="2"/>
  <c r="T182" i="2"/>
  <c r="M161" i="2"/>
  <c r="O161" i="2"/>
  <c r="N161" i="2"/>
  <c r="T181" i="2"/>
  <c r="M160" i="2"/>
  <c r="O160" i="2"/>
  <c r="N160" i="2"/>
  <c r="T180" i="2"/>
  <c r="M159" i="2"/>
  <c r="O159" i="2"/>
  <c r="N159" i="2"/>
  <c r="T179" i="2"/>
  <c r="M158" i="2"/>
  <c r="O158" i="2"/>
  <c r="N158" i="2"/>
  <c r="T178" i="2"/>
  <c r="M157" i="2"/>
  <c r="O157" i="2"/>
  <c r="N157" i="2"/>
  <c r="T176" i="2"/>
  <c r="M156" i="2"/>
  <c r="O156" i="2"/>
  <c r="N156" i="2"/>
  <c r="T174" i="2"/>
  <c r="M155" i="2"/>
  <c r="O155" i="2"/>
  <c r="N155" i="2"/>
  <c r="N154" i="2"/>
  <c r="O154" i="2"/>
  <c r="M154" i="2"/>
  <c r="T177" i="2"/>
  <c r="T172" i="2"/>
  <c r="M153" i="2"/>
  <c r="O153" i="2"/>
  <c r="N153" i="2"/>
  <c r="N152" i="2"/>
  <c r="O152" i="2"/>
  <c r="M152" i="2"/>
  <c r="T173" i="2"/>
  <c r="N151" i="2"/>
  <c r="O151" i="2"/>
  <c r="M151" i="2"/>
  <c r="T175" i="2"/>
  <c r="T171" i="2"/>
  <c r="N150" i="2"/>
  <c r="O150" i="2"/>
  <c r="M150" i="2"/>
  <c r="T166" i="2"/>
  <c r="M149" i="2"/>
  <c r="O149" i="2"/>
  <c r="N149" i="2"/>
  <c r="T169" i="2"/>
  <c r="M148" i="2"/>
  <c r="O148" i="2"/>
  <c r="N148" i="2"/>
  <c r="T168" i="2"/>
  <c r="M147" i="2"/>
  <c r="O147" i="2"/>
  <c r="N147" i="2"/>
  <c r="T167" i="2"/>
  <c r="M146" i="2"/>
  <c r="O146" i="2"/>
  <c r="N146" i="2"/>
  <c r="T170" i="2"/>
  <c r="M145" i="2"/>
  <c r="O145" i="2"/>
  <c r="N145" i="2"/>
  <c r="T163" i="2"/>
  <c r="M142" i="2"/>
  <c r="O142" i="2"/>
  <c r="N142" i="2"/>
  <c r="T164" i="2"/>
  <c r="M143" i="2"/>
  <c r="O143" i="2"/>
  <c r="N143" i="2"/>
  <c r="T165" i="2"/>
  <c r="M144" i="2"/>
  <c r="O144" i="2"/>
  <c r="N144" i="2"/>
  <c r="N141" i="2"/>
  <c r="O141" i="2"/>
  <c r="M141" i="2"/>
  <c r="T162" i="2"/>
  <c r="T159" i="2"/>
  <c r="M138" i="2"/>
  <c r="O138" i="2"/>
  <c r="N138" i="2"/>
  <c r="T160" i="2"/>
  <c r="M139" i="2"/>
  <c r="O139" i="2"/>
  <c r="N139" i="2"/>
  <c r="T158" i="2"/>
  <c r="M137" i="2"/>
  <c r="O137" i="2"/>
  <c r="N137" i="2"/>
  <c r="T157" i="2"/>
  <c r="M136" i="2"/>
  <c r="O136" i="2"/>
  <c r="N136" i="2"/>
  <c r="N135" i="2"/>
  <c r="O135" i="2"/>
  <c r="M135" i="2"/>
  <c r="T156" i="2"/>
  <c r="N134" i="2"/>
  <c r="O134" i="2"/>
  <c r="M134" i="2"/>
  <c r="T155" i="2"/>
  <c r="N140" i="2"/>
  <c r="O140" i="2"/>
  <c r="M140" i="2"/>
  <c r="T161" i="2"/>
  <c r="N130" i="2"/>
  <c r="O130" i="2"/>
  <c r="M130" i="2"/>
  <c r="T151" i="2"/>
  <c r="N131" i="2"/>
  <c r="O131" i="2"/>
  <c r="M131" i="2"/>
  <c r="T152" i="2"/>
  <c r="N133" i="2"/>
  <c r="O133" i="2"/>
  <c r="M133" i="2"/>
  <c r="T154" i="2"/>
  <c r="N127" i="2"/>
  <c r="N128" i="2"/>
  <c r="N129" i="2"/>
  <c r="N132" i="2"/>
  <c r="O132" i="2"/>
  <c r="M132" i="2"/>
  <c r="T153" i="2"/>
  <c r="T150" i="2"/>
  <c r="M129" i="2"/>
  <c r="O129" i="2"/>
  <c r="T149" i="2"/>
  <c r="M128" i="2"/>
  <c r="O128" i="2"/>
  <c r="T148" i="2"/>
  <c r="M127" i="2"/>
  <c r="O127" i="2"/>
  <c r="N126" i="2"/>
  <c r="O126" i="2"/>
  <c r="M126" i="2"/>
  <c r="T147" i="2"/>
  <c r="N125" i="2"/>
  <c r="O125" i="2"/>
  <c r="M125" i="2"/>
  <c r="T146" i="2"/>
  <c r="N124" i="2"/>
  <c r="O124" i="2"/>
  <c r="M124" i="2"/>
  <c r="T145" i="2"/>
  <c r="N123" i="2"/>
  <c r="O123" i="2"/>
  <c r="M123" i="2"/>
  <c r="T144" i="2"/>
  <c r="N122" i="2"/>
  <c r="O122" i="2"/>
  <c r="M122" i="2"/>
  <c r="T143" i="2"/>
  <c r="N121" i="2"/>
  <c r="O121" i="2"/>
  <c r="M121" i="2"/>
  <c r="T142" i="2"/>
  <c r="N120" i="2"/>
  <c r="O120" i="2"/>
  <c r="M120" i="2"/>
  <c r="T141" i="2"/>
  <c r="N119" i="2"/>
  <c r="O119" i="2"/>
  <c r="M119" i="2"/>
  <c r="T140" i="2"/>
  <c r="N118" i="2"/>
  <c r="O118" i="2"/>
  <c r="M118" i="2"/>
  <c r="T139" i="2"/>
  <c r="N117" i="2"/>
  <c r="O117" i="2"/>
  <c r="M117" i="2"/>
  <c r="T138" i="2"/>
  <c r="N116" i="2"/>
  <c r="O116" i="2"/>
  <c r="M116" i="2"/>
  <c r="T137" i="2"/>
  <c r="N115" i="2"/>
  <c r="O115" i="2"/>
  <c r="M115" i="2"/>
  <c r="T136" i="2"/>
  <c r="N114" i="2"/>
  <c r="O114" i="2"/>
  <c r="M114" i="2"/>
  <c r="T135" i="2"/>
  <c r="N113" i="2"/>
  <c r="O113" i="2"/>
  <c r="M113" i="2"/>
  <c r="T134" i="2"/>
  <c r="T133" i="2"/>
  <c r="M112" i="2"/>
  <c r="O112" i="2"/>
  <c r="N112" i="2"/>
  <c r="T132" i="2"/>
  <c r="M111" i="2"/>
  <c r="O111" i="2"/>
  <c r="N111" i="2"/>
  <c r="N110" i="2"/>
  <c r="O110" i="2"/>
  <c r="M110" i="2"/>
  <c r="T131" i="2"/>
  <c r="N98" i="2"/>
  <c r="N99" i="2"/>
  <c r="N100" i="2"/>
  <c r="N101" i="2"/>
  <c r="N102" i="2"/>
  <c r="N104" i="2"/>
  <c r="N105" i="2"/>
  <c r="N106" i="2"/>
  <c r="N107" i="2"/>
  <c r="N108" i="2"/>
  <c r="N109" i="2"/>
  <c r="T123" i="2"/>
  <c r="T124" i="2"/>
  <c r="T125" i="2"/>
  <c r="T126" i="2"/>
  <c r="T127" i="2"/>
  <c r="T128" i="2"/>
  <c r="T129" i="2"/>
  <c r="T130" i="2"/>
  <c r="M102" i="2"/>
  <c r="M103" i="2"/>
  <c r="M104" i="2"/>
  <c r="M105" i="2"/>
  <c r="M106" i="2"/>
  <c r="M107" i="2"/>
  <c r="M108" i="2"/>
  <c r="M109" i="2"/>
  <c r="O102" i="2"/>
  <c r="O103" i="2"/>
  <c r="O104" i="2"/>
  <c r="O105" i="2"/>
  <c r="O106" i="2"/>
  <c r="O107" i="2"/>
  <c r="O108" i="2"/>
  <c r="O109" i="2"/>
  <c r="O101" i="2"/>
  <c r="M101" i="2"/>
  <c r="T122" i="2"/>
  <c r="O100" i="2"/>
  <c r="M100" i="2"/>
  <c r="T121" i="2"/>
  <c r="O98" i="2"/>
  <c r="M98" i="2"/>
  <c r="T119" i="2"/>
  <c r="O99" i="2"/>
  <c r="M99" i="2"/>
  <c r="T120" i="2"/>
  <c r="T115" i="2"/>
  <c r="T116" i="2"/>
  <c r="T117" i="2"/>
  <c r="T118" i="2"/>
  <c r="M94" i="2"/>
  <c r="M95" i="2"/>
  <c r="M96" i="2"/>
  <c r="M97" i="2"/>
  <c r="O94" i="2"/>
  <c r="O95" i="2"/>
  <c r="O96" i="2"/>
  <c r="O97" i="2"/>
  <c r="N94" i="2"/>
  <c r="N95" i="2"/>
  <c r="N96" i="2"/>
  <c r="N97" i="2"/>
  <c r="T112" i="2"/>
  <c r="M91" i="2"/>
  <c r="O91" i="2"/>
  <c r="N91" i="2"/>
  <c r="T113" i="2"/>
  <c r="M92" i="2"/>
  <c r="O92" i="2"/>
  <c r="N92" i="2"/>
  <c r="T108" i="2"/>
  <c r="M87" i="2"/>
  <c r="O87" i="2"/>
  <c r="N87" i="2"/>
  <c r="T110" i="2"/>
  <c r="M89" i="2"/>
  <c r="O89" i="2"/>
  <c r="N89" i="2"/>
  <c r="T111" i="2"/>
  <c r="M90" i="2"/>
  <c r="O90" i="2"/>
  <c r="N90" i="2"/>
  <c r="N85" i="2"/>
  <c r="O85" i="2"/>
  <c r="M85" i="2"/>
  <c r="T106" i="2"/>
  <c r="N86" i="2"/>
  <c r="O86" i="2"/>
  <c r="M86" i="2"/>
  <c r="T107" i="2"/>
  <c r="N88" i="2"/>
  <c r="O88" i="2"/>
  <c r="M88" i="2"/>
  <c r="T109" i="2"/>
  <c r="N93" i="2"/>
  <c r="O93" i="2"/>
  <c r="M93" i="2"/>
  <c r="T114" i="2"/>
  <c r="N84" i="2"/>
  <c r="O84" i="2"/>
  <c r="M84" i="2"/>
  <c r="T105" i="2"/>
  <c r="N83" i="2"/>
  <c r="O83" i="2"/>
  <c r="M83" i="2"/>
  <c r="T104" i="2"/>
  <c r="N82" i="2"/>
  <c r="O82" i="2"/>
  <c r="M82" i="2"/>
  <c r="T103" i="2"/>
  <c r="N81" i="2"/>
  <c r="O81" i="2"/>
  <c r="M81" i="2"/>
  <c r="T102" i="2"/>
  <c r="N80" i="2"/>
  <c r="O80" i="2"/>
  <c r="M80" i="2"/>
  <c r="T101" i="2"/>
  <c r="N79" i="2"/>
  <c r="O79" i="2"/>
  <c r="M79" i="2"/>
  <c r="T100" i="2"/>
  <c r="F2" i="9"/>
  <c r="F12" i="9"/>
  <c r="F11" i="9"/>
  <c r="F10" i="9"/>
  <c r="F9" i="9"/>
  <c r="F8" i="9"/>
  <c r="F7" i="9"/>
  <c r="F6" i="9"/>
  <c r="F5" i="9"/>
  <c r="F4" i="9"/>
  <c r="F3" i="9"/>
  <c r="T95" i="2"/>
  <c r="M74" i="2"/>
  <c r="O74" i="2"/>
  <c r="N74" i="2"/>
  <c r="T96" i="2"/>
  <c r="M75" i="2"/>
  <c r="O75" i="2"/>
  <c r="N75" i="2"/>
  <c r="T97" i="2"/>
  <c r="M76" i="2"/>
  <c r="O76" i="2"/>
  <c r="N76" i="2"/>
  <c r="T98" i="2"/>
  <c r="M77" i="2"/>
  <c r="O77" i="2"/>
  <c r="N77" i="2"/>
  <c r="T94" i="2"/>
  <c r="M73" i="2"/>
  <c r="O73" i="2"/>
  <c r="N73" i="2"/>
  <c r="T93" i="2"/>
  <c r="M72" i="2"/>
  <c r="O72" i="2"/>
  <c r="N72" i="2"/>
  <c r="T92" i="2"/>
  <c r="M71" i="2"/>
  <c r="O71" i="2"/>
  <c r="N71" i="2"/>
  <c r="N78" i="2"/>
  <c r="O78" i="2"/>
  <c r="M78" i="2"/>
  <c r="T99" i="2"/>
  <c r="N69" i="2"/>
  <c r="O69" i="2"/>
  <c r="M69" i="2"/>
  <c r="T90" i="2"/>
  <c r="T86" i="2"/>
  <c r="M65" i="2"/>
  <c r="O65" i="2"/>
  <c r="N65" i="2"/>
  <c r="T87" i="2"/>
  <c r="M66" i="2"/>
  <c r="O66" i="2"/>
  <c r="N66" i="2"/>
  <c r="T88" i="2"/>
  <c r="M67" i="2"/>
  <c r="O67" i="2"/>
  <c r="N67" i="2"/>
  <c r="T84" i="2"/>
  <c r="M63" i="2"/>
  <c r="O63" i="2"/>
  <c r="N63" i="2"/>
  <c r="T85" i="2"/>
  <c r="M64" i="2"/>
  <c r="O64" i="2"/>
  <c r="N64" i="2"/>
  <c r="T89" i="2"/>
  <c r="M68" i="2"/>
  <c r="O68" i="2"/>
  <c r="N68" i="2"/>
  <c r="N70" i="2"/>
  <c r="O70" i="2"/>
  <c r="M70" i="2"/>
  <c r="T91" i="2"/>
  <c r="N61" i="2"/>
  <c r="O61" i="2"/>
  <c r="M61" i="2"/>
  <c r="T82" i="2"/>
  <c r="T81" i="2"/>
  <c r="M60" i="2"/>
  <c r="O60" i="2"/>
  <c r="N60" i="2"/>
  <c r="T80" i="2"/>
  <c r="M59" i="2"/>
  <c r="O59" i="2"/>
  <c r="N59" i="2"/>
  <c r="N62" i="2"/>
  <c r="O62" i="2"/>
  <c r="M62" i="2"/>
  <c r="T83" i="2"/>
  <c r="N58" i="2"/>
  <c r="O58" i="2"/>
  <c r="M58" i="2"/>
  <c r="T79" i="2"/>
  <c r="N57" i="2"/>
  <c r="O57" i="2"/>
  <c r="M57" i="2"/>
  <c r="T78" i="2"/>
  <c r="N56" i="2"/>
  <c r="O56" i="2"/>
  <c r="M56" i="2"/>
  <c r="T77" i="2"/>
  <c r="N55" i="2"/>
  <c r="O55" i="2"/>
  <c r="M55" i="2"/>
  <c r="T76" i="2"/>
  <c r="N54" i="2"/>
  <c r="O54" i="2"/>
  <c r="M54" i="2"/>
  <c r="T75" i="2"/>
  <c r="N53" i="2"/>
  <c r="O53" i="2"/>
  <c r="M53" i="2"/>
  <c r="T74" i="2"/>
  <c r="N52" i="2"/>
  <c r="O52" i="2"/>
  <c r="M52" i="2"/>
  <c r="T73" i="2"/>
  <c r="N51" i="2"/>
  <c r="O51" i="2"/>
  <c r="M51" i="2"/>
  <c r="T72" i="2"/>
  <c r="N49" i="2"/>
  <c r="O49" i="2"/>
  <c r="M49" i="2"/>
  <c r="T70" i="2"/>
  <c r="N50" i="2"/>
  <c r="T71" i="2"/>
  <c r="M50" i="2"/>
  <c r="O50" i="2"/>
  <c r="T67" i="2"/>
  <c r="T68" i="2"/>
  <c r="T69" i="2"/>
  <c r="M46" i="2"/>
  <c r="M47" i="2"/>
  <c r="M48" i="2"/>
  <c r="O46" i="2"/>
  <c r="O47" i="2"/>
  <c r="O48" i="2"/>
  <c r="N46" i="2"/>
  <c r="N47" i="2"/>
  <c r="N48" i="2"/>
  <c r="T58" i="2"/>
  <c r="T59" i="2"/>
  <c r="T60" i="2"/>
  <c r="T61" i="2"/>
  <c r="T62" i="2"/>
  <c r="T63" i="2"/>
  <c r="T64" i="2"/>
  <c r="T65" i="2"/>
  <c r="T66" i="2"/>
  <c r="M37" i="2"/>
  <c r="M38" i="2"/>
  <c r="M39" i="2"/>
  <c r="M40" i="2"/>
  <c r="M41" i="2"/>
  <c r="M42" i="2"/>
  <c r="M43" i="2"/>
  <c r="M44" i="2"/>
  <c r="M45" i="2"/>
  <c r="O37" i="2"/>
  <c r="O38" i="2"/>
  <c r="O39" i="2"/>
  <c r="O40" i="2"/>
  <c r="O41" i="2"/>
  <c r="O42" i="2"/>
  <c r="O43" i="2"/>
  <c r="O44" i="2"/>
  <c r="O45" i="2"/>
  <c r="N37" i="2"/>
  <c r="N38" i="2"/>
  <c r="N39" i="2"/>
  <c r="N40" i="2"/>
  <c r="N41" i="2"/>
  <c r="N42" i="2"/>
  <c r="N43" i="2"/>
  <c r="N44" i="2"/>
  <c r="N45" i="2"/>
  <c r="T57" i="2"/>
  <c r="M36" i="2"/>
  <c r="O36" i="2"/>
  <c r="N36" i="2"/>
  <c r="N35" i="2"/>
  <c r="O35" i="2"/>
  <c r="M35" i="2"/>
  <c r="T56" i="2"/>
  <c r="N34" i="2"/>
  <c r="O34" i="2"/>
  <c r="M34" i="2"/>
  <c r="T55" i="2"/>
  <c r="N33" i="2"/>
  <c r="O33" i="2"/>
  <c r="M33" i="2"/>
  <c r="T54" i="2"/>
  <c r="M21" i="2"/>
  <c r="M22" i="2"/>
  <c r="M23" i="2"/>
  <c r="M24" i="2"/>
  <c r="M25" i="2"/>
  <c r="M26" i="2"/>
  <c r="M27" i="2"/>
  <c r="M28" i="2"/>
  <c r="M29" i="2"/>
  <c r="M30" i="2"/>
  <c r="M31" i="2"/>
  <c r="M32" i="2"/>
  <c r="O24" i="2"/>
  <c r="O25" i="2"/>
  <c r="O26" i="2"/>
  <c r="O27" i="2"/>
  <c r="O28" i="2"/>
  <c r="O29" i="2"/>
  <c r="O30" i="2"/>
  <c r="O31" i="2"/>
  <c r="O32" i="2"/>
  <c r="N23" i="2"/>
  <c r="N24" i="2"/>
  <c r="N25" i="2"/>
  <c r="N26" i="2"/>
  <c r="N27" i="2"/>
  <c r="N28" i="2"/>
  <c r="N29" i="2"/>
  <c r="N30" i="2"/>
  <c r="N31" i="2"/>
  <c r="N32" i="2"/>
  <c r="N12" i="2"/>
  <c r="N13" i="2"/>
  <c r="N14" i="2"/>
  <c r="N15" i="2"/>
  <c r="N16" i="2"/>
  <c r="N17" i="2"/>
  <c r="N18" i="2"/>
  <c r="N19" i="2"/>
  <c r="N20" i="2"/>
  <c r="N21" i="2"/>
  <c r="T51" i="2"/>
  <c r="T52" i="2"/>
  <c r="T50" i="2"/>
  <c r="T49" i="2"/>
  <c r="T53" i="2"/>
  <c r="T48" i="2"/>
  <c r="T47" i="2"/>
  <c r="T46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U11" i="2"/>
  <c r="U12" i="2"/>
  <c r="U13" i="2"/>
  <c r="U14" i="2"/>
  <c r="T11" i="2"/>
  <c r="T12" i="2"/>
  <c r="T13" i="2"/>
  <c r="T14" i="2"/>
  <c r="T15" i="2"/>
  <c r="T16" i="2"/>
  <c r="T17" i="2"/>
  <c r="T18" i="2"/>
  <c r="M10" i="2"/>
  <c r="M11" i="2"/>
  <c r="M12" i="2"/>
  <c r="M13" i="2"/>
  <c r="M14" i="2"/>
  <c r="M15" i="2"/>
  <c r="M16" i="2"/>
  <c r="M17" i="2"/>
  <c r="M18" i="2"/>
  <c r="M19" i="2"/>
  <c r="M20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N10" i="2"/>
  <c r="N11" i="2"/>
  <c r="N22" i="2"/>
  <c r="N9" i="2"/>
  <c r="T10" i="2"/>
  <c r="U10" i="2"/>
  <c r="O9" i="2"/>
  <c r="M9" i="2"/>
  <c r="T9" i="2"/>
  <c r="U9" i="2"/>
  <c r="B6" i="2" l="1"/>
  <c r="E6" i="2"/>
  <c r="D6" i="2"/>
  <c r="C6" i="2"/>
  <c r="D5" i="2"/>
  <c r="E5" i="2"/>
  <c r="C5" i="2"/>
  <c r="B5" i="2"/>
  <c r="E4" i="2"/>
  <c r="D4" i="2"/>
  <c r="B4" i="2"/>
  <c r="C4" i="2"/>
  <c r="F13" i="9"/>
  <c r="G5" i="2" l="1"/>
  <c r="F4" i="2"/>
  <c r="G4" i="2"/>
  <c r="G6" i="2"/>
  <c r="E17" i="9"/>
  <c r="E16" i="9"/>
  <c r="E14" i="9"/>
  <c r="E15" i="9"/>
  <c r="F6" i="2"/>
  <c r="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tc={73D0DFDF-9097-4282-AE84-60466938749C}</author>
    <author>tc={BE7F915A-3D7F-46AC-8C16-EE432FAB0901}</author>
    <author>tc={32CA5DCA-4F03-4226-A10D-E7552DDF7775}</author>
    <author>tc={0E4C7CD5-C0F8-4667-9CDE-0EAA6060E6D6}</author>
    <author>tc={AB7F153F-BEA1-4C06-A221-5823F7E0FB5D}</author>
    <author>RAFAELLE PESSOA MORAES</author>
  </authors>
  <commentList>
    <comment ref="V1835" authorId="0" shapeId="0" xr:uid="{73D0DFDF-9097-4282-AE84-60466938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liberar o pedido, vai carregar 5k de s-500 na ipp (já está com a ordem)</t>
      </text>
    </comment>
    <comment ref="V1850" authorId="1" shapeId="0" xr:uid="{BE7F915A-3D7F-46AC-8C16-EE432FAB0901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feito uma nova ordem de carregamento, direcionando para IPP</t>
      </text>
    </comment>
    <comment ref="V1851" authorId="2" shapeId="0" xr:uid="{32CA5DCA-4F03-4226-A10D-E7552DDF7775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feito uma nova ordem de carregamento, direcionando para IPP</t>
      </text>
    </comment>
    <comment ref="V1852" authorId="3" shapeId="0" xr:uid="{0E4C7CD5-C0F8-4667-9CDE-0EAA6060E6D6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feito uma nova ordem de carregamento, direcionando para IPP</t>
      </text>
    </comment>
    <comment ref="V1853" authorId="4" shapeId="0" xr:uid="{AB7F153F-BEA1-4C06-A221-5823F7E0FB5D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feito uma nova ordem de carregamento, direcionando para IPP</t>
      </text>
    </comment>
    <comment ref="V1877" authorId="5" shapeId="0" xr:uid="{FE488285-6A78-4F79-99C5-41E9D887EF95}">
      <text>
        <r>
          <rPr>
            <sz val="11"/>
            <color theme="1"/>
            <rFont val="Calibri"/>
            <family val="2"/>
            <scheme val="minor"/>
          </rPr>
          <t xml:space="preserve">RAFAELLE PESSOA MORAES:
</t>
        </r>
      </text>
    </comment>
  </commentList>
</comments>
</file>

<file path=xl/sharedStrings.xml><?xml version="1.0" encoding="utf-8"?>
<sst xmlns="http://schemas.openxmlformats.org/spreadsheetml/2006/main" count="4667" uniqueCount="658">
  <si>
    <t>Data</t>
  </si>
  <si>
    <t>PLACA</t>
  </si>
  <si>
    <t>VOLUME</t>
  </si>
  <si>
    <t>VIAGENS</t>
  </si>
  <si>
    <t>TOTAL</t>
  </si>
  <si>
    <t>OBSERVAÇÕES</t>
  </si>
  <si>
    <t>NPB-4686</t>
  </si>
  <si>
    <t>-</t>
  </si>
  <si>
    <t>QZN-8E65</t>
  </si>
  <si>
    <t>P/ VIAGEM</t>
  </si>
  <si>
    <t>TAB-2G94</t>
  </si>
  <si>
    <t>P/ GARAGEM CARREGADO</t>
  </si>
  <si>
    <t>PHO-4D02</t>
  </si>
  <si>
    <t>PHO-4D32</t>
  </si>
  <si>
    <t>CARREGADO COM 15M</t>
  </si>
  <si>
    <t>PHZ-8J44</t>
  </si>
  <si>
    <t>OAK-8G51</t>
  </si>
  <si>
    <t>QZW-6A95</t>
  </si>
  <si>
    <t>JXA-4749</t>
  </si>
  <si>
    <t>JXA-5543</t>
  </si>
  <si>
    <t>JXA-5463</t>
  </si>
  <si>
    <t>NÃO TINHA PEDIDO</t>
  </si>
  <si>
    <t>Total</t>
  </si>
  <si>
    <t>CT ADICIONAL, CHEGADA AS 10 HORAS.
CT COM OCORRÊNCIA NO POSTO BBX</t>
  </si>
  <si>
    <t>NOM-7B05</t>
  </si>
  <si>
    <t>TRANSCAP</t>
  </si>
  <si>
    <t>QZR-7E86</t>
  </si>
  <si>
    <t>IN TEIXEIRA</t>
  </si>
  <si>
    <t>VIAGEM</t>
  </si>
  <si>
    <t xml:space="preserve">CT adicional </t>
  </si>
  <si>
    <t>Garagem com a viagem</t>
  </si>
  <si>
    <t>Garagem com 15m³</t>
  </si>
  <si>
    <t>Descarregar o ODM do PJB</t>
  </si>
  <si>
    <t>CT saiu com consumo. Saída s 08:38 e finalizou as 16:16. CT não retornou pois o pneu furou.</t>
  </si>
  <si>
    <t xml:space="preserve">Carregado com 15m, saiu da garagem 
para as entregas. Retornou p/ base as 10:26 </t>
  </si>
  <si>
    <t>Chegada as 11:34</t>
  </si>
  <si>
    <t>JXA5463</t>
  </si>
  <si>
    <t>NON-3029</t>
  </si>
  <si>
    <t>270,00</t>
  </si>
  <si>
    <t>115,00</t>
  </si>
  <si>
    <t>chegou na base ás 11:25</t>
  </si>
  <si>
    <t xml:space="preserve"> </t>
  </si>
  <si>
    <t xml:space="preserve">Adriano Paz </t>
  </si>
  <si>
    <t>CAPACIDADE</t>
  </si>
  <si>
    <t>Alessandro Souza</t>
  </si>
  <si>
    <t xml:space="preserve">Benedito Gomes </t>
  </si>
  <si>
    <t xml:space="preserve">Caio Victor Pessoa </t>
  </si>
  <si>
    <t>Carlos Alberto Noronha</t>
  </si>
  <si>
    <t>Daiton De Lima Costa</t>
  </si>
  <si>
    <t>Edney Freitas</t>
  </si>
  <si>
    <t>JXA-5473</t>
  </si>
  <si>
    <t>Fabricio Silva E Silva</t>
  </si>
  <si>
    <t>Ismael Souza Da Silva</t>
  </si>
  <si>
    <t>Luiz Santos Amaral</t>
  </si>
  <si>
    <t>Paulo Sergio Cordeiro</t>
  </si>
  <si>
    <t>Rogerio Moraes Da Silva</t>
  </si>
  <si>
    <t>Wilmar Leao Filho</t>
  </si>
  <si>
    <t>Raimundo Oderclei Cruz</t>
  </si>
  <si>
    <t xml:space="preserve">Ewertom Melo </t>
  </si>
  <si>
    <t>Adriano Paz</t>
  </si>
  <si>
    <t>Ronaldo Macena</t>
  </si>
  <si>
    <t>Situação</t>
  </si>
  <si>
    <t>CIF</t>
  </si>
  <si>
    <t>FOB</t>
  </si>
  <si>
    <t>Transferência</t>
  </si>
  <si>
    <t>RZD</t>
  </si>
  <si>
    <t>Total FOB</t>
  </si>
  <si>
    <t>Totais</t>
  </si>
  <si>
    <t>Aguardando Entrada</t>
  </si>
  <si>
    <t>Fila de Carregamento</t>
  </si>
  <si>
    <t>Finalizado</t>
  </si>
  <si>
    <t>NÃO MEXER NA FÓRMULA ACIMA</t>
  </si>
  <si>
    <t>Motorista</t>
  </si>
  <si>
    <t>Tipo de Frete</t>
  </si>
  <si>
    <t>Status</t>
  </si>
  <si>
    <t>Viagens</t>
  </si>
  <si>
    <t>Chegada</t>
  </si>
  <si>
    <t>Entrada</t>
  </si>
  <si>
    <t>Saída</t>
  </si>
  <si>
    <t>Nota Fiscal</t>
  </si>
  <si>
    <t>Tempo de Carregamento</t>
  </si>
  <si>
    <t xml:space="preserve">Tempo Total </t>
  </si>
  <si>
    <t>Observação</t>
  </si>
  <si>
    <t>Coluna1</t>
  </si>
  <si>
    <t>Coluna2</t>
  </si>
  <si>
    <t>Impresso</t>
  </si>
  <si>
    <t>David dos Santos</t>
  </si>
  <si>
    <t>Marielson De Oliveira</t>
  </si>
  <si>
    <t xml:space="preserve">Valdemir Ângelo de Moraes </t>
  </si>
  <si>
    <t>Jose Osvaldir Queiroz</t>
  </si>
  <si>
    <t>Julio Cesar dos Santos</t>
  </si>
  <si>
    <t>Kalebe Oliveira da Silva</t>
  </si>
  <si>
    <t>Said Pereira Rabelo</t>
  </si>
  <si>
    <t>Andre Pereira de Oliveira</t>
  </si>
  <si>
    <t>13;15</t>
  </si>
  <si>
    <t>Juan Ricardo</t>
  </si>
  <si>
    <t>Denir Lucena</t>
  </si>
  <si>
    <t>Pendente</t>
  </si>
  <si>
    <t>Francisco Nonato</t>
  </si>
  <si>
    <t>Rosiney de Cruz de Souza</t>
  </si>
  <si>
    <t>Jose Rogerio</t>
  </si>
  <si>
    <t>Francisco Pintos Nunes</t>
  </si>
  <si>
    <t>Henrique Alburquerque</t>
  </si>
  <si>
    <t>Edmilson Almeida</t>
  </si>
  <si>
    <t xml:space="preserve">Daniel da Silva Rabelo </t>
  </si>
  <si>
    <t>Pablo Allan</t>
  </si>
  <si>
    <t>Servio Julio</t>
  </si>
  <si>
    <t>Denilson Duarte</t>
  </si>
  <si>
    <t>Ozeias da Silva Lopes</t>
  </si>
  <si>
    <t>Jeovani Felix da Silva</t>
  </si>
  <si>
    <t xml:space="preserve">Ronaldo Macena </t>
  </si>
  <si>
    <t>Edson Azevedo</t>
  </si>
  <si>
    <t>Gessimar Benezar Damasceno</t>
  </si>
  <si>
    <t>João Damasceno</t>
  </si>
  <si>
    <t>Evanio Ribeiro Cavalcante</t>
  </si>
  <si>
    <t>Silfarne Castro</t>
  </si>
  <si>
    <t>Antonio Adailson</t>
  </si>
  <si>
    <t>Marfrank dos Anjos da Silva</t>
  </si>
  <si>
    <t>Tiago Martins Rodrigues</t>
  </si>
  <si>
    <t>Amâncio Gustavo de sales</t>
  </si>
  <si>
    <t>Rubem Celso de Assis</t>
  </si>
  <si>
    <t>Natalino Santos Auzier</t>
  </si>
  <si>
    <t>Neurivan Paz Silva</t>
  </si>
  <si>
    <t>Marcio de Souza Miranda</t>
  </si>
  <si>
    <t>Francisco Pereira</t>
  </si>
  <si>
    <t>Juan Walace De Oliveira Pantoja</t>
  </si>
  <si>
    <t xml:space="preserve">Augusto Cleber </t>
  </si>
  <si>
    <t>Elizeu Menezes</t>
  </si>
  <si>
    <t>Hermesson Moraes</t>
  </si>
  <si>
    <t>Marcelo Lima Da Rocha</t>
  </si>
  <si>
    <t xml:space="preserve">José Roberto da Silva </t>
  </si>
  <si>
    <t>Romulo Maciel Simoes</t>
  </si>
  <si>
    <t>Paulo Henrique Moreira Pacheco</t>
  </si>
  <si>
    <t>Antonio Carlos Da Silva Andrade</t>
  </si>
  <si>
    <t>,</t>
  </si>
  <si>
    <t>Luan Siqueira da Silva</t>
  </si>
  <si>
    <t>Transferência Gasolina</t>
  </si>
  <si>
    <t>Joao Bosco Passos</t>
  </si>
  <si>
    <t>Transferência BS550</t>
  </si>
  <si>
    <t xml:space="preserve">Josue Sales </t>
  </si>
  <si>
    <t>CheckList</t>
  </si>
  <si>
    <t>Eden Salomão Melgueiros</t>
  </si>
  <si>
    <t>Documento Vencido</t>
  </si>
  <si>
    <t>Sidney Marcos Da Silva Macedo</t>
  </si>
  <si>
    <t>CT parou pra almoço</t>
  </si>
  <si>
    <t>Edy Junio Correa Da Silva</t>
  </si>
  <si>
    <t>Paulo Victor</t>
  </si>
  <si>
    <t>Adriano Nunes Barbosa</t>
  </si>
  <si>
    <t>Motorista se ausentou</t>
  </si>
  <si>
    <t xml:space="preserve">Uiramutã </t>
  </si>
  <si>
    <t>Jose Brito</t>
  </si>
  <si>
    <t xml:space="preserve">Helio Pereira Nogueira </t>
  </si>
  <si>
    <t>Izael Batista dos Santos</t>
  </si>
  <si>
    <t>Silvio Reis de Almeida</t>
  </si>
  <si>
    <t>Elizeu dos Santos Fonseca</t>
  </si>
  <si>
    <t>Pedido bloqueado / Seguro de carga</t>
  </si>
  <si>
    <t>Reparo na carreta</t>
  </si>
  <si>
    <t>Antonio Carlos Lustosa</t>
  </si>
  <si>
    <t xml:space="preserve">Marcos abdoral Aires </t>
  </si>
  <si>
    <t>Pedido bloqueado</t>
  </si>
  <si>
    <t>Carlos Antonio dos Santos Melo</t>
  </si>
  <si>
    <t>Vagno Cavalcante</t>
  </si>
  <si>
    <t>Cleber Moreira</t>
  </si>
  <si>
    <t xml:space="preserve">Jonas Luciano </t>
  </si>
  <si>
    <t>Celio Roberto Pimentel</t>
  </si>
  <si>
    <t>16.:20</t>
  </si>
  <si>
    <t xml:space="preserve">Ficou esperando manifesto ser feito </t>
  </si>
  <si>
    <t xml:space="preserve">ficou esperando descaregar e carregar </t>
  </si>
  <si>
    <t>Jefferson Douglas Barros Martins</t>
  </si>
  <si>
    <t>documento vencido</t>
  </si>
  <si>
    <t>pedido bloqueado</t>
  </si>
  <si>
    <t>Maikon Douglas</t>
  </si>
  <si>
    <t>DOCUMENTOS PENDENTES</t>
  </si>
  <si>
    <t>fob</t>
  </si>
  <si>
    <t xml:space="preserve">Francisco Luzival Pereira da Silva </t>
  </si>
  <si>
    <t>Raimundo Edilson Carneiro</t>
  </si>
  <si>
    <t>Josimar Nogueira</t>
  </si>
  <si>
    <t>aguardando s-10 (trocou com o Adriano)</t>
  </si>
  <si>
    <t>Joao Damasceno Da Silva</t>
  </si>
  <si>
    <t>Elielton Cruz</t>
  </si>
  <si>
    <t>Rudnei Alan</t>
  </si>
  <si>
    <t>Luiz Carlos</t>
  </si>
  <si>
    <t>Paulo Henrique Dias Martins</t>
  </si>
  <si>
    <t>Alexandre Gonçalves de Lima</t>
  </si>
  <si>
    <t xml:space="preserve">Carlos Magno </t>
  </si>
  <si>
    <t>seguro</t>
  </si>
  <si>
    <t>não estava na base</t>
  </si>
  <si>
    <t>Geibson Cordeiro De Assis</t>
  </si>
  <si>
    <t>carregando etanol na ipiranga</t>
  </si>
  <si>
    <t>PRODUTO PARADO/ESPERANDO O MOTOR BOMBA</t>
  </si>
  <si>
    <t>Carregando na IPP</t>
  </si>
  <si>
    <t>aguardando gasolina</t>
  </si>
  <si>
    <t>carregando na ipiranga</t>
  </si>
  <si>
    <t>06:16 carregando na ipiranga</t>
  </si>
  <si>
    <t>chegou com 5.000 de duramais</t>
  </si>
  <si>
    <t>06:58 carregando na ipiranga</t>
  </si>
  <si>
    <t xml:space="preserve">007:36 Ipiranga </t>
  </si>
  <si>
    <t>7:30 carregando na ipiranga</t>
  </si>
  <si>
    <t>Wilmar Leão Filho</t>
  </si>
  <si>
    <t>Leandro Junio Castro da Silva</t>
  </si>
  <si>
    <t>Laudelino Ovelha</t>
  </si>
  <si>
    <t>06:34 carregar na IPP</t>
  </si>
  <si>
    <t>623598/623601- carregar ipp</t>
  </si>
  <si>
    <t>623602/605</t>
  </si>
  <si>
    <t xml:space="preserve">06:33 carregar na ipp </t>
  </si>
  <si>
    <t>06:52 carregar na IPP</t>
  </si>
  <si>
    <t>20MIL GAS IPP</t>
  </si>
  <si>
    <t>Carregado com 5 mil de S10 boca 1</t>
  </si>
  <si>
    <t>10MIL GAS IPP</t>
  </si>
  <si>
    <t>10 GAS IPP</t>
  </si>
  <si>
    <t>10 GAS IPP=622453/622464-622486/622488</t>
  </si>
  <si>
    <t>20 GAS IPP</t>
  </si>
  <si>
    <t>LACRE 622405/622413</t>
  </si>
  <si>
    <t>622531-622548 CARREGAR IPP</t>
  </si>
  <si>
    <t>CARREGAR IPP -622501/622515 - 15 GAS</t>
  </si>
  <si>
    <t>CARREGAR IPP-622516/622521</t>
  </si>
  <si>
    <t>CARREGAR IPP 20 GS</t>
  </si>
  <si>
    <t>IPP GAS20/BS10 10/ ETANOL5=622465/622485</t>
  </si>
  <si>
    <t>IPP GAS10/ BS10-5MIL LACRE 622489-622497</t>
  </si>
  <si>
    <t>sem programação</t>
  </si>
  <si>
    <t>IPP</t>
  </si>
  <si>
    <t>9:13/12.000 S500 IPP</t>
  </si>
  <si>
    <t>ALUIZIO SOUZA VIEGAS</t>
  </si>
  <si>
    <t>edson</t>
  </si>
  <si>
    <t xml:space="preserve">carta fob enviada </t>
  </si>
  <si>
    <t>Marcelo Augusto</t>
  </si>
  <si>
    <t>ipp</t>
  </si>
  <si>
    <t>Franscisco Pereira</t>
  </si>
  <si>
    <t xml:space="preserve">ipp 60.000 gasolina </t>
  </si>
  <si>
    <t>ipp 5.000 bs500</t>
  </si>
  <si>
    <t xml:space="preserve">ipp 5.000 odm </t>
  </si>
  <si>
    <t>Emerson Felix</t>
  </si>
  <si>
    <t>ipp/11:35</t>
  </si>
  <si>
    <t>STANLEY CESAR EDWARDS RODRIGUES</t>
  </si>
  <si>
    <t>11:00 IPP</t>
  </si>
  <si>
    <t>Henrique Freitas</t>
  </si>
  <si>
    <t>31.000 GASOLINA IPP</t>
  </si>
  <si>
    <t>50.000 S10 IPP</t>
  </si>
  <si>
    <t>20 ipp</t>
  </si>
  <si>
    <t>25 Bs10 ipp</t>
  </si>
  <si>
    <t>30 IPP</t>
  </si>
  <si>
    <t xml:space="preserve">ipp 60m de gasolina </t>
  </si>
  <si>
    <t>IPP 10</t>
  </si>
  <si>
    <t>ippp</t>
  </si>
  <si>
    <t xml:space="preserve">iPP 25 M </t>
  </si>
  <si>
    <t>vai carregar ipp 30.000 s10</t>
  </si>
  <si>
    <t>ipp / seguro</t>
  </si>
  <si>
    <t>pho4d32 -2 -25</t>
  </si>
  <si>
    <t>qzw6a95 -2 -25</t>
  </si>
  <si>
    <t>JXa5463-2-30</t>
  </si>
  <si>
    <t>ipp s10</t>
  </si>
  <si>
    <t>QHZ8J44 1 -25</t>
  </si>
  <si>
    <t>IPP S10 QZN8E65 - 2 -20</t>
  </si>
  <si>
    <t>TAB2G94 -1 -20</t>
  </si>
  <si>
    <t>impresso</t>
  </si>
  <si>
    <t>Wilmar Leão</t>
  </si>
  <si>
    <t>ipiranga</t>
  </si>
  <si>
    <t>Edes Costa De Araujo</t>
  </si>
  <si>
    <t>desde 21:30 de domingo</t>
  </si>
  <si>
    <t>carregado com 5k de D+</t>
  </si>
  <si>
    <t>carregado com 30k b100 TFB</t>
  </si>
  <si>
    <t>vai descarregar na ipp</t>
  </si>
  <si>
    <t>10 -s500ipp</t>
  </si>
  <si>
    <t>com 60k de b100</t>
  </si>
  <si>
    <t xml:space="preserve">Paulo Viva </t>
  </si>
  <si>
    <t xml:space="preserve">FOB </t>
  </si>
  <si>
    <t>5-s500ipp-boca 3</t>
  </si>
  <si>
    <t xml:space="preserve">Edson Souza </t>
  </si>
  <si>
    <t xml:space="preserve">teve passagem no CT </t>
  </si>
  <si>
    <t>estava aguaradando pedido</t>
  </si>
  <si>
    <t xml:space="preserve">stanley </t>
  </si>
  <si>
    <t>impresso parcialmente</t>
  </si>
  <si>
    <t>PEDIDO NÃO ESTAVA LIBERADO / LIBEROU 14:30</t>
  </si>
  <si>
    <t>gasolina parada (fora de especificação)</t>
  </si>
  <si>
    <t>standby-prioridade comércio</t>
  </si>
  <si>
    <t>gasolina parada (fora de especificação)/ipp</t>
  </si>
  <si>
    <t>gasolina parada (fora de especificação) - pedido não ta na tela</t>
  </si>
  <si>
    <t xml:space="preserve">FABRICIO MARTINS CARVALHO </t>
  </si>
  <si>
    <t>Emilson Silva dos Santos</t>
  </si>
  <si>
    <t>Fernendo Azevedo</t>
  </si>
  <si>
    <t>janio</t>
  </si>
  <si>
    <t>motorista aguardando produto enquadrar(especificação)</t>
  </si>
  <si>
    <t>esperando desde ontem</t>
  </si>
  <si>
    <t>mudou pedido</t>
  </si>
  <si>
    <t>viagem CIF</t>
  </si>
  <si>
    <t xml:space="preserve">TAVA COM PEDIDO BLOQUEADO </t>
  </si>
  <si>
    <t xml:space="preserve">AGUARDANDO PEDIDO </t>
  </si>
  <si>
    <t>Foi carregar na Ipiranga E VAI VOLTAR</t>
  </si>
  <si>
    <t>Fabrício Martins Carvalho</t>
  </si>
  <si>
    <t>Roraipetro</t>
  </si>
  <si>
    <t>FALTA ORDEM DO S500 DA IPP - POR NA BOCA 3</t>
  </si>
  <si>
    <t>Carlos André</t>
  </si>
  <si>
    <t>Raimundo Rocha Sousa</t>
  </si>
  <si>
    <t>Antônio Adailson</t>
  </si>
  <si>
    <t>aguardando enviar pedido</t>
  </si>
  <si>
    <t>David Santos</t>
  </si>
  <si>
    <t>Said Pereira</t>
  </si>
  <si>
    <t>Rogério</t>
  </si>
  <si>
    <t>Tulio</t>
  </si>
  <si>
    <t>sem pedido</t>
  </si>
  <si>
    <t>Amâncio Gustavo</t>
  </si>
  <si>
    <t>GAS C</t>
  </si>
  <si>
    <t>gas c ipp</t>
  </si>
  <si>
    <t>s500 ipp</t>
  </si>
  <si>
    <t>Jefferson Douglas Barros Martins	FOB</t>
  </si>
  <si>
    <t>15:22,</t>
  </si>
  <si>
    <t>S-10</t>
  </si>
  <si>
    <t xml:space="preserve">Evanio </t>
  </si>
  <si>
    <t xml:space="preserve">ADRIANO NUNES </t>
  </si>
  <si>
    <t xml:space="preserve">PAULO VICTOR </t>
  </si>
  <si>
    <t>ELIZEU</t>
  </si>
  <si>
    <t>14.50</t>
  </si>
  <si>
    <t>GEIBSON</t>
  </si>
  <si>
    <t>TRANSFERÊNCIA</t>
  </si>
  <si>
    <t>14.55</t>
  </si>
  <si>
    <t>RAIMUNDO CRUZ</t>
  </si>
  <si>
    <t>alessandro</t>
  </si>
  <si>
    <t>EWERTON</t>
  </si>
  <si>
    <t>ipp s10 s500</t>
  </si>
  <si>
    <t>Raimundo Cruz</t>
  </si>
  <si>
    <t>Carlos Noronha</t>
  </si>
  <si>
    <t xml:space="preserve">CIF </t>
  </si>
  <si>
    <t>Edy Junio</t>
  </si>
  <si>
    <t>Juan ricardo</t>
  </si>
  <si>
    <t>Marielson Oliveira</t>
  </si>
  <si>
    <t>ipp.</t>
  </si>
  <si>
    <t>xavantes/aguardando saldo</t>
  </si>
  <si>
    <t>Laudelino Almeida</t>
  </si>
  <si>
    <t>Ewerton</t>
  </si>
  <si>
    <t>Janio</t>
  </si>
  <si>
    <t>aguardando programação/ carregando na ipp</t>
  </si>
  <si>
    <t>GESSIMAR</t>
  </si>
  <si>
    <t xml:space="preserve">carregar na ipp </t>
  </si>
  <si>
    <t>desde quinta na base</t>
  </si>
  <si>
    <t>check-list</t>
  </si>
  <si>
    <t>chegou atrasado</t>
  </si>
  <si>
    <t>seguro/ipp</t>
  </si>
  <si>
    <t>chegou atrasado/ipp</t>
  </si>
  <si>
    <t>pedido bloqueado (desceu com nota)</t>
  </si>
  <si>
    <t>esperando pedido</t>
  </si>
  <si>
    <t>sem pedido em tela</t>
  </si>
  <si>
    <t>desde ontem (aguarndo liberar  pedido)</t>
  </si>
  <si>
    <t>aguardando liberar/ipp</t>
  </si>
  <si>
    <t xml:space="preserve">tinha pedido porém o motorista não podia ir pra o chico foi substituido pelo caio </t>
  </si>
  <si>
    <t>carregado com 5k etanol</t>
  </si>
  <si>
    <t xml:space="preserve">CARREGAR IPP </t>
  </si>
  <si>
    <t>carregar ipp</t>
  </si>
  <si>
    <t xml:space="preserve">Francisco Pinto Nunes </t>
  </si>
  <si>
    <t xml:space="preserve">Adailson </t>
  </si>
  <si>
    <t>ipp (gasolina parada)</t>
  </si>
  <si>
    <t xml:space="preserve">Raimundo Ordeclei </t>
  </si>
  <si>
    <t xml:space="preserve">Said </t>
  </si>
  <si>
    <t>emilson</t>
  </si>
  <si>
    <t xml:space="preserve">evanio </t>
  </si>
  <si>
    <t xml:space="preserve">paulo Henrique </t>
  </si>
  <si>
    <t>Gessimar</t>
  </si>
  <si>
    <t>Kalebe mucuripe</t>
  </si>
  <si>
    <t>Francisco Mucuripe</t>
  </si>
  <si>
    <t xml:space="preserve">benedito </t>
  </si>
  <si>
    <t>victor dias</t>
  </si>
  <si>
    <t>Gilmar Alves de Brito</t>
  </si>
  <si>
    <t>LIBERADO ÁS 17:00</t>
  </si>
  <si>
    <t xml:space="preserve">emilsom </t>
  </si>
  <si>
    <t>Túlio</t>
  </si>
  <si>
    <t>aguardando programação</t>
  </si>
  <si>
    <t>jayoro/ s10 turvo</t>
  </si>
  <si>
    <t>s10 turvo</t>
  </si>
  <si>
    <t xml:space="preserve">aguardando </t>
  </si>
  <si>
    <t xml:space="preserve">ipp  </t>
  </si>
  <si>
    <t>ipp (ordem manual)</t>
  </si>
  <si>
    <t xml:space="preserve">ipp   </t>
  </si>
  <si>
    <t>carregano apenas etanol aqui/IPP</t>
  </si>
  <si>
    <t>Paulo Sergio Reis</t>
  </si>
  <si>
    <t>gas c parada</t>
  </si>
  <si>
    <t>chegou atrasado/ carregar na ipp</t>
  </si>
  <si>
    <t xml:space="preserve">Marcio Balbino </t>
  </si>
  <si>
    <t xml:space="preserve">viagem balbina </t>
  </si>
  <si>
    <t>ipp(S-500)</t>
  </si>
  <si>
    <t xml:space="preserve">Aguardadndo pedido </t>
  </si>
  <si>
    <t xml:space="preserve">07:30(descarregar o s10) o produto foi carregado na noite anterior, porém ficou turvo </t>
  </si>
  <si>
    <t>Cesar Soares</t>
  </si>
  <si>
    <t>saiu da base</t>
  </si>
  <si>
    <t>Irã Rodrigues De Sousa</t>
  </si>
  <si>
    <t xml:space="preserve">chegou com o pneu furado na base, foi para o mauazinho arrumar </t>
  </si>
  <si>
    <t>Paulo GT</t>
  </si>
  <si>
    <t xml:space="preserve">victor </t>
  </si>
  <si>
    <t>victor gt</t>
  </si>
  <si>
    <t>RAIMNDO</t>
  </si>
  <si>
    <t>s10/s500 ipp</t>
  </si>
  <si>
    <t>Philippe da Silva Araújo</t>
  </si>
  <si>
    <t>seguro de carga</t>
  </si>
  <si>
    <t>ordem pronta, aguardando liberação</t>
  </si>
  <si>
    <t>ipp(pegar nf)</t>
  </si>
  <si>
    <t xml:space="preserve">ipp </t>
  </si>
  <si>
    <t xml:space="preserve">RAIMUNDO ROCHA 2 IRMÃOS </t>
  </si>
  <si>
    <t>PAULO SERGIO CLIENTE TARCISIO NOZ-2738</t>
  </si>
  <si>
    <t xml:space="preserve">pedido bloqueado </t>
  </si>
  <si>
    <t>desde ontem na base (FOB)-pedido bloquado</t>
  </si>
  <si>
    <t>pedido bloqueado/ipp</t>
  </si>
  <si>
    <t>s500 na ipp</t>
  </si>
  <si>
    <t>Victor Stefani</t>
  </si>
  <si>
    <t>desceu com nota</t>
  </si>
  <si>
    <t>CARREGAR IPP / PEDIDO BLOQUEADO</t>
  </si>
  <si>
    <t>aguardando pedido/liberou 09:50</t>
  </si>
  <si>
    <t>ipp/ erro para faturar o isento</t>
  </si>
  <si>
    <t>ipp/aguardando gnre</t>
  </si>
  <si>
    <t>aguardando pedido/IPP</t>
  </si>
  <si>
    <t xml:space="preserve">aguardando pedido  </t>
  </si>
  <si>
    <t>aguardando liberar pedido</t>
  </si>
  <si>
    <t xml:space="preserve">Stanley </t>
  </si>
  <si>
    <t>ipp/ seguro</t>
  </si>
  <si>
    <t>desceu com a nota</t>
  </si>
  <si>
    <t>Claudio silva dos santos</t>
  </si>
  <si>
    <t>ipp/aguradando parametros p faturar</t>
  </si>
  <si>
    <t>AGURADANDO PEDIDO</t>
  </si>
  <si>
    <t>Kaleb Oliveira</t>
  </si>
  <si>
    <t>aguardando incluiur pedido</t>
  </si>
  <si>
    <t>aguradando pedido</t>
  </si>
  <si>
    <t>parcial na ipp</t>
  </si>
  <si>
    <t>Francisco Neves</t>
  </si>
  <si>
    <t xml:space="preserve">Pablo </t>
  </si>
  <si>
    <t>s500</t>
  </si>
  <si>
    <t xml:space="preserve">Marcelo Augusto </t>
  </si>
  <si>
    <t>gilmar</t>
  </si>
  <si>
    <t>paulo sergio amorim</t>
  </si>
  <si>
    <t>luiz carlos</t>
  </si>
  <si>
    <t>jonas</t>
  </si>
  <si>
    <t xml:space="preserve">Said Perreira </t>
  </si>
  <si>
    <t>Jose Osvaldir</t>
  </si>
  <si>
    <t>fernando azevedo</t>
  </si>
  <si>
    <t>CARREGAMENTO NA IPP</t>
  </si>
  <si>
    <t>AME</t>
  </si>
  <si>
    <t>CDT EMERSON IV</t>
  </si>
  <si>
    <t>marfrank</t>
  </si>
  <si>
    <t>claudio</t>
  </si>
  <si>
    <t>edney freitas</t>
  </si>
  <si>
    <t>Leandro roraipetro</t>
  </si>
  <si>
    <t>jose osvaldir</t>
  </si>
  <si>
    <t xml:space="preserve">Hermeson </t>
  </si>
  <si>
    <t xml:space="preserve">Marielson </t>
  </si>
  <si>
    <t xml:space="preserve">Laudelino </t>
  </si>
  <si>
    <t xml:space="preserve">Gilson </t>
  </si>
  <si>
    <t xml:space="preserve">Maikon </t>
  </si>
  <si>
    <t xml:space="preserve">Phelipe </t>
  </si>
  <si>
    <t xml:space="preserve">Denir </t>
  </si>
  <si>
    <t xml:space="preserve">Rogerio </t>
  </si>
  <si>
    <t xml:space="preserve">ewetom </t>
  </si>
  <si>
    <t xml:space="preserve">Amaral </t>
  </si>
  <si>
    <t xml:space="preserve">Caio </t>
  </si>
  <si>
    <t xml:space="preserve">Izael </t>
  </si>
  <si>
    <t>IPP / CARRGOU GSOLINA NA EQDR</t>
  </si>
  <si>
    <t xml:space="preserve">Gustavo </t>
  </si>
  <si>
    <t xml:space="preserve">Valdemir </t>
  </si>
  <si>
    <t>raimundo rocha</t>
  </si>
  <si>
    <t xml:space="preserve">augusto </t>
  </si>
  <si>
    <t xml:space="preserve">natalino </t>
  </si>
  <si>
    <t xml:space="preserve">julio </t>
  </si>
  <si>
    <t xml:space="preserve">emilson </t>
  </si>
  <si>
    <t xml:space="preserve">carlos andre </t>
  </si>
  <si>
    <t xml:space="preserve">jose osvaldir </t>
  </si>
  <si>
    <t>valdemir rzd</t>
  </si>
  <si>
    <t xml:space="preserve">IPP </t>
  </si>
  <si>
    <t>joao rzd</t>
  </si>
  <si>
    <t xml:space="preserve">Adrino </t>
  </si>
  <si>
    <t>edney</t>
  </si>
  <si>
    <t xml:space="preserve">rogerio </t>
  </si>
  <si>
    <t xml:space="preserve">jefferson gagoniha </t>
  </si>
  <si>
    <t xml:space="preserve">Victor GT </t>
  </si>
  <si>
    <t>tom zé</t>
  </si>
  <si>
    <t>cruz</t>
  </si>
  <si>
    <t xml:space="preserve">VAGNO </t>
  </si>
  <si>
    <t>HERMESSON</t>
  </si>
  <si>
    <t>Marfank</t>
  </si>
  <si>
    <t>Marielson</t>
  </si>
  <si>
    <t>José Osvaldir</t>
  </si>
  <si>
    <t>"carro teste" p/ s-10</t>
  </si>
  <si>
    <t>Ismael</t>
  </si>
  <si>
    <t xml:space="preserve">REINALDO </t>
  </si>
  <si>
    <t>ANTONIO CARLOS</t>
  </si>
  <si>
    <t>LUAN</t>
  </si>
  <si>
    <t>RAIMUNDO EDILSON</t>
  </si>
  <si>
    <t>MARCIO CONCEIÇÃO</t>
  </si>
  <si>
    <t>PEDIDO BLOQUEADO / IPP</t>
  </si>
  <si>
    <t>Benedito</t>
  </si>
  <si>
    <t>parcial ipp</t>
  </si>
  <si>
    <t>pendente crlv</t>
  </si>
  <si>
    <t>Edy Júnior</t>
  </si>
  <si>
    <t>Silfarne</t>
  </si>
  <si>
    <t>Paulo Sérgio</t>
  </si>
  <si>
    <t>Elias Tom Zé</t>
  </si>
  <si>
    <t>documentação pendente / atualização</t>
  </si>
  <si>
    <t>joão damasceno</t>
  </si>
  <si>
    <t xml:space="preserve">JUAN </t>
  </si>
  <si>
    <t>Ozeias Roraipetro</t>
  </si>
  <si>
    <t xml:space="preserve">desde ontem </t>
  </si>
  <si>
    <t>aguardando pedido</t>
  </si>
  <si>
    <t>Ewertom Melo</t>
  </si>
  <si>
    <t>Julio Cesar</t>
  </si>
  <si>
    <t>Elias</t>
  </si>
  <si>
    <t>alexandre gonçalves</t>
  </si>
  <si>
    <t>Silvio Manoel</t>
  </si>
  <si>
    <t xml:space="preserve">Vigem para Itacoatia </t>
  </si>
  <si>
    <t>caio victor</t>
  </si>
  <si>
    <t xml:space="preserve">kalebe </t>
  </si>
  <si>
    <t>documentação pendente</t>
  </si>
  <si>
    <t xml:space="preserve">marielson </t>
  </si>
  <si>
    <t>adriano nunes</t>
  </si>
  <si>
    <t>Geibson</t>
  </si>
  <si>
    <t>06.:20</t>
  </si>
  <si>
    <t>Marfrank</t>
  </si>
  <si>
    <t xml:space="preserve">ipp (gasolina "66") JAYOURO </t>
  </si>
  <si>
    <t>ipp (gasolina "66")</t>
  </si>
  <si>
    <t xml:space="preserve">JAYOURO </t>
  </si>
  <si>
    <t>Marcio Balbino</t>
  </si>
  <si>
    <t>Luan Siqueira</t>
  </si>
  <si>
    <t>Usina</t>
  </si>
  <si>
    <t>Alexandre Gonçalves</t>
  </si>
  <si>
    <t>Stanley</t>
  </si>
  <si>
    <t xml:space="preserve">daniel marques </t>
  </si>
  <si>
    <t>Kenedy</t>
  </si>
  <si>
    <t>ipp desceu com nota</t>
  </si>
  <si>
    <t>Emilson</t>
  </si>
  <si>
    <t>pedido bloqueado/IPP</t>
  </si>
  <si>
    <t>parcial eqd/ipp</t>
  </si>
  <si>
    <t>Benedito Gomes</t>
  </si>
  <si>
    <t>Elias Barbosa</t>
  </si>
  <si>
    <t>sem pedido em tela/parcial eqd</t>
  </si>
  <si>
    <t>Ewerton Melo</t>
  </si>
  <si>
    <t>reinaldo</t>
  </si>
  <si>
    <t xml:space="preserve">Valdir costa </t>
  </si>
  <si>
    <t xml:space="preserve">alexandre </t>
  </si>
  <si>
    <t xml:space="preserve">CiF </t>
  </si>
  <si>
    <t xml:space="preserve">said </t>
  </si>
  <si>
    <t xml:space="preserve">edson </t>
  </si>
  <si>
    <t>CAIO</t>
  </si>
  <si>
    <t xml:space="preserve">Agusto </t>
  </si>
  <si>
    <t xml:space="preserve">ismael </t>
  </si>
  <si>
    <t>Raimundo edilson</t>
  </si>
  <si>
    <t>AUGUSTO</t>
  </si>
  <si>
    <t>JONAS</t>
  </si>
  <si>
    <t>EMERSON</t>
  </si>
  <si>
    <t>VAGNO</t>
  </si>
  <si>
    <t>Marcos da Conceição</t>
  </si>
  <si>
    <t xml:space="preserve">Francisco nonato </t>
  </si>
  <si>
    <t xml:space="preserve">Natalino </t>
  </si>
  <si>
    <t>julio</t>
  </si>
  <si>
    <t xml:space="preserve">luan </t>
  </si>
  <si>
    <t>luiz rr</t>
  </si>
  <si>
    <t>Julio César</t>
  </si>
  <si>
    <t>Natalino Auzier</t>
  </si>
  <si>
    <t>Silvio manoel</t>
  </si>
  <si>
    <t>Raimundo rocha</t>
  </si>
  <si>
    <t>Paulo Victor gloria</t>
  </si>
  <si>
    <t>Hermesson</t>
  </si>
  <si>
    <t>Natalino Santos</t>
  </si>
  <si>
    <t>Elias Tesbista</t>
  </si>
  <si>
    <t>Amaral</t>
  </si>
  <si>
    <t>Adriano</t>
  </si>
  <si>
    <t>Edson</t>
  </si>
  <si>
    <t>Reinaldo</t>
  </si>
  <si>
    <t>Pierry Alexandre Fernande</t>
  </si>
  <si>
    <t>Osvaldir</t>
  </si>
  <si>
    <t>Adriano nunes</t>
  </si>
  <si>
    <t xml:space="preserve">Romulo maciel </t>
  </si>
  <si>
    <t>documentação /checklist</t>
  </si>
  <si>
    <t>Paulo Sergio</t>
  </si>
  <si>
    <t>Caio Victor</t>
  </si>
  <si>
    <t>vagno</t>
  </si>
  <si>
    <t xml:space="preserve">Emilson </t>
  </si>
  <si>
    <t>JUAN</t>
  </si>
  <si>
    <t xml:space="preserve">PEDIDO BLOQUEADO </t>
  </si>
  <si>
    <t xml:space="preserve">Reinaldo </t>
  </si>
  <si>
    <t>Natalino</t>
  </si>
  <si>
    <t>Paulo Sérgio Cordeiro</t>
  </si>
  <si>
    <t>Raimundo Oderclei</t>
  </si>
  <si>
    <t>Luiz Amaral</t>
  </si>
  <si>
    <t xml:space="preserve">lula </t>
  </si>
  <si>
    <t xml:space="preserve">elizeu </t>
  </si>
  <si>
    <t>VALDIR COSTA</t>
  </si>
  <si>
    <t>julio cesar</t>
  </si>
  <si>
    <t>pierry</t>
  </si>
  <si>
    <t>Edney freitas</t>
  </si>
  <si>
    <t>desde ontem</t>
  </si>
  <si>
    <t xml:space="preserve">Julio Cesar </t>
  </si>
  <si>
    <t xml:space="preserve">Lenadro </t>
  </si>
  <si>
    <t xml:space="preserve">Adriano </t>
  </si>
  <si>
    <t xml:space="preserve">Pierry Alexandre </t>
  </si>
  <si>
    <t>Eliseu</t>
  </si>
  <si>
    <t xml:space="preserve">Jonas </t>
  </si>
  <si>
    <t>Francisco</t>
  </si>
  <si>
    <t>kalebe</t>
  </si>
  <si>
    <t>silvio</t>
  </si>
  <si>
    <t>jefferson</t>
  </si>
  <si>
    <t>Juan</t>
  </si>
  <si>
    <t>phillipe araujo</t>
  </si>
  <si>
    <t>Cezar Soares</t>
  </si>
  <si>
    <t>Ismael Souza</t>
  </si>
  <si>
    <t xml:space="preserve">Edney Freitas </t>
  </si>
  <si>
    <t xml:space="preserve">Silfarne </t>
  </si>
  <si>
    <t>ismael Souza</t>
  </si>
  <si>
    <t>jose</t>
  </si>
  <si>
    <t xml:space="preserve">juan </t>
  </si>
  <si>
    <t>Maikon</t>
  </si>
  <si>
    <t>documentação atrasada</t>
  </si>
  <si>
    <t>said</t>
  </si>
  <si>
    <t>Juan wallace</t>
  </si>
  <si>
    <t>stanley</t>
  </si>
  <si>
    <t>ipp-retornou para carregar na base</t>
  </si>
  <si>
    <t>Aguardando pagamento DAR</t>
  </si>
  <si>
    <t>Marielson Olivira</t>
  </si>
  <si>
    <t>Emilsom</t>
  </si>
  <si>
    <t xml:space="preserve">Said Pereira </t>
  </si>
  <si>
    <t>Kaleb</t>
  </si>
  <si>
    <t>marcio balbino</t>
  </si>
  <si>
    <t>chegou tarde</t>
  </si>
  <si>
    <t xml:space="preserve">amaral </t>
  </si>
  <si>
    <t>edy junior</t>
  </si>
  <si>
    <t>gessimar libamor</t>
  </si>
  <si>
    <t>Rafael Anauá</t>
  </si>
  <si>
    <t>Said</t>
  </si>
  <si>
    <t>Marcio balbino</t>
  </si>
  <si>
    <t xml:space="preserve">José Osvaldir </t>
  </si>
  <si>
    <t>Daniel Marques</t>
  </si>
  <si>
    <t>evanio</t>
  </si>
  <si>
    <t>kaleb / francisco neves (descer juntos)</t>
  </si>
  <si>
    <t>Henrique Alburquerque 2</t>
  </si>
  <si>
    <t>hemersson Felix 3</t>
  </si>
  <si>
    <t>raimundo rocha 1</t>
  </si>
  <si>
    <t>vagno 4</t>
  </si>
  <si>
    <t>gilmar 5</t>
  </si>
  <si>
    <t>daniel rzd</t>
  </si>
  <si>
    <t>luzival rzd</t>
  </si>
  <si>
    <t xml:space="preserve">reinaldo </t>
  </si>
  <si>
    <t xml:space="preserve">kennedy </t>
  </si>
  <si>
    <t>emisson</t>
  </si>
  <si>
    <t>caio Victor</t>
  </si>
  <si>
    <t>eweton melo</t>
  </si>
  <si>
    <t>há dois dias com 5.000 de S-10 da ct log</t>
  </si>
  <si>
    <t>desde ontem/ check list</t>
  </si>
  <si>
    <t>Frete</t>
  </si>
  <si>
    <t xml:space="preserve">Abdiel ferreira </t>
  </si>
  <si>
    <t>Produto parado</t>
  </si>
  <si>
    <t>Valdemir Angelo</t>
  </si>
  <si>
    <t>Carlos Antônio</t>
  </si>
  <si>
    <t>Carlos Junior</t>
  </si>
  <si>
    <t xml:space="preserve">Cesar Gomes Diniz </t>
  </si>
  <si>
    <t>Domilton Bezerra Severo</t>
  </si>
  <si>
    <t>Franceildo Souza</t>
  </si>
  <si>
    <t>Gabriel Braga Menezes</t>
  </si>
  <si>
    <t>Isaias Julião</t>
  </si>
  <si>
    <t>Kassio Alexandre</t>
  </si>
  <si>
    <t>Linderlon Garces Dos Santos</t>
  </si>
  <si>
    <t>Luciano Sousa Da Silva</t>
  </si>
  <si>
    <t xml:space="preserve">Martiniano de sousa </t>
  </si>
  <si>
    <t>Paulo Henrique De Souza Pinheiro</t>
  </si>
  <si>
    <t>Valdinei de Souza Lira</t>
  </si>
  <si>
    <t>Valdir Costa De Oliveira</t>
  </si>
  <si>
    <t>Alcijones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</si>
</sst>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16]d\-mmm;@"/>
    <numFmt numFmtId="165" formatCode="h:mm;@"/>
    <numFmt numFmtId="166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4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7030A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7030A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center" vertical="center"/>
    </xf>
    <xf numFmtId="165" fontId="2" fillId="0" borderId="0" xfId="0" applyNumberFormat="1" applyFont="1" applyAlignment="1">
      <alignment horizontal="left"/>
    </xf>
    <xf numFmtId="165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vertical="top"/>
    </xf>
    <xf numFmtId="165" fontId="0" fillId="5" borderId="3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1" fillId="8" borderId="8" xfId="0" applyFont="1" applyFill="1" applyBorder="1" applyAlignment="1">
      <alignment horizontal="left"/>
    </xf>
    <xf numFmtId="3" fontId="1" fillId="8" borderId="6" xfId="0" applyNumberFormat="1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64" fontId="1" fillId="9" borderId="8" xfId="0" applyNumberFormat="1" applyFont="1" applyFill="1" applyBorder="1" applyAlignment="1">
      <alignment horizontal="left"/>
    </xf>
    <xf numFmtId="3" fontId="1" fillId="9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left" vertical="center"/>
    </xf>
    <xf numFmtId="164" fontId="0" fillId="6" borderId="4" xfId="0" applyNumberForma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3" fontId="0" fillId="7" borderId="5" xfId="0" applyNumberFormat="1" applyFill="1" applyBorder="1" applyAlignment="1">
      <alignment horizontal="center" vertical="center"/>
    </xf>
    <xf numFmtId="3" fontId="9" fillId="6" borderId="5" xfId="0" applyNumberFormat="1" applyFont="1" applyFill="1" applyBorder="1" applyAlignment="1">
      <alignment horizontal="center" vertical="center" wrapText="1"/>
    </xf>
    <xf numFmtId="3" fontId="0" fillId="6" borderId="5" xfId="0" applyNumberFormat="1" applyFill="1" applyBorder="1" applyAlignment="1">
      <alignment horizontal="center" vertical="center"/>
    </xf>
    <xf numFmtId="3" fontId="9" fillId="7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/>
    </xf>
    <xf numFmtId="0" fontId="10" fillId="0" borderId="0" xfId="0" applyFont="1"/>
    <xf numFmtId="165" fontId="0" fillId="10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164" fontId="0" fillId="7" borderId="10" xfId="0" applyNumberFormat="1" applyFill="1" applyBorder="1" applyAlignment="1">
      <alignment horizontal="left" vertical="center"/>
    </xf>
    <xf numFmtId="0" fontId="0" fillId="7" borderId="10" xfId="0" applyFill="1" applyBorder="1" applyAlignment="1">
      <alignment horizontal="center" vertical="center"/>
    </xf>
    <xf numFmtId="3" fontId="0" fillId="7" borderId="10" xfId="0" applyNumberFormat="1" applyFill="1" applyBorder="1" applyAlignment="1">
      <alignment horizontal="center" vertical="center"/>
    </xf>
    <xf numFmtId="3" fontId="9" fillId="7" borderId="11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65" fontId="0" fillId="12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10" borderId="12" xfId="0" applyNumberFormat="1" applyFill="1" applyBorder="1" applyAlignment="1">
      <alignment horizontal="center" vertical="center"/>
    </xf>
    <xf numFmtId="165" fontId="0" fillId="11" borderId="12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10" borderId="0" xfId="0" applyFill="1"/>
    <xf numFmtId="0" fontId="11" fillId="10" borderId="12" xfId="0" applyFont="1" applyFill="1" applyBorder="1"/>
    <xf numFmtId="165" fontId="0" fillId="10" borderId="13" xfId="0" applyNumberFormat="1" applyFill="1" applyBorder="1" applyAlignment="1">
      <alignment horizontal="center" vertical="center"/>
    </xf>
    <xf numFmtId="0" fontId="11" fillId="10" borderId="13" xfId="0" applyFont="1" applyFill="1" applyBorder="1"/>
    <xf numFmtId="0" fontId="0" fillId="10" borderId="12" xfId="0" applyFill="1" applyBorder="1"/>
    <xf numFmtId="0" fontId="12" fillId="10" borderId="12" xfId="0" applyFont="1" applyFill="1" applyBorder="1"/>
    <xf numFmtId="0" fontId="13" fillId="0" borderId="0" xfId="0" applyFont="1"/>
    <xf numFmtId="0" fontId="14" fillId="0" borderId="0" xfId="0" applyFont="1"/>
    <xf numFmtId="165" fontId="1" fillId="2" borderId="0" xfId="0" applyNumberFormat="1" applyFont="1" applyFill="1" applyAlignment="1">
      <alignment horizontal="center" vertical="center"/>
    </xf>
    <xf numFmtId="0" fontId="15" fillId="5" borderId="1" xfId="0" applyFont="1" applyFill="1" applyBorder="1" applyAlignment="1">
      <alignment vertical="top"/>
    </xf>
    <xf numFmtId="20" fontId="0" fillId="0" borderId="1" xfId="0" applyNumberFormat="1" applyBorder="1" applyAlignment="1">
      <alignment vertical="top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left"/>
    </xf>
    <xf numFmtId="0" fontId="0" fillId="7" borderId="4" xfId="0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166" fontId="0" fillId="6" borderId="4" xfId="0" applyNumberFormat="1" applyFill="1" applyBorder="1" applyAlignment="1">
      <alignment horizontal="left" vertical="center" indent="1"/>
    </xf>
    <xf numFmtId="166" fontId="0" fillId="6" borderId="4" xfId="0" applyNumberFormat="1" applyFill="1" applyBorder="1" applyAlignment="1">
      <alignment horizontal="center" vertical="center" indent="1"/>
    </xf>
    <xf numFmtId="166" fontId="0" fillId="7" borderId="4" xfId="0" applyNumberFormat="1" applyFill="1" applyBorder="1" applyAlignment="1">
      <alignment horizontal="center" indent="1"/>
    </xf>
    <xf numFmtId="164" fontId="0" fillId="13" borderId="17" xfId="0" applyNumberFormat="1" applyFill="1" applyBorder="1" applyAlignment="1">
      <alignment horizontal="left"/>
    </xf>
    <xf numFmtId="0" fontId="0" fillId="13" borderId="4" xfId="0" applyFill="1" applyBorder="1" applyAlignment="1">
      <alignment horizontal="center"/>
    </xf>
    <xf numFmtId="3" fontId="0" fillId="13" borderId="4" xfId="0" applyNumberForma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14" fontId="8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5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h:mm;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numFmt numFmtId="165" formatCode="h:mm;@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numFmt numFmtId="165" formatCode="h:m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5" formatCode="h:m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rgb="FF7030A0"/>
        </top>
        <bottom/>
        <vertical/>
      </border>
    </dxf>
    <dxf>
      <numFmt numFmtId="165" formatCode="h:mm;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7030A0"/>
        </top>
        <bottom/>
        <vertical/>
        <horizontal/>
      </border>
    </dxf>
    <dxf>
      <numFmt numFmtId="165" formatCode="h:mm;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7030A0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7030A0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numFmt numFmtId="164" formatCode="[$-416]d\-mmm;@"/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7030A0"/>
        </top>
        <bottom/>
      </border>
    </dxf>
    <dxf>
      <border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h:mm;@"/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16]d\-mmm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</dxfs>
  <tableStyles count="2" defaultTableStyle="TableStyleMedium2" defaultPivotStyle="PivotStyleLight16">
    <tableStyle name="Estilo de Tabela 1" pivot="0" count="0" xr9:uid="{6F761675-0AB4-40B3-B813-858AC54E1684}"/>
    <tableStyle name="Estilo de Tabela 2" pivot="0" count="1" xr9:uid="{C3E5C084-ED4D-403D-BED4-13ED0877C4B4}">
      <tableStyleElement type="wholeTable" dxfId="51"/>
    </tableStyle>
  </tableStyles>
  <colors>
    <mruColors>
      <color rgb="FFD2323C"/>
      <color rgb="FF592C7F"/>
      <color rgb="FF0082CD"/>
      <color rgb="FFE17980"/>
      <color rgb="FFFFCC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74706</xdr:colOff>
      <xdr:row>2</xdr:row>
      <xdr:rowOff>374</xdr:rowOff>
    </xdr:from>
    <xdr:to>
      <xdr:col>11</xdr:col>
      <xdr:colOff>479424</xdr:colOff>
      <xdr:row>7</xdr:row>
      <xdr:rowOff>30069</xdr:rowOff>
    </xdr:to>
    <xdr:sp macro="" textlink="">
      <xdr:nvSpPr>
        <xdr:cNvPr id="954" name="Retângulo 5">
          <a:extLst>
            <a:ext uri="{FF2B5EF4-FFF2-40B4-BE49-F238E27FC236}">
              <a16:creationId xmlns:a16="http://schemas.microsoft.com/office/drawing/2014/main" id="{3EF49312-EB89-49DF-801C-525CC3FADF30}"/>
            </a:ext>
          </a:extLst>
        </xdr:cNvPr>
        <xdr:cNvSpPr/>
      </xdr:nvSpPr>
      <xdr:spPr>
        <a:xfrm>
          <a:off x="265206" y="140074"/>
          <a:ext cx="884144" cy="115364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1456765</xdr:colOff>
      <xdr:row>1</xdr:row>
      <xdr:rowOff>0</xdr:rowOff>
    </xdr:from>
    <xdr:to>
      <xdr:col>13</xdr:col>
      <xdr:colOff>1464235</xdr:colOff>
      <xdr:row>7</xdr:row>
      <xdr:rowOff>37353</xdr:rowOff>
    </xdr:to>
    <xdr:cxnSp macro="">
      <xdr:nvCxnSpPr>
        <xdr:cNvPr id="80" name="Conector reto 79">
          <a:extLst>
            <a:ext uri="{FF2B5EF4-FFF2-40B4-BE49-F238E27FC236}">
              <a16:creationId xmlns:a16="http://schemas.microsoft.com/office/drawing/2014/main" id="{01295AA0-AD6F-EA55-6142-EA7822071BEB}"/>
            </a:ext>
          </a:extLst>
        </xdr:cNvPr>
        <xdr:cNvCxnSpPr/>
      </xdr:nvCxnSpPr>
      <xdr:spPr>
        <a:xfrm flipH="1">
          <a:off x="8389471" y="59765"/>
          <a:ext cx="7470" cy="1322294"/>
        </a:xfrm>
        <a:prstGeom prst="line">
          <a:avLst/>
        </a:prstGeom>
        <a:solidFill>
          <a:schemeClr val="bg1">
            <a:lumMod val="85000"/>
          </a:schemeClr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10</xdr:col>
      <xdr:colOff>101600</xdr:colOff>
      <xdr:row>2</xdr:row>
      <xdr:rowOff>95250</xdr:rowOff>
    </xdr:from>
    <xdr:to>
      <xdr:col>21</xdr:col>
      <xdr:colOff>63500</xdr:colOff>
      <xdr:row>7</xdr:row>
      <xdr:rowOff>44450</xdr:rowOff>
    </xdr:to>
    <xdr:grpSp>
      <xdr:nvGrpSpPr>
        <xdr:cNvPr id="19" name="Agrupar 4">
          <a:extLst>
            <a:ext uri="{FF2B5EF4-FFF2-40B4-BE49-F238E27FC236}">
              <a16:creationId xmlns:a16="http://schemas.microsoft.com/office/drawing/2014/main" id="{3BC27BAA-547E-AEEF-655C-782F436BB57F}"/>
            </a:ext>
            <a:ext uri="{147F2762-F138-4A5C-976F-8EAC2B608ADB}">
              <a16:predDERef xmlns:a16="http://schemas.microsoft.com/office/drawing/2014/main" pred="{01295AA0-AD6F-EA55-6142-EA7822071BEB}"/>
            </a:ext>
          </a:extLst>
        </xdr:cNvPr>
        <xdr:cNvGrpSpPr/>
      </xdr:nvGrpSpPr>
      <xdr:grpSpPr>
        <a:xfrm>
          <a:off x="187325" y="228600"/>
          <a:ext cx="9039225" cy="1025525"/>
          <a:chOff x="235928" y="212165"/>
          <a:chExt cx="9156380" cy="1185169"/>
        </a:xfrm>
      </xdr:grpSpPr>
      <xdr:sp macro="" textlink="$G$7">
        <xdr:nvSpPr>
          <xdr:cNvPr id="20" name="Retângulo 92">
            <a:extLst>
              <a:ext uri="{FF2B5EF4-FFF2-40B4-BE49-F238E27FC236}">
                <a16:creationId xmlns:a16="http://schemas.microsoft.com/office/drawing/2014/main" id="{51748670-6CCD-4670-0F30-269DFECF63E0}"/>
              </a:ext>
            </a:extLst>
          </xdr:cNvPr>
          <xdr:cNvSpPr/>
        </xdr:nvSpPr>
        <xdr:spPr>
          <a:xfrm>
            <a:off x="7943015" y="213711"/>
            <a:ext cx="1449293" cy="3343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78D48A-F84C-40F0-A138-48EB15302C1F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</a:t>
            </a:fld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21" name="CaixaDeTexto 2">
            <a:extLst>
              <a:ext uri="{FF2B5EF4-FFF2-40B4-BE49-F238E27FC236}">
                <a16:creationId xmlns:a16="http://schemas.microsoft.com/office/drawing/2014/main" id="{91DFC62D-770F-039C-EB1E-78F3C3C0F342}"/>
              </a:ext>
            </a:extLst>
          </xdr:cNvPr>
          <xdr:cNvSpPr txBox="1"/>
        </xdr:nvSpPr>
        <xdr:spPr>
          <a:xfrm>
            <a:off x="1681127" y="212165"/>
            <a:ext cx="1625467" cy="269315"/>
          </a:xfrm>
          <a:prstGeom prst="rect">
            <a:avLst/>
          </a:prstGeom>
          <a:solidFill>
            <a:srgbClr val="D2323C"/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PAINEL CIF </a:t>
            </a:r>
            <a:endParaRPr lang="pt-BR" sz="1100" b="1">
              <a:solidFill>
                <a:schemeClr val="bg1"/>
              </a:solidFill>
            </a:endParaRPr>
          </a:p>
        </xdr:txBody>
      </xdr:sp>
      <xdr:pic>
        <xdr:nvPicPr>
          <xdr:cNvPr id="22" name="Imagem 3">
            <a:extLst>
              <a:ext uri="{FF2B5EF4-FFF2-40B4-BE49-F238E27FC236}">
                <a16:creationId xmlns:a16="http://schemas.microsoft.com/office/drawing/2014/main" id="{40627EDD-3F1B-8B89-3A9D-A57C91973A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5928" y="239022"/>
            <a:ext cx="1091570" cy="946607"/>
          </a:xfrm>
          <a:prstGeom prst="rect">
            <a:avLst/>
          </a:prstGeom>
        </xdr:spPr>
      </xdr:pic>
      <xdr:sp macro="" textlink="$G$5">
        <xdr:nvSpPr>
          <xdr:cNvPr id="23" name="Retângulo: Cantos Arredondados 56">
            <a:extLst>
              <a:ext uri="{FF2B5EF4-FFF2-40B4-BE49-F238E27FC236}">
                <a16:creationId xmlns:a16="http://schemas.microsoft.com/office/drawing/2014/main" id="{AEC8CBE2-7D90-E4CF-5DE4-A34A9AB323AD}"/>
              </a:ext>
            </a:extLst>
          </xdr:cNvPr>
          <xdr:cNvSpPr/>
        </xdr:nvSpPr>
        <xdr:spPr>
          <a:xfrm>
            <a:off x="8441070" y="858828"/>
            <a:ext cx="744447" cy="538506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4E307ED-C6BF-4FDF-A7F4-0B4DC67FEAB4}" type="TxLink">
              <a:rPr lang="en-US" sz="2400" b="1" i="0" u="none" strike="noStrike">
                <a:solidFill>
                  <a:schemeClr val="accent4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</a:t>
            </a:fld>
            <a:endParaRPr lang="pt-BR" sz="2400" b="1" i="0" u="none" strike="noStrike">
              <a:solidFill>
                <a:schemeClr val="accent4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F$4">
        <xdr:nvSpPr>
          <xdr:cNvPr id="24" name="Retângulo: Cantos Arredondados 62">
            <a:extLst>
              <a:ext uri="{FF2B5EF4-FFF2-40B4-BE49-F238E27FC236}">
                <a16:creationId xmlns:a16="http://schemas.microsoft.com/office/drawing/2014/main" id="{915C586B-2A6A-3808-E7AA-F6C37A742696}"/>
              </a:ext>
            </a:extLst>
          </xdr:cNvPr>
          <xdr:cNvSpPr/>
        </xdr:nvSpPr>
        <xdr:spPr>
          <a:xfrm>
            <a:off x="4127764" y="858081"/>
            <a:ext cx="785175" cy="539253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9E0C47B-9AC8-4390-B83A-4AE63CD217A6}" type="TxLink">
              <a:rPr lang="en-US" sz="24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</a:t>
            </a:fld>
            <a:endParaRPr lang="pt-BR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F$5">
        <xdr:nvSpPr>
          <xdr:cNvPr id="25" name="Retângulo: Cantos Arredondados 63">
            <a:extLst>
              <a:ext uri="{FF2B5EF4-FFF2-40B4-BE49-F238E27FC236}">
                <a16:creationId xmlns:a16="http://schemas.microsoft.com/office/drawing/2014/main" id="{1886D105-1DE6-A5C6-0D2F-1D4155456E94}"/>
              </a:ext>
            </a:extLst>
          </xdr:cNvPr>
          <xdr:cNvSpPr/>
        </xdr:nvSpPr>
        <xdr:spPr>
          <a:xfrm>
            <a:off x="5020365" y="858081"/>
            <a:ext cx="744447" cy="539253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9DDBA11-25F5-4B0F-AA8C-A4923C05A52B}" type="TxLink">
              <a:rPr lang="en-US" sz="24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</a:t>
            </a:fld>
            <a:endParaRPr lang="pt-BR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B$5">
        <xdr:nvSpPr>
          <xdr:cNvPr id="26" name="Retângulo: Cantos Arredondados 72">
            <a:extLst>
              <a:ext uri="{FF2B5EF4-FFF2-40B4-BE49-F238E27FC236}">
                <a16:creationId xmlns:a16="http://schemas.microsoft.com/office/drawing/2014/main" id="{DD91324E-E8DD-E765-3EFA-B49514022446}"/>
              </a:ext>
            </a:extLst>
          </xdr:cNvPr>
          <xdr:cNvSpPr/>
        </xdr:nvSpPr>
        <xdr:spPr>
          <a:xfrm>
            <a:off x="2570353" y="858081"/>
            <a:ext cx="747073" cy="539253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E48AF9E-435E-456B-B041-E5548AA0656E}" type="TxLink">
              <a:rPr lang="en-US" sz="24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</a:t>
            </a:fld>
            <a:endParaRPr lang="pt-BR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G$6">
        <xdr:nvSpPr>
          <xdr:cNvPr id="27" name="Retângulo: Cantos Arredondados 86">
            <a:extLst>
              <a:ext uri="{FF2B5EF4-FFF2-40B4-BE49-F238E27FC236}">
                <a16:creationId xmlns:a16="http://schemas.microsoft.com/office/drawing/2014/main" id="{83CA5CF2-2C99-4828-A8CA-F31D11039B7E}"/>
              </a:ext>
            </a:extLst>
          </xdr:cNvPr>
          <xdr:cNvSpPr/>
        </xdr:nvSpPr>
        <xdr:spPr>
          <a:xfrm>
            <a:off x="6812808" y="858828"/>
            <a:ext cx="741822" cy="538506"/>
          </a:xfrm>
          <a:prstGeom prst="roundRect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F78F811-0859-4EAF-9026-F949E705B976}" type="TxLink">
              <a:rPr lang="en-US" sz="2400" b="1" i="0" u="none" strike="noStrike">
                <a:solidFill>
                  <a:schemeClr val="accent6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</a:t>
            </a:fld>
            <a:endParaRPr lang="en-US" sz="4800" b="1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B$4">
        <xdr:nvSpPr>
          <xdr:cNvPr id="28" name="Retângulo: Cantos Arredondados 88">
            <a:extLst>
              <a:ext uri="{FF2B5EF4-FFF2-40B4-BE49-F238E27FC236}">
                <a16:creationId xmlns:a16="http://schemas.microsoft.com/office/drawing/2014/main" id="{8975B7B6-232E-49EF-9470-329CA8045DDC}"/>
              </a:ext>
            </a:extLst>
          </xdr:cNvPr>
          <xdr:cNvSpPr/>
        </xdr:nvSpPr>
        <xdr:spPr>
          <a:xfrm>
            <a:off x="1670120" y="858081"/>
            <a:ext cx="744449" cy="539253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5394E1B-8F3A-4402-8868-94C5C92C5C2D}" type="TxLink">
              <a:rPr lang="en-US" sz="24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</a:t>
            </a:fld>
            <a:endParaRPr lang="pt-BR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9" name="CaixaDeTexto 93">
            <a:extLst>
              <a:ext uri="{FF2B5EF4-FFF2-40B4-BE49-F238E27FC236}">
                <a16:creationId xmlns:a16="http://schemas.microsoft.com/office/drawing/2014/main" id="{0A007617-DA2D-4EB2-8A43-A698852B5E4A}"/>
              </a:ext>
            </a:extLst>
          </xdr:cNvPr>
          <xdr:cNvSpPr txBox="1"/>
        </xdr:nvSpPr>
        <xdr:spPr>
          <a:xfrm>
            <a:off x="2599039" y="606181"/>
            <a:ext cx="720305" cy="174626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FILA</a:t>
            </a:r>
          </a:p>
        </xdr:txBody>
      </xdr:sp>
      <xdr:sp macro="" textlink="">
        <xdr:nvSpPr>
          <xdr:cNvPr id="30" name="CaixaDeTexto 95">
            <a:extLst>
              <a:ext uri="{FF2B5EF4-FFF2-40B4-BE49-F238E27FC236}">
                <a16:creationId xmlns:a16="http://schemas.microsoft.com/office/drawing/2014/main" id="{A87141AC-87CB-4369-9726-C73E2848458C}"/>
              </a:ext>
            </a:extLst>
          </xdr:cNvPr>
          <xdr:cNvSpPr txBox="1"/>
        </xdr:nvSpPr>
        <xdr:spPr>
          <a:xfrm>
            <a:off x="1668378" y="606457"/>
            <a:ext cx="719151" cy="17407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BASE</a:t>
            </a:r>
          </a:p>
        </xdr:txBody>
      </xdr:sp>
      <xdr:sp macro="" textlink="">
        <xdr:nvSpPr>
          <xdr:cNvPr id="31" name="CaixaDeTexto 96">
            <a:extLst>
              <a:ext uri="{FF2B5EF4-FFF2-40B4-BE49-F238E27FC236}">
                <a16:creationId xmlns:a16="http://schemas.microsoft.com/office/drawing/2014/main" id="{2555B3AD-0EAA-45D7-8ED4-99B70890FDEA}"/>
              </a:ext>
            </a:extLst>
          </xdr:cNvPr>
          <xdr:cNvSpPr txBox="1"/>
        </xdr:nvSpPr>
        <xdr:spPr>
          <a:xfrm>
            <a:off x="5041552" y="606181"/>
            <a:ext cx="720305" cy="174626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FILA</a:t>
            </a:r>
          </a:p>
        </xdr:txBody>
      </xdr:sp>
      <xdr:sp macro="" textlink="">
        <xdr:nvSpPr>
          <xdr:cNvPr id="32" name="CaixaDeTexto 97">
            <a:extLst>
              <a:ext uri="{FF2B5EF4-FFF2-40B4-BE49-F238E27FC236}">
                <a16:creationId xmlns:a16="http://schemas.microsoft.com/office/drawing/2014/main" id="{3C35BB69-1BF4-44AF-A0C7-6E2E164D84E8}"/>
              </a:ext>
            </a:extLst>
          </xdr:cNvPr>
          <xdr:cNvSpPr txBox="1"/>
        </xdr:nvSpPr>
        <xdr:spPr>
          <a:xfrm>
            <a:off x="4149138" y="606457"/>
            <a:ext cx="806060" cy="163152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BASE</a:t>
            </a:r>
          </a:p>
        </xdr:txBody>
      </xdr:sp>
      <xdr:sp macro="" textlink="">
        <xdr:nvSpPr>
          <xdr:cNvPr id="33" name="CaixaDeTexto 98">
            <a:extLst>
              <a:ext uri="{FF2B5EF4-FFF2-40B4-BE49-F238E27FC236}">
                <a16:creationId xmlns:a16="http://schemas.microsoft.com/office/drawing/2014/main" id="{A4E62B8B-1DB4-4178-9955-ECF59545CF95}"/>
              </a:ext>
            </a:extLst>
          </xdr:cNvPr>
          <xdr:cNvSpPr txBox="1"/>
        </xdr:nvSpPr>
        <xdr:spPr>
          <a:xfrm>
            <a:off x="6614467" y="613331"/>
            <a:ext cx="1329410" cy="16032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FINALIZADOS</a:t>
            </a:r>
          </a:p>
        </xdr:txBody>
      </xdr:sp>
      <xdr:sp macro="" textlink="">
        <xdr:nvSpPr>
          <xdr:cNvPr id="34" name="CaixaDeTexto 99">
            <a:extLst>
              <a:ext uri="{FF2B5EF4-FFF2-40B4-BE49-F238E27FC236}">
                <a16:creationId xmlns:a16="http://schemas.microsoft.com/office/drawing/2014/main" id="{2AC1CE3F-6C9E-4830-AB1D-2B20F067DBB2}"/>
              </a:ext>
            </a:extLst>
          </xdr:cNvPr>
          <xdr:cNvSpPr txBox="1"/>
        </xdr:nvSpPr>
        <xdr:spPr>
          <a:xfrm>
            <a:off x="8372881" y="611613"/>
            <a:ext cx="860480" cy="176816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rPr>
              <a:t>PÁTIO</a:t>
            </a:r>
            <a:endParaRPr lang="pt-BR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35" name="CaixaDeTexto 101">
            <a:extLst>
              <a:ext uri="{FF2B5EF4-FFF2-40B4-BE49-F238E27FC236}">
                <a16:creationId xmlns:a16="http://schemas.microsoft.com/office/drawing/2014/main" id="{E9BA01C6-339E-2DB9-89AF-8125818F1610}"/>
              </a:ext>
            </a:extLst>
          </xdr:cNvPr>
          <xdr:cNvSpPr txBox="1"/>
        </xdr:nvSpPr>
        <xdr:spPr>
          <a:xfrm>
            <a:off x="4155513" y="212165"/>
            <a:ext cx="1625467" cy="269315"/>
          </a:xfrm>
          <a:prstGeom prst="rect">
            <a:avLst/>
          </a:prstGeom>
          <a:solidFill>
            <a:srgbClr val="D2323C"/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PAINEL FOB 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94AC3C89-C6EB-45F8-BA09-F470D07B763B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ADSON MONTEIRO MORAIS" id="{390A79A7-D23E-4890-AE16-9DFD62950302}" userId="S::nadson.morais@gde-br.com::433ede9e-0143-4a9b-b7b9-391cd39699e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913459-8BE9-4530-8931-59B418CAF073}" name="Tabela24" displayName="Tabela24" ref="B2:G14" totalsRowCount="1" headerRowDxfId="50" dataDxfId="49">
  <autoFilter ref="B2:G13" xr:uid="{D0913459-8BE9-4530-8931-59B418CAF073}"/>
  <sortState xmlns:xlrd2="http://schemas.microsoft.com/office/spreadsheetml/2017/richdata2" ref="B3:F13">
    <sortCondition ref="D1:D7"/>
  </sortState>
  <tableColumns count="6">
    <tableColumn id="6" xr3:uid="{243C5B62-03D9-4275-8532-BD10A1DA2F32}" name="Data" totalsRowLabel="Total" dataDxfId="47" totalsRowDxfId="48"/>
    <tableColumn id="1" xr3:uid="{1E6F86EB-8426-48BB-BBBC-65C6B5A1494D}" name="PLACA" dataDxfId="45" totalsRowDxfId="46"/>
    <tableColumn id="2" xr3:uid="{E97C7DD8-07B4-40D0-A79E-499D1E452CEF}" name="VOLUME" dataDxfId="43" totalsRowDxfId="44"/>
    <tableColumn id="3" xr3:uid="{D1084234-A8F2-4D3C-BE6A-60A6B80FE9A6}" name="VIAGENS" dataDxfId="41" totalsRowDxfId="42"/>
    <tableColumn id="4" xr3:uid="{D1F17CC2-5D96-444E-AFF0-BC1D45F7A3C3}" name="TOTAL" totalsRowFunction="custom" dataDxfId="39" totalsRowDxfId="40">
      <calculatedColumnFormula>IFERROR(Tabela24[[#This Row],[VOLUME]]*Tabela24[[#This Row],[VIAGENS]],"")</calculatedColumnFormula>
      <totalsRowFormula>SUM(Tabela24[TOTAL])</totalsRowFormula>
    </tableColumn>
    <tableColumn id="5" xr3:uid="{78E308B8-F237-49AB-9039-E1E2ECC1E01C}" name="OBSERVAÇÕES" dataDxfId="37" totalsRow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A6569-A6BA-49CC-AAB9-56CC05F59229}" name="Tabela5" displayName="Tabela5" ref="I27:N30" totalsRowShown="0" headerRowDxfId="36">
  <autoFilter ref="I27:N30" xr:uid="{AE3A6569-A6BA-49CC-AAB9-56CC05F59229}"/>
  <tableColumns count="6">
    <tableColumn id="1" xr3:uid="{8C752445-727B-48A4-903E-FB216162FAB0}" name="Data"/>
    <tableColumn id="2" xr3:uid="{1B3CEACF-35DA-4559-8E3F-76DF6C249BAE}" name="PLACA"/>
    <tableColumn id="3" xr3:uid="{CDD16A2C-1D93-4034-9248-D1506882B8C7}" name="VOLUME"/>
    <tableColumn id="4" xr3:uid="{56690949-5483-497C-A6C9-3C757116FD83}" name="VIAGENS"/>
    <tableColumn id="5" xr3:uid="{15471FCB-EC89-4FCB-BF5C-2D836F3265F8}" name="TOTAL"/>
    <tableColumn id="6" xr3:uid="{794465A8-540D-404A-BA5F-FA3D5131B655}" name="OBSERVAÇÕE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BE9F6C-7EB4-41E9-B5C5-FF3EBC213F5E}" name="Tabela59" displayName="Tabela59" ref="I39:N42" totalsRowShown="0" headerRowDxfId="35">
  <autoFilter ref="I39:N42" xr:uid="{35BE9F6C-7EB4-41E9-B5C5-FF3EBC213F5E}"/>
  <tableColumns count="6">
    <tableColumn id="1" xr3:uid="{A3424B31-2203-4262-8B6D-B1C492FB15A6}" name="Data"/>
    <tableColumn id="2" xr3:uid="{5CE825D7-5D33-405C-80FF-5B56A8D74783}" name="PLACA"/>
    <tableColumn id="3" xr3:uid="{EBD6C425-18FD-4991-A1D7-0A0C038ECAB9}" name="VOLUME"/>
    <tableColumn id="4" xr3:uid="{417C74D7-CA8C-4DF5-A86E-F361C948E579}" name="VIAGENS"/>
    <tableColumn id="5" xr3:uid="{61767898-E267-40BE-9659-BC059A1F93DC}" name="TOTAL">
      <calculatedColumnFormula>IFERROR(K40*L40,"")</calculatedColumnFormula>
    </tableColumn>
    <tableColumn id="6" xr3:uid="{2F4886BB-5C89-4BE9-B8AE-4D685A21FC17}" name="OBSERVAÇÕES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5C4AE0-1E08-4641-8D67-00F5C6DCC419}" name="Tabela597" displayName="Tabela597" ref="I53:N55" totalsRowShown="0" headerRowDxfId="34">
  <autoFilter ref="I53:N55" xr:uid="{D85C4AE0-1E08-4641-8D67-00F5C6DCC419}"/>
  <tableColumns count="6">
    <tableColumn id="1" xr3:uid="{DE9B70A6-AF19-4B2D-9F91-7B1B502DE3D9}" name="Data"/>
    <tableColumn id="2" xr3:uid="{3DAC9B3F-6E62-471A-BCDF-48FB50B3790F}" name="PLACA"/>
    <tableColumn id="3" xr3:uid="{607BB916-C34B-469D-82B5-800D27757C18}" name="VOLUME"/>
    <tableColumn id="4" xr3:uid="{C8BDA263-D57F-4151-81FE-CE1F04237F6E}" name="VIAGENS"/>
    <tableColumn id="5" xr3:uid="{D0222724-F33B-4DF3-9B37-B8418BF77C53}" name="TOTAL">
      <calculatedColumnFormula>IFERROR(K54*L54,"")</calculatedColumnFormula>
    </tableColumn>
    <tableColumn id="6" xr3:uid="{A5089734-AF1A-4AC8-B2A8-C97C7D2FE50C}" name="OBSERVAÇÕES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E053CE-E92A-4F7D-B3A2-6295C53204CE}" name="Tabela4" displayName="Tabela4" ref="B1:F17" totalsRowShown="0" headerRowDxfId="32">
  <autoFilter ref="B1:F17" xr:uid="{6AE053CE-E92A-4F7D-B3A2-6295C53204CE}"/>
  <tableColumns count="5">
    <tableColumn id="1" xr3:uid="{E93E6C28-ABA9-41A1-8497-63514F638992}" name="Adriano Paz " dataDxfId="31"/>
    <tableColumn id="2" xr3:uid="{32AE514C-9D94-4AA2-8E0A-E4D334CF3D70}" name="PLACA"/>
    <tableColumn id="3" xr3:uid="{B1917B51-DC1E-4B78-8515-ED7AC25EF714}" name="CAPACIDADE"/>
    <tableColumn id="4" xr3:uid="{DBCBEAE3-C0B2-44B1-B3BF-2FAA6C0B98F2}" name="VIAGEM">
      <calculatedColumnFormula>_xlfn.XLOOKUP(B2,'Controle de CT'!B:B,'Controle de CT'!O:O,"")</calculatedColumnFormula>
    </tableColumn>
    <tableColumn id="5" xr3:uid="{58D5FBA4-4C16-4C0F-B43A-EBC764257BCA}" name="TOT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605EE-A052-46AA-9019-607AC2A8D320}" name="Tabela1" displayName="Tabela1" ref="K8:X2176" totalsRowShown="0" headerRowDxfId="17" dataDxfId="16" tableBorderDxfId="15">
  <autoFilter ref="K8:X2176" xr:uid="{2FE605EE-A052-46AA-9019-607AC2A8D320}">
    <filterColumn colId="0">
      <filters>
        <dateGroupItem year="2026" month="3" day="16" dateTimeGrouping="day"/>
      </filters>
    </filterColumn>
    <filterColumn colId="2">
      <filters>
        <filter val="CIF"/>
      </filters>
    </filterColumn>
    <filterColumn colId="3">
      <filters blank="1">
        <filter val="Aguardando Entrada"/>
        <filter val="Fila de Carregamento"/>
      </filters>
    </filterColumn>
  </autoFilter>
  <sortState xmlns:xlrd2="http://schemas.microsoft.com/office/spreadsheetml/2017/richdata2" ref="K9:X2073">
    <sortCondition ref="P9:P2073"/>
  </sortState>
  <tableColumns count="14">
    <tableColumn id="1" xr3:uid="{907D27AE-8B84-4D7E-AF21-C69ABDE9560A}" name="Data" dataDxfId="14"/>
    <tableColumn id="3" xr3:uid="{86EF6783-741F-437F-847C-07EED408F8A5}" name="Motorista" dataDxfId="13"/>
    <tableColumn id="5" xr3:uid="{A8F7CA1A-5443-4B1E-9BF5-089B4AE87E14}" name="Tipo de Frete" dataDxfId="12">
      <calculatedColumnFormula>IF(Tabela1[[#This Row],[Motorista]]="","",IFERROR(_xlfn.XLOOKUP(Tabela1[[#This Row],[Motorista]],Base!A:A,Base!B:B),""))</calculatedColumnFormula>
    </tableColumn>
    <tableColumn id="2" xr3:uid="{C361A44C-0744-4EA5-B810-02B5952AF9D0}" name="Status" dataDxfId="11">
      <calculatedColumnFormula>IF(R9&lt;&gt;"","Finalizado", IF(Q9&lt;&gt;"","Fila de Carregamento", IF(P9&lt;&gt;"","Aguardando Entrada","")))</calculatedColumnFormula>
    </tableColumn>
    <tableColumn id="4" xr3:uid="{F8EE92D8-A9D0-4515-B881-F962E2DF202E}" name="Viagens" dataDxfId="10">
      <calculatedColumnFormula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calculatedColumnFormula>
    </tableColumn>
    <tableColumn id="7" xr3:uid="{F49D03BC-2643-4B11-8EA8-1DFB2B2DD2D7}" name="Chegada" dataDxfId="9"/>
    <tableColumn id="15" xr3:uid="{FE002D4E-A74D-41CC-A296-D6F66DB42CDF}" name="Entrada" dataDxfId="8"/>
    <tableColumn id="9" xr3:uid="{2B3A710F-7593-4EEB-921A-905CA2532BE1}" name="Saída" dataDxfId="7"/>
    <tableColumn id="6" xr3:uid="{587169E1-D374-4B49-9BF2-158A68A540D6}" name="Nota Fiscal" dataDxfId="6"/>
    <tableColumn id="11" xr3:uid="{BFEB8192-F310-4555-B360-05D069F6CC55}" name="Tempo de Carregamento" dataDxfId="5">
      <calculatedColumnFormula>IF(OR(Tabela1[[#This Row],[Entrada]]="",Tabela1[[#This Row],[Saída]]=""), "", Tabela1[[#This Row],[Saída]]-Tabela1[[#This Row],[Entrada]])</calculatedColumnFormula>
    </tableColumn>
    <tableColumn id="12" xr3:uid="{23FE01CA-541A-44C1-96D0-4BF171059A88}" name="Tempo Total " dataDxfId="4">
      <calculatedColumnFormula>IF(OR('Controle de CT'!$R9= "", 'Controle de CT'!$P9= ""), "", 'Controle de CT'!$R9-'Controle de CT'!$P9)</calculatedColumnFormula>
    </tableColumn>
    <tableColumn id="8" xr3:uid="{D8E714BD-1C2F-44C5-B44C-EF69FB8F380F}" name="Observação" dataDxfId="3"/>
    <tableColumn id="10" xr3:uid="{71FB4D0E-A072-4AC8-A4C8-01A790BB3A13}" name="Coluna1" dataDxfId="2"/>
    <tableColumn id="13" xr3:uid="{AD0D38F7-9D92-46D5-B2F4-0E0BA7894EBA}" name="Coluna2" dataDxfId="1"/>
  </tableColumns>
  <tableStyleInfo name="Estilo de Tabela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B72AD-BB95-4256-AC79-B2DA025E8BF9}" name="Tabela2" displayName="Tabela2" ref="A1:E154" totalsRowShown="0" headerRowDxfId="0">
  <autoFilter ref="A1:E154" xr:uid="{025B72AD-BB95-4256-AC79-B2DA025E8BF9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140">
    <sortCondition ref="A1:A140"/>
  </sortState>
  <tableColumns count="5">
    <tableColumn id="1" xr3:uid="{ABFF7B06-DCCD-4EAA-AD17-9E568B046277}" name="Motorista"/>
    <tableColumn id="2" xr3:uid="{BA4F2122-FC27-4741-B16F-5FF302551079}" name="Tipo de Frete"/>
    <tableColumn id="5" xr3:uid="{22A462F6-A851-44AC-A835-7A0D7952F1DF}" name="Frete"/>
    <tableColumn id="7" xr3:uid="{8E605258-00A0-46FE-9556-24928309DCF1}" name="Nota Fiscal"/>
    <tableColumn id="3" xr3:uid="{F3DBA97A-D7E3-441B-9A96-E9C8AC17844B}" name="Observação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835" dT="2026-05-06T18:00:49.22" personId="{390A79A7-D23E-4890-AE16-9DFD62950302}" id="{73D0DFDF-9097-4282-AE84-60466938749C}">
    <text>aguardando liberar o pedido, vai carregar 5k de s-500 na ipp (já está com a ordem)</text>
  </threadedComment>
  <threadedComment ref="V1850" dT="2026-05-07T12:12:07.90" personId="{390A79A7-D23E-4890-AE16-9DFD62950302}" id="{BE7F915A-3D7F-46AC-8C16-EE432FAB0901}">
    <text>foi feito uma nova ordem de carregamento, direcionando para IPP</text>
  </threadedComment>
  <threadedComment ref="V1851" dT="2026-05-07T12:12:07.90" personId="{390A79A7-D23E-4890-AE16-9DFD62950302}" id="{32CA5DCA-4F03-4226-A10D-E7552DDF7775}">
    <text>foi feito uma nova ordem de carregamento, direcionando para IPP</text>
  </threadedComment>
  <threadedComment ref="V1852" dT="2026-05-07T12:12:07.90" personId="{390A79A7-D23E-4890-AE16-9DFD62950302}" id="{0E4C7CD5-C0F8-4667-9CDE-0EAA6060E6D6}">
    <text>foi feito uma nova ordem de carregamento, direcionando para IPP</text>
  </threadedComment>
  <threadedComment ref="V1853" dT="2026-05-07T12:12:07.90" personId="{390A79A7-D23E-4890-AE16-9DFD62950302}" id="{AB7F153F-BEA1-4C06-A221-5823F7E0FB5D}">
    <text>foi feito uma nova ordem de carregamento, direcionando para IPP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C4A-8D92-414E-8BE5-72187D6973DF}">
  <dimension ref="A1"/>
  <sheetViews>
    <sheetView workbookViewId="0">
      <selection activeCell="D15" sqref="D15"/>
    </sheetView>
  </sheetViews>
  <sheetFormatPr defaultRowHeight="14.45"/>
  <cols>
    <col min="1" max="1" width="13.7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9A4E-A420-4588-BC04-990823DCBA82}">
  <dimension ref="B1:O103"/>
  <sheetViews>
    <sheetView topLeftCell="A79" zoomScale="145" zoomScaleNormal="145" workbookViewId="0">
      <selection activeCell="J103" sqref="J103"/>
    </sheetView>
  </sheetViews>
  <sheetFormatPr defaultRowHeight="14.45"/>
  <cols>
    <col min="1" max="1" width="1.7109375" customWidth="1"/>
    <col min="2" max="2" width="10.5703125" customWidth="1"/>
    <col min="3" max="3" width="14.140625" style="24" customWidth="1"/>
    <col min="4" max="4" width="13.85546875" style="24" customWidth="1"/>
    <col min="5" max="5" width="8.7109375" customWidth="1"/>
    <col min="6" max="6" width="10.85546875" bestFit="1" customWidth="1"/>
    <col min="7" max="7" width="37.85546875" customWidth="1"/>
    <col min="8" max="8" width="3.85546875" customWidth="1"/>
    <col min="9" max="9" width="9.42578125" bestFit="1" customWidth="1"/>
    <col min="10" max="10" width="10.7109375" bestFit="1" customWidth="1"/>
    <col min="11" max="12" width="12.7109375" bestFit="1" customWidth="1"/>
    <col min="14" max="14" width="17.5703125" bestFit="1" customWidth="1"/>
  </cols>
  <sheetData>
    <row r="1" spans="2:14" ht="6" customHeight="1"/>
    <row r="2" spans="2:14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14">
      <c r="B3" s="29">
        <v>46076</v>
      </c>
      <c r="C3" s="24" t="s">
        <v>6</v>
      </c>
      <c r="D3" s="28">
        <v>20000</v>
      </c>
      <c r="E3" s="24" t="s">
        <v>7</v>
      </c>
      <c r="F3" s="28" t="str">
        <f>IFERROR(Tabela24[[#This Row],[VOLUME]]*Tabela24[[#This Row],[VIAGENS]],"")</f>
        <v/>
      </c>
      <c r="G3" s="24"/>
    </row>
    <row r="4" spans="2:14">
      <c r="B4" s="29">
        <v>46076</v>
      </c>
      <c r="C4" s="24" t="s">
        <v>8</v>
      </c>
      <c r="D4" s="28">
        <v>20000</v>
      </c>
      <c r="E4" s="24">
        <v>1</v>
      </c>
      <c r="F4" s="28">
        <f>IFERROR(Tabela24[[#This Row],[VOLUME]]*Tabela24[[#This Row],[VIAGENS]],"")</f>
        <v>20000</v>
      </c>
      <c r="G4" s="24" t="s">
        <v>9</v>
      </c>
    </row>
    <row r="5" spans="2:14">
      <c r="B5" s="29">
        <v>46076</v>
      </c>
      <c r="C5" s="24" t="s">
        <v>10</v>
      </c>
      <c r="D5" s="28">
        <v>20000</v>
      </c>
      <c r="E5" s="24">
        <v>3</v>
      </c>
      <c r="F5" s="28">
        <f>IFERROR(Tabela24[[#This Row],[VOLUME]]*Tabela24[[#This Row],[VIAGENS]],"")</f>
        <v>60000</v>
      </c>
      <c r="G5" s="24" t="s">
        <v>11</v>
      </c>
    </row>
    <row r="6" spans="2:14">
      <c r="B6" s="29">
        <v>46076</v>
      </c>
      <c r="C6" s="24" t="s">
        <v>12</v>
      </c>
      <c r="D6" s="28">
        <v>25000</v>
      </c>
      <c r="E6" s="24" t="s">
        <v>7</v>
      </c>
      <c r="F6" s="28" t="str">
        <f>IFERROR(Tabela24[[#This Row],[VOLUME]]*Tabela24[[#This Row],[VIAGENS]],"")</f>
        <v/>
      </c>
      <c r="G6" s="24"/>
    </row>
    <row r="7" spans="2:14">
      <c r="B7" s="29">
        <v>46076</v>
      </c>
      <c r="C7" s="24" t="s">
        <v>13</v>
      </c>
      <c r="D7" s="28">
        <v>25000</v>
      </c>
      <c r="E7" s="24">
        <v>2</v>
      </c>
      <c r="F7" s="28">
        <f>IFERROR(Tabela24[[#This Row],[VOLUME]]*Tabela24[[#This Row],[VIAGENS]],"")</f>
        <v>50000</v>
      </c>
      <c r="G7" s="24" t="s">
        <v>14</v>
      </c>
    </row>
    <row r="8" spans="2:14">
      <c r="B8" s="29">
        <v>46076</v>
      </c>
      <c r="C8" s="24" t="s">
        <v>15</v>
      </c>
      <c r="D8" s="28">
        <v>25000</v>
      </c>
      <c r="E8" s="24">
        <v>2</v>
      </c>
      <c r="F8" s="28">
        <f>IFERROR(Tabela24[[#This Row],[VOLUME]]*Tabela24[[#This Row],[VIAGENS]],"")</f>
        <v>50000</v>
      </c>
      <c r="G8" s="24"/>
    </row>
    <row r="9" spans="2:14">
      <c r="B9" s="29">
        <v>46076</v>
      </c>
      <c r="C9" s="24" t="s">
        <v>16</v>
      </c>
      <c r="D9" s="28">
        <v>25000</v>
      </c>
      <c r="E9" s="24">
        <v>2</v>
      </c>
      <c r="F9" s="28">
        <f>IFERROR(Tabela24[[#This Row],[VOLUME]]*Tabela24[[#This Row],[VIAGENS]],"")</f>
        <v>50000</v>
      </c>
      <c r="G9" s="24"/>
    </row>
    <row r="10" spans="2:14">
      <c r="B10" s="29">
        <v>46076</v>
      </c>
      <c r="C10" s="24" t="s">
        <v>17</v>
      </c>
      <c r="D10" s="28">
        <v>25000</v>
      </c>
      <c r="E10" s="24">
        <v>2</v>
      </c>
      <c r="F10" s="28">
        <f>IFERROR(Tabela24[[#This Row],[VOLUME]]*Tabela24[[#This Row],[VIAGENS]],"")</f>
        <v>50000</v>
      </c>
      <c r="G10" s="24"/>
    </row>
    <row r="11" spans="2:14">
      <c r="B11" s="29">
        <v>46076</v>
      </c>
      <c r="C11" s="24" t="s">
        <v>18</v>
      </c>
      <c r="D11" s="28">
        <v>30000</v>
      </c>
      <c r="E11" s="24" t="s">
        <v>7</v>
      </c>
      <c r="F11" s="28" t="str">
        <f>IFERROR(Tabela24[[#This Row],[VOLUME]]*Tabela24[[#This Row],[VIAGENS]],"")</f>
        <v/>
      </c>
      <c r="G11" s="24"/>
    </row>
    <row r="12" spans="2:14">
      <c r="B12" s="29">
        <v>46076</v>
      </c>
      <c r="C12" s="24" t="s">
        <v>19</v>
      </c>
      <c r="D12" s="28">
        <v>30000</v>
      </c>
      <c r="E12" s="24">
        <v>2</v>
      </c>
      <c r="F12" s="28">
        <f>IFERROR(Tabela24[[#This Row],[VOLUME]]*Tabela24[[#This Row],[VIAGENS]],"")</f>
        <v>60000</v>
      </c>
      <c r="G12" s="24"/>
    </row>
    <row r="13" spans="2:14">
      <c r="B13" s="29">
        <v>46076</v>
      </c>
      <c r="C13" s="24" t="s">
        <v>20</v>
      </c>
      <c r="D13" s="28">
        <v>30000</v>
      </c>
      <c r="E13" s="24">
        <v>1</v>
      </c>
      <c r="F13" s="28">
        <f>IFERROR(Tabela24[[#This Row],[VOLUME]]*Tabela24[[#This Row],[VIAGENS]],"")</f>
        <v>30000</v>
      </c>
      <c r="G13" s="24" t="s">
        <v>21</v>
      </c>
    </row>
    <row r="14" spans="2:14">
      <c r="B14" s="27" t="s">
        <v>22</v>
      </c>
      <c r="D14" s="28"/>
      <c r="E14" s="24"/>
      <c r="F14" s="28">
        <f>SUM(Tabela24[TOTAL])</f>
        <v>370000</v>
      </c>
      <c r="G14" s="24"/>
    </row>
    <row r="15" spans="2:14">
      <c r="B15" s="46">
        <v>46077</v>
      </c>
      <c r="C15" s="38" t="s">
        <v>6</v>
      </c>
      <c r="D15" s="39">
        <v>20000</v>
      </c>
      <c r="E15" s="38" t="s">
        <v>7</v>
      </c>
      <c r="F15" s="39" t="str">
        <f>IFERROR(D15*E15,"")</f>
        <v/>
      </c>
      <c r="G15" s="40"/>
      <c r="I15" s="1" t="s">
        <v>0</v>
      </c>
      <c r="J15" s="1" t="s">
        <v>1</v>
      </c>
      <c r="K15" s="1" t="s">
        <v>2</v>
      </c>
      <c r="L15" s="1" t="s">
        <v>3</v>
      </c>
      <c r="M15" s="1" t="s">
        <v>4</v>
      </c>
      <c r="N15" s="1" t="s">
        <v>5</v>
      </c>
    </row>
    <row r="16" spans="2:14" ht="26.1">
      <c r="B16" s="47">
        <v>46077</v>
      </c>
      <c r="C16" s="41" t="s">
        <v>8</v>
      </c>
      <c r="D16" s="42">
        <v>20000</v>
      </c>
      <c r="E16" s="41">
        <v>1</v>
      </c>
      <c r="F16" s="39">
        <f t="shared" ref="F16:F25" si="0">IFERROR(D16*E16,"")</f>
        <v>20000</v>
      </c>
      <c r="G16" s="44" t="s">
        <v>23</v>
      </c>
      <c r="I16" s="29">
        <v>46077</v>
      </c>
      <c r="J16" s="24" t="s">
        <v>24</v>
      </c>
      <c r="K16" s="28">
        <v>20000</v>
      </c>
      <c r="L16" s="24">
        <v>2</v>
      </c>
      <c r="M16" s="28" t="str">
        <f>IFERROR(#REF!*#REF!,"")</f>
        <v/>
      </c>
      <c r="N16" s="24" t="s">
        <v>25</v>
      </c>
    </row>
    <row r="17" spans="2:14" ht="15" thickBot="1">
      <c r="B17" s="46">
        <v>46077</v>
      </c>
      <c r="C17" s="38" t="s">
        <v>10</v>
      </c>
      <c r="D17" s="39">
        <v>20000</v>
      </c>
      <c r="E17" s="38">
        <v>2</v>
      </c>
      <c r="F17" s="39">
        <f t="shared" si="0"/>
        <v>40000</v>
      </c>
      <c r="G17" s="40"/>
      <c r="I17" s="29">
        <v>46077</v>
      </c>
      <c r="J17" s="24" t="s">
        <v>26</v>
      </c>
      <c r="K17" s="28">
        <v>35000</v>
      </c>
      <c r="L17" s="24">
        <v>1</v>
      </c>
      <c r="M17" s="28" t="str">
        <f>IFERROR(#REF!*#REF!,"")</f>
        <v/>
      </c>
      <c r="N17" s="24" t="s">
        <v>27</v>
      </c>
    </row>
    <row r="18" spans="2:14" ht="15" thickTop="1">
      <c r="B18" s="47">
        <v>46077</v>
      </c>
      <c r="C18" s="41" t="s">
        <v>12</v>
      </c>
      <c r="D18" s="42">
        <v>25000</v>
      </c>
      <c r="E18" s="41" t="s">
        <v>7</v>
      </c>
      <c r="F18" s="39" t="str">
        <f t="shared" si="0"/>
        <v/>
      </c>
      <c r="G18" s="43"/>
      <c r="I18" s="34" t="s">
        <v>22</v>
      </c>
      <c r="J18" s="36"/>
      <c r="K18" s="35"/>
      <c r="L18" s="36"/>
      <c r="M18" s="35">
        <f>SUM(M16:M17)</f>
        <v>0</v>
      </c>
      <c r="N18" s="37"/>
    </row>
    <row r="19" spans="2:14">
      <c r="B19" s="46">
        <v>46077</v>
      </c>
      <c r="C19" s="38" t="s">
        <v>13</v>
      </c>
      <c r="D19" s="39">
        <v>25000</v>
      </c>
      <c r="E19" s="38">
        <v>2</v>
      </c>
      <c r="F19" s="39">
        <f t="shared" si="0"/>
        <v>50000</v>
      </c>
      <c r="G19" s="40"/>
    </row>
    <row r="20" spans="2:14">
      <c r="B20" s="47">
        <v>46077</v>
      </c>
      <c r="C20" s="41" t="s">
        <v>15</v>
      </c>
      <c r="D20" s="42">
        <v>25000</v>
      </c>
      <c r="E20" s="41">
        <v>2</v>
      </c>
      <c r="F20" s="39">
        <f t="shared" si="0"/>
        <v>50000</v>
      </c>
      <c r="G20" s="43"/>
    </row>
    <row r="21" spans="2:14">
      <c r="B21" s="46">
        <v>46077</v>
      </c>
      <c r="C21" s="38" t="s">
        <v>16</v>
      </c>
      <c r="D21" s="39">
        <v>25000</v>
      </c>
      <c r="E21" s="38">
        <v>2</v>
      </c>
      <c r="F21" s="39">
        <f t="shared" si="0"/>
        <v>50000</v>
      </c>
      <c r="G21" s="40"/>
    </row>
    <row r="22" spans="2:14">
      <c r="B22" s="47">
        <v>46077</v>
      </c>
      <c r="C22" s="41" t="s">
        <v>17</v>
      </c>
      <c r="D22" s="42">
        <v>25000</v>
      </c>
      <c r="E22" s="41">
        <v>2</v>
      </c>
      <c r="F22" s="39">
        <f t="shared" si="0"/>
        <v>50000</v>
      </c>
      <c r="G22" s="43"/>
    </row>
    <row r="23" spans="2:14">
      <c r="B23" s="46">
        <v>46077</v>
      </c>
      <c r="C23" s="38" t="s">
        <v>18</v>
      </c>
      <c r="D23" s="39">
        <v>30000</v>
      </c>
      <c r="E23" s="38" t="s">
        <v>7</v>
      </c>
      <c r="F23" s="39" t="str">
        <f t="shared" si="0"/>
        <v/>
      </c>
      <c r="G23" s="40"/>
    </row>
    <row r="24" spans="2:14">
      <c r="B24" s="47">
        <v>46077</v>
      </c>
      <c r="C24" s="41" t="s">
        <v>19</v>
      </c>
      <c r="D24" s="42">
        <v>30000</v>
      </c>
      <c r="E24" s="41">
        <v>2</v>
      </c>
      <c r="F24" s="39">
        <f t="shared" si="0"/>
        <v>60000</v>
      </c>
      <c r="G24" s="43"/>
    </row>
    <row r="25" spans="2:14" ht="15" thickBot="1">
      <c r="B25" s="46">
        <v>46077</v>
      </c>
      <c r="C25" s="38" t="s">
        <v>20</v>
      </c>
      <c r="D25" s="39">
        <v>30000</v>
      </c>
      <c r="E25" s="38">
        <v>1</v>
      </c>
      <c r="F25" s="39">
        <f t="shared" si="0"/>
        <v>30000</v>
      </c>
      <c r="G25" s="45" t="s">
        <v>28</v>
      </c>
    </row>
    <row r="26" spans="2:14" ht="15" thickTop="1">
      <c r="B26" s="30" t="s">
        <v>22</v>
      </c>
      <c r="C26" s="32"/>
      <c r="D26" s="31"/>
      <c r="E26" s="32"/>
      <c r="F26" s="31">
        <f>SUM(F15:F25)</f>
        <v>350000</v>
      </c>
      <c r="G26" s="33"/>
    </row>
    <row r="27" spans="2:14">
      <c r="B27" s="46">
        <v>46078</v>
      </c>
      <c r="C27" s="38" t="s">
        <v>6</v>
      </c>
      <c r="D27" s="39">
        <v>20000</v>
      </c>
      <c r="E27" s="38" t="s">
        <v>7</v>
      </c>
      <c r="F27" s="39" t="str">
        <f>IFERROR(D27*E27,"")</f>
        <v/>
      </c>
      <c r="G27" s="40"/>
      <c r="I27" s="1" t="s">
        <v>0</v>
      </c>
      <c r="J27" s="1" t="s">
        <v>1</v>
      </c>
      <c r="K27" s="1" t="s">
        <v>2</v>
      </c>
      <c r="L27" s="1" t="s">
        <v>3</v>
      </c>
      <c r="M27" s="1" t="s">
        <v>4</v>
      </c>
      <c r="N27" s="1" t="s">
        <v>5</v>
      </c>
    </row>
    <row r="28" spans="2:14">
      <c r="B28" s="47">
        <v>46078</v>
      </c>
      <c r="C28" s="41" t="s">
        <v>8</v>
      </c>
      <c r="D28" s="42">
        <v>20000</v>
      </c>
      <c r="E28" s="41">
        <v>1</v>
      </c>
      <c r="F28" s="39">
        <f t="shared" ref="F28:F37" si="1">IFERROR(D28*E28,"")</f>
        <v>20000</v>
      </c>
      <c r="G28" s="44" t="s">
        <v>29</v>
      </c>
      <c r="I28" s="29">
        <v>46077</v>
      </c>
      <c r="J28" s="24" t="s">
        <v>24</v>
      </c>
      <c r="K28" s="28">
        <v>20000</v>
      </c>
      <c r="L28" s="24">
        <v>1</v>
      </c>
      <c r="M28" s="28" t="str">
        <f>IFERROR(#REF!*#REF!,"")</f>
        <v/>
      </c>
      <c r="N28" s="24" t="s">
        <v>25</v>
      </c>
    </row>
    <row r="29" spans="2:14" ht="15" thickBot="1">
      <c r="B29" s="46">
        <v>46078</v>
      </c>
      <c r="C29" s="38" t="s">
        <v>10</v>
      </c>
      <c r="D29" s="39">
        <v>20000</v>
      </c>
      <c r="E29" s="38">
        <v>2</v>
      </c>
      <c r="F29" s="39">
        <f t="shared" si="1"/>
        <v>40000</v>
      </c>
      <c r="G29" s="40"/>
      <c r="I29" s="29">
        <v>46077</v>
      </c>
      <c r="J29" s="24" t="s">
        <v>26</v>
      </c>
      <c r="K29" s="28">
        <v>35000</v>
      </c>
      <c r="L29" s="24">
        <v>1</v>
      </c>
      <c r="M29" s="28" t="str">
        <f>IFERROR(#REF!*#REF!,"")</f>
        <v/>
      </c>
      <c r="N29" s="24" t="s">
        <v>27</v>
      </c>
    </row>
    <row r="30" spans="2:14" ht="13.5" customHeight="1" thickTop="1">
      <c r="B30" s="47">
        <v>46078</v>
      </c>
      <c r="C30" s="41" t="s">
        <v>12</v>
      </c>
      <c r="D30" s="42">
        <v>25000</v>
      </c>
      <c r="E30" s="41" t="s">
        <v>7</v>
      </c>
      <c r="F30" s="39" t="str">
        <f t="shared" si="1"/>
        <v/>
      </c>
      <c r="G30" s="43"/>
      <c r="I30" s="34" t="s">
        <v>22</v>
      </c>
      <c r="J30" s="36"/>
      <c r="K30" s="35"/>
      <c r="L30" s="36"/>
      <c r="M30" s="35">
        <f>SUM(M28:M29)</f>
        <v>0</v>
      </c>
      <c r="N30" s="37"/>
    </row>
    <row r="31" spans="2:14">
      <c r="B31" s="46">
        <v>46078</v>
      </c>
      <c r="C31" s="38" t="s">
        <v>13</v>
      </c>
      <c r="D31" s="39">
        <v>25000</v>
      </c>
      <c r="E31" s="38">
        <v>2</v>
      </c>
      <c r="F31" s="39">
        <f t="shared" si="1"/>
        <v>50000</v>
      </c>
      <c r="G31" s="40"/>
    </row>
    <row r="32" spans="2:14">
      <c r="B32" s="47">
        <v>46078</v>
      </c>
      <c r="C32" s="41" t="s">
        <v>15</v>
      </c>
      <c r="D32" s="42">
        <v>25000</v>
      </c>
      <c r="E32" s="41">
        <v>3</v>
      </c>
      <c r="F32" s="39">
        <f t="shared" si="1"/>
        <v>75000</v>
      </c>
      <c r="G32" s="43" t="s">
        <v>30</v>
      </c>
    </row>
    <row r="33" spans="2:14">
      <c r="B33" s="46">
        <v>46078</v>
      </c>
      <c r="C33" s="38" t="s">
        <v>16</v>
      </c>
      <c r="D33" s="39">
        <v>25000</v>
      </c>
      <c r="E33" s="38">
        <v>2</v>
      </c>
      <c r="F33" s="39">
        <f t="shared" si="1"/>
        <v>50000</v>
      </c>
      <c r="G33" s="40"/>
    </row>
    <row r="34" spans="2:14">
      <c r="B34" s="47">
        <v>46078</v>
      </c>
      <c r="C34" s="41" t="s">
        <v>17</v>
      </c>
      <c r="D34" s="42">
        <v>25000</v>
      </c>
      <c r="E34" s="41">
        <v>2</v>
      </c>
      <c r="F34" s="39">
        <f t="shared" si="1"/>
        <v>50000</v>
      </c>
      <c r="G34" s="43" t="s">
        <v>31</v>
      </c>
    </row>
    <row r="35" spans="2:14">
      <c r="B35" s="46">
        <v>46078</v>
      </c>
      <c r="C35" s="38" t="s">
        <v>18</v>
      </c>
      <c r="D35" s="39">
        <v>30000</v>
      </c>
      <c r="E35" s="38" t="s">
        <v>7</v>
      </c>
      <c r="F35" s="39" t="str">
        <f t="shared" si="1"/>
        <v/>
      </c>
      <c r="G35" s="40"/>
    </row>
    <row r="36" spans="2:14">
      <c r="B36" s="47">
        <v>46078</v>
      </c>
      <c r="C36" s="41" t="s">
        <v>19</v>
      </c>
      <c r="D36" s="42">
        <v>30000</v>
      </c>
      <c r="E36" s="41">
        <v>1</v>
      </c>
      <c r="F36" s="39">
        <f t="shared" si="1"/>
        <v>30000</v>
      </c>
      <c r="G36" s="43" t="s">
        <v>32</v>
      </c>
    </row>
    <row r="37" spans="2:14" ht="15" thickBot="1">
      <c r="B37" s="46">
        <v>46078</v>
      </c>
      <c r="C37" s="38" t="s">
        <v>20</v>
      </c>
      <c r="D37" s="39">
        <v>30000</v>
      </c>
      <c r="E37" s="38" t="s">
        <v>7</v>
      </c>
      <c r="F37" s="39" t="str">
        <f t="shared" si="1"/>
        <v/>
      </c>
      <c r="G37" s="45"/>
    </row>
    <row r="38" spans="2:14" ht="15" thickTop="1">
      <c r="B38" s="32"/>
      <c r="C38" s="32"/>
      <c r="D38" s="31"/>
      <c r="E38" s="32"/>
      <c r="F38" s="31">
        <f>SUM(F27:F37)</f>
        <v>315000</v>
      </c>
      <c r="G38" s="33"/>
    </row>
    <row r="39" spans="2:14">
      <c r="B39" s="46">
        <v>46079</v>
      </c>
      <c r="C39" s="38" t="s">
        <v>6</v>
      </c>
      <c r="D39" s="39">
        <v>20000</v>
      </c>
      <c r="E39" s="38" t="s">
        <v>7</v>
      </c>
      <c r="F39" s="52" t="str">
        <f>IFERROR(D39*E39,"")</f>
        <v/>
      </c>
      <c r="G39" s="40"/>
      <c r="I39" s="1" t="s">
        <v>0</v>
      </c>
      <c r="J39" s="1" t="s">
        <v>1</v>
      </c>
      <c r="K39" s="1" t="s">
        <v>2</v>
      </c>
      <c r="L39" s="1" t="s">
        <v>3</v>
      </c>
      <c r="M39" s="1" t="s">
        <v>4</v>
      </c>
      <c r="N39" s="1" t="s">
        <v>5</v>
      </c>
    </row>
    <row r="40" spans="2:14" ht="26.1">
      <c r="B40" s="47">
        <v>46079</v>
      </c>
      <c r="C40" s="41" t="s">
        <v>8</v>
      </c>
      <c r="D40" s="42">
        <v>20000</v>
      </c>
      <c r="E40" s="41">
        <v>1</v>
      </c>
      <c r="F40" s="53">
        <f t="shared" ref="F40:F49" si="2">IFERROR(D40*E40,"")</f>
        <v>20000</v>
      </c>
      <c r="G40" s="44" t="s">
        <v>33</v>
      </c>
      <c r="I40" s="29">
        <v>46079</v>
      </c>
      <c r="J40" s="24" t="s">
        <v>24</v>
      </c>
      <c r="K40" s="28">
        <v>20000</v>
      </c>
      <c r="L40" s="24">
        <v>2</v>
      </c>
      <c r="M40" s="28">
        <f>IFERROR(K40*L40,"")</f>
        <v>40000</v>
      </c>
      <c r="N40" s="24" t="s">
        <v>25</v>
      </c>
    </row>
    <row r="41" spans="2:14" ht="15" thickBot="1">
      <c r="B41" s="46">
        <v>46079</v>
      </c>
      <c r="C41" s="38" t="s">
        <v>10</v>
      </c>
      <c r="D41" s="39">
        <v>20000</v>
      </c>
      <c r="E41" s="38">
        <v>2</v>
      </c>
      <c r="F41" s="52">
        <f t="shared" si="2"/>
        <v>40000</v>
      </c>
      <c r="G41" s="40"/>
      <c r="I41" s="29">
        <v>46079</v>
      </c>
      <c r="J41" s="24" t="s">
        <v>26</v>
      </c>
      <c r="K41" s="28">
        <v>35000</v>
      </c>
      <c r="L41" s="24">
        <v>1</v>
      </c>
      <c r="M41" s="28">
        <f t="shared" ref="M41" si="3">IFERROR(K41*L41,"")</f>
        <v>35000</v>
      </c>
      <c r="N41" s="24" t="s">
        <v>27</v>
      </c>
    </row>
    <row r="42" spans="2:14" ht="15" thickTop="1">
      <c r="B42" s="47">
        <v>46079</v>
      </c>
      <c r="C42" s="41" t="s">
        <v>12</v>
      </c>
      <c r="D42" s="42">
        <v>25000</v>
      </c>
      <c r="E42" s="41" t="s">
        <v>7</v>
      </c>
      <c r="F42" s="54" t="str">
        <f t="shared" si="2"/>
        <v/>
      </c>
      <c r="G42" s="43"/>
      <c r="I42" s="34" t="s">
        <v>22</v>
      </c>
      <c r="J42" s="36"/>
      <c r="K42" s="35"/>
      <c r="L42" s="36"/>
      <c r="M42" s="35">
        <f>SUM(M40:M41)</f>
        <v>75000</v>
      </c>
      <c r="N42" s="37"/>
    </row>
    <row r="43" spans="2:14">
      <c r="B43" s="46">
        <v>46079</v>
      </c>
      <c r="C43" s="38" t="s">
        <v>13</v>
      </c>
      <c r="D43" s="39">
        <v>25000</v>
      </c>
      <c r="E43" s="38">
        <v>2</v>
      </c>
      <c r="F43" s="52">
        <f t="shared" si="2"/>
        <v>50000</v>
      </c>
      <c r="G43" s="40"/>
    </row>
    <row r="44" spans="2:14">
      <c r="B44" s="47">
        <v>46079</v>
      </c>
      <c r="C44" s="41" t="s">
        <v>15</v>
      </c>
      <c r="D44" s="42">
        <v>25000</v>
      </c>
      <c r="E44" s="41" t="s">
        <v>7</v>
      </c>
      <c r="F44" s="54" t="str">
        <f t="shared" si="2"/>
        <v/>
      </c>
      <c r="G44" s="43"/>
    </row>
    <row r="45" spans="2:14">
      <c r="B45" s="46">
        <v>46079</v>
      </c>
      <c r="C45" s="38" t="s">
        <v>16</v>
      </c>
      <c r="D45" s="39">
        <v>25000</v>
      </c>
      <c r="E45" s="38">
        <v>2</v>
      </c>
      <c r="F45" s="52">
        <f t="shared" si="2"/>
        <v>50000</v>
      </c>
      <c r="G45" s="40"/>
    </row>
    <row r="46" spans="2:14" ht="36" customHeight="1">
      <c r="B46" s="47">
        <v>46079</v>
      </c>
      <c r="C46" s="41" t="s">
        <v>17</v>
      </c>
      <c r="D46" s="42">
        <v>25000</v>
      </c>
      <c r="E46" s="41">
        <v>2</v>
      </c>
      <c r="F46" s="54">
        <f t="shared" si="2"/>
        <v>50000</v>
      </c>
      <c r="G46" s="51" t="s">
        <v>34</v>
      </c>
    </row>
    <row r="47" spans="2:14">
      <c r="B47" s="46">
        <v>46079</v>
      </c>
      <c r="C47" s="38" t="s">
        <v>18</v>
      </c>
      <c r="D47" s="39">
        <v>30000</v>
      </c>
      <c r="E47" s="38" t="s">
        <v>7</v>
      </c>
      <c r="F47" s="52" t="str">
        <f t="shared" si="2"/>
        <v/>
      </c>
      <c r="G47" s="40"/>
    </row>
    <row r="48" spans="2:14">
      <c r="B48" s="47">
        <v>46079</v>
      </c>
      <c r="C48" s="41" t="s">
        <v>19</v>
      </c>
      <c r="D48" s="42">
        <v>30000</v>
      </c>
      <c r="E48" s="41" t="s">
        <v>7</v>
      </c>
      <c r="F48" s="54" t="str">
        <f t="shared" si="2"/>
        <v/>
      </c>
      <c r="G48" s="43"/>
    </row>
    <row r="49" spans="2:14" ht="15" thickBot="1">
      <c r="B49" s="46">
        <v>46079</v>
      </c>
      <c r="C49" s="38" t="s">
        <v>20</v>
      </c>
      <c r="D49" s="39">
        <v>30000</v>
      </c>
      <c r="E49" s="38">
        <v>1</v>
      </c>
      <c r="F49" s="55">
        <f t="shared" si="2"/>
        <v>30000</v>
      </c>
      <c r="G49" s="45" t="s">
        <v>35</v>
      </c>
    </row>
    <row r="50" spans="2:14">
      <c r="B50" s="62"/>
      <c r="C50" s="63"/>
      <c r="D50" s="64"/>
      <c r="E50" s="63"/>
      <c r="F50" s="65"/>
      <c r="G50" s="66"/>
    </row>
    <row r="51" spans="2:14">
      <c r="B51" s="62"/>
      <c r="C51" s="63"/>
      <c r="D51" s="64"/>
      <c r="E51" s="63"/>
      <c r="F51" s="65"/>
      <c r="G51" s="66"/>
    </row>
    <row r="52" spans="2:14" ht="15" thickTop="1">
      <c r="B52" s="32"/>
      <c r="C52" s="32"/>
      <c r="D52" s="31"/>
      <c r="E52" s="32"/>
      <c r="F52" s="31">
        <f>SUM(F39:F49)</f>
        <v>240000</v>
      </c>
      <c r="G52" s="33"/>
    </row>
    <row r="53" spans="2:14">
      <c r="B53" s="47">
        <v>46107</v>
      </c>
      <c r="C53" s="38" t="s">
        <v>6</v>
      </c>
      <c r="D53" s="39">
        <v>20000</v>
      </c>
      <c r="E53" s="38" t="s">
        <v>7</v>
      </c>
      <c r="F53" s="52" t="str">
        <f>IFERROR(D53*E53,"")</f>
        <v/>
      </c>
      <c r="G53" s="56"/>
      <c r="I53" s="1" t="s">
        <v>0</v>
      </c>
      <c r="J53" s="1" t="s">
        <v>1</v>
      </c>
      <c r="K53" s="1" t="s">
        <v>2</v>
      </c>
      <c r="L53" s="1" t="s">
        <v>3</v>
      </c>
      <c r="M53" s="1" t="s">
        <v>4</v>
      </c>
      <c r="N53" s="1" t="s">
        <v>5</v>
      </c>
    </row>
    <row r="54" spans="2:14">
      <c r="B54" s="47">
        <v>46107</v>
      </c>
      <c r="C54" s="41" t="s">
        <v>8</v>
      </c>
      <c r="D54" s="42">
        <v>20000</v>
      </c>
      <c r="E54" s="41">
        <v>2</v>
      </c>
      <c r="F54" s="53">
        <f t="shared" ref="F54:F60" si="4">IFERROR(D54*E54,"")</f>
        <v>40000</v>
      </c>
      <c r="G54" s="44"/>
      <c r="I54" s="29">
        <v>46079</v>
      </c>
      <c r="J54" s="24" t="s">
        <v>24</v>
      </c>
      <c r="K54" s="28">
        <v>20000</v>
      </c>
      <c r="L54" s="24">
        <v>2</v>
      </c>
      <c r="M54" s="28">
        <f>IFERROR(K54*L54,"")</f>
        <v>40000</v>
      </c>
      <c r="N54" s="24" t="s">
        <v>25</v>
      </c>
    </row>
    <row r="55" spans="2:14">
      <c r="B55" s="47">
        <v>46107</v>
      </c>
      <c r="C55" s="38" t="s">
        <v>10</v>
      </c>
      <c r="D55" s="39">
        <v>20000</v>
      </c>
      <c r="E55" s="38">
        <v>1</v>
      </c>
      <c r="F55" s="52">
        <f t="shared" si="4"/>
        <v>20000</v>
      </c>
      <c r="G55" s="56"/>
      <c r="I55" s="29">
        <v>46079</v>
      </c>
      <c r="J55" s="24" t="s">
        <v>26</v>
      </c>
      <c r="K55" s="28">
        <v>35000</v>
      </c>
      <c r="L55" s="24" t="s">
        <v>7</v>
      </c>
      <c r="M55" s="28" t="str">
        <f t="shared" ref="M55" si="5">IFERROR(K55*L55,"")</f>
        <v/>
      </c>
      <c r="N55" s="24" t="s">
        <v>27</v>
      </c>
    </row>
    <row r="56" spans="2:14">
      <c r="B56" s="47">
        <v>46107</v>
      </c>
      <c r="C56" s="38" t="s">
        <v>13</v>
      </c>
      <c r="D56" s="39">
        <v>25000</v>
      </c>
      <c r="E56" s="38">
        <v>2</v>
      </c>
      <c r="F56" s="52">
        <f t="shared" si="4"/>
        <v>50000</v>
      </c>
      <c r="G56" s="56"/>
    </row>
    <row r="57" spans="2:14">
      <c r="B57" s="47">
        <v>46107</v>
      </c>
      <c r="C57" s="41" t="s">
        <v>15</v>
      </c>
      <c r="D57" s="42">
        <v>25000</v>
      </c>
      <c r="E57" s="41">
        <v>1</v>
      </c>
      <c r="F57" s="54">
        <f t="shared" si="4"/>
        <v>25000</v>
      </c>
      <c r="G57" s="44"/>
    </row>
    <row r="58" spans="2:14">
      <c r="B58" s="47">
        <v>46107</v>
      </c>
      <c r="C58" s="41" t="s">
        <v>17</v>
      </c>
      <c r="D58" s="42">
        <v>25000</v>
      </c>
      <c r="E58" s="41">
        <v>2</v>
      </c>
      <c r="F58" s="54">
        <f t="shared" si="4"/>
        <v>50000</v>
      </c>
      <c r="G58" s="44"/>
    </row>
    <row r="59" spans="2:14">
      <c r="B59" s="47">
        <v>46107</v>
      </c>
      <c r="C59" s="41" t="s">
        <v>36</v>
      </c>
      <c r="D59" s="42">
        <v>30000</v>
      </c>
      <c r="E59" s="41">
        <v>2</v>
      </c>
      <c r="F59" s="54">
        <f t="shared" si="4"/>
        <v>60000</v>
      </c>
      <c r="G59" s="44"/>
    </row>
    <row r="60" spans="2:14" ht="15" thickBot="1">
      <c r="B60" s="47">
        <v>46107</v>
      </c>
      <c r="C60" s="38" t="s">
        <v>6</v>
      </c>
      <c r="D60" s="39">
        <v>30000</v>
      </c>
      <c r="E60" s="38">
        <v>1</v>
      </c>
      <c r="F60" s="55">
        <f t="shared" si="4"/>
        <v>30000</v>
      </c>
      <c r="G60" s="56"/>
    </row>
    <row r="61" spans="2:14">
      <c r="B61" s="32"/>
      <c r="C61" s="32"/>
      <c r="D61" s="31"/>
      <c r="E61" s="32"/>
      <c r="F61" s="31">
        <f>SUM(F53:F60)</f>
        <v>275000</v>
      </c>
      <c r="G61" s="33"/>
    </row>
    <row r="62" spans="2:14">
      <c r="B62" s="46">
        <v>46109</v>
      </c>
      <c r="C62" s="38" t="s">
        <v>6</v>
      </c>
      <c r="D62" s="39">
        <v>20000</v>
      </c>
      <c r="E62" s="38">
        <v>2</v>
      </c>
      <c r="F62" s="39">
        <f>IFERROR(D62*E62,"")</f>
        <v>40000</v>
      </c>
      <c r="G62" s="40"/>
    </row>
    <row r="63" spans="2:14">
      <c r="B63" s="46">
        <v>46109</v>
      </c>
      <c r="C63" s="41" t="s">
        <v>8</v>
      </c>
      <c r="D63" s="42">
        <v>20000</v>
      </c>
      <c r="E63" s="41">
        <v>1</v>
      </c>
      <c r="F63" s="39">
        <f t="shared" ref="F63:F67" si="6">IFERROR(D63*E63,"")</f>
        <v>20000</v>
      </c>
      <c r="G63" s="44"/>
    </row>
    <row r="64" spans="2:14">
      <c r="B64" s="46">
        <v>46109</v>
      </c>
      <c r="C64" s="38" t="s">
        <v>10</v>
      </c>
      <c r="D64" s="39">
        <v>20000</v>
      </c>
      <c r="E64" s="38">
        <v>1</v>
      </c>
      <c r="F64" s="39">
        <f t="shared" si="6"/>
        <v>20000</v>
      </c>
      <c r="G64" s="40"/>
    </row>
    <row r="65" spans="2:7">
      <c r="B65" s="46">
        <v>46109</v>
      </c>
      <c r="C65" s="41" t="s">
        <v>12</v>
      </c>
      <c r="D65" s="42">
        <v>25000</v>
      </c>
      <c r="E65" s="41">
        <v>2</v>
      </c>
      <c r="F65" s="39">
        <f t="shared" si="6"/>
        <v>50000</v>
      </c>
      <c r="G65" s="43"/>
    </row>
    <row r="66" spans="2:7">
      <c r="B66" s="46">
        <v>46109</v>
      </c>
      <c r="C66" s="38" t="s">
        <v>13</v>
      </c>
      <c r="D66" s="39">
        <v>25000</v>
      </c>
      <c r="E66" s="38">
        <v>2</v>
      </c>
      <c r="F66" s="39">
        <f t="shared" si="6"/>
        <v>50000</v>
      </c>
      <c r="G66" s="40"/>
    </row>
    <row r="67" spans="2:7">
      <c r="B67" s="46">
        <v>46109</v>
      </c>
      <c r="C67" s="41" t="s">
        <v>15</v>
      </c>
      <c r="D67" s="42">
        <v>25000</v>
      </c>
      <c r="E67" s="41">
        <v>1</v>
      </c>
      <c r="F67" s="39">
        <f t="shared" si="6"/>
        <v>25000</v>
      </c>
      <c r="G67" s="43"/>
    </row>
    <row r="68" spans="2:7">
      <c r="B68" s="32"/>
      <c r="C68" s="32"/>
      <c r="D68" s="31"/>
      <c r="E68" s="32"/>
      <c r="F68" s="31">
        <f>SUM(F62:F67)</f>
        <v>205000</v>
      </c>
      <c r="G68" s="33"/>
    </row>
    <row r="69" spans="2:7">
      <c r="B69" s="46">
        <v>46109</v>
      </c>
      <c r="C69" s="38" t="s">
        <v>6</v>
      </c>
      <c r="D69" s="39">
        <v>20000</v>
      </c>
      <c r="E69" s="38">
        <v>2</v>
      </c>
      <c r="F69" s="39">
        <f>IFERROR(D69*E69,"")</f>
        <v>40000</v>
      </c>
      <c r="G69" s="68"/>
    </row>
    <row r="70" spans="2:7">
      <c r="B70" s="46">
        <v>46109</v>
      </c>
      <c r="C70" s="41" t="s">
        <v>8</v>
      </c>
      <c r="D70" s="42">
        <v>20000</v>
      </c>
      <c r="E70" s="41">
        <v>2</v>
      </c>
      <c r="F70" s="39">
        <f t="shared" ref="F70:F73" si="7">IFERROR(D70*E70,"")</f>
        <v>40000</v>
      </c>
      <c r="G70" s="69"/>
    </row>
    <row r="71" spans="2:7">
      <c r="B71" s="46">
        <v>46109</v>
      </c>
      <c r="C71" s="38" t="s">
        <v>10</v>
      </c>
      <c r="D71" s="39">
        <v>20000</v>
      </c>
      <c r="E71" s="38">
        <v>2</v>
      </c>
      <c r="F71" s="39">
        <f t="shared" si="7"/>
        <v>40000</v>
      </c>
      <c r="G71" s="68"/>
    </row>
    <row r="72" spans="2:7">
      <c r="B72" s="46">
        <v>46109</v>
      </c>
      <c r="C72" s="41" t="s">
        <v>12</v>
      </c>
      <c r="D72" s="42">
        <v>25000</v>
      </c>
      <c r="E72" s="41">
        <v>2</v>
      </c>
      <c r="F72" s="39">
        <f t="shared" si="7"/>
        <v>50000</v>
      </c>
      <c r="G72" s="69"/>
    </row>
    <row r="73" spans="2:7">
      <c r="B73" s="46">
        <v>46109</v>
      </c>
      <c r="C73" s="38" t="s">
        <v>13</v>
      </c>
      <c r="D73" s="39">
        <v>25000</v>
      </c>
      <c r="E73" s="38">
        <v>2</v>
      </c>
      <c r="F73" s="39">
        <f t="shared" si="7"/>
        <v>50000</v>
      </c>
      <c r="G73" s="68"/>
    </row>
    <row r="74" spans="2:7">
      <c r="B74" s="46">
        <v>46109</v>
      </c>
      <c r="C74" s="41" t="s">
        <v>18</v>
      </c>
      <c r="D74" s="42">
        <v>25000</v>
      </c>
      <c r="E74" s="41">
        <v>1</v>
      </c>
      <c r="F74" s="39">
        <f t="shared" ref="F74" si="8">IFERROR(D74*E74,"")</f>
        <v>25000</v>
      </c>
    </row>
    <row r="75" spans="2:7">
      <c r="B75" s="46">
        <v>46109</v>
      </c>
      <c r="C75" s="38" t="s">
        <v>37</v>
      </c>
      <c r="D75" s="39">
        <v>25000</v>
      </c>
      <c r="E75" s="38">
        <v>1</v>
      </c>
      <c r="F75" s="39">
        <f t="shared" ref="F75" si="9">IFERROR(D75*E75,"")</f>
        <v>25000</v>
      </c>
      <c r="G75" s="68"/>
    </row>
    <row r="76" spans="2:7">
      <c r="B76" s="32"/>
      <c r="C76" s="32"/>
      <c r="D76" s="31"/>
      <c r="E76" s="32"/>
      <c r="F76" s="31" t="s">
        <v>38</v>
      </c>
      <c r="G76" s="33"/>
    </row>
    <row r="77" spans="2:7">
      <c r="B77" s="46">
        <v>46112</v>
      </c>
      <c r="C77" s="38" t="s">
        <v>17</v>
      </c>
      <c r="D77" s="39">
        <v>30000</v>
      </c>
      <c r="E77" s="38">
        <v>2</v>
      </c>
      <c r="F77" s="39">
        <f>IFERROR(D77*E82,"")</f>
        <v>60000</v>
      </c>
      <c r="G77" s="68"/>
    </row>
    <row r="78" spans="2:7">
      <c r="B78" s="46">
        <v>46112</v>
      </c>
      <c r="C78" s="41" t="s">
        <v>8</v>
      </c>
      <c r="D78" s="42">
        <v>20000</v>
      </c>
      <c r="E78" s="41">
        <v>1</v>
      </c>
      <c r="F78" s="39">
        <f t="shared" ref="F78:F82" si="10">IFERROR(D78*E78,"")</f>
        <v>20000</v>
      </c>
      <c r="G78" s="69"/>
    </row>
    <row r="79" spans="2:7">
      <c r="B79" s="46">
        <v>46112</v>
      </c>
      <c r="C79" s="38" t="s">
        <v>10</v>
      </c>
      <c r="D79" s="39">
        <v>20000</v>
      </c>
      <c r="E79" s="38">
        <v>2</v>
      </c>
      <c r="F79" s="39">
        <f t="shared" si="10"/>
        <v>40000</v>
      </c>
      <c r="G79" s="68"/>
    </row>
    <row r="80" spans="2:7">
      <c r="B80" s="46">
        <v>46112</v>
      </c>
      <c r="C80" s="41" t="s">
        <v>12</v>
      </c>
      <c r="D80" s="42">
        <v>25000</v>
      </c>
      <c r="E80" s="41">
        <v>2</v>
      </c>
      <c r="F80" s="39">
        <f t="shared" si="10"/>
        <v>50000</v>
      </c>
      <c r="G80" s="69"/>
    </row>
    <row r="81" spans="2:7">
      <c r="B81" s="46">
        <v>46112</v>
      </c>
      <c r="C81" s="38" t="s">
        <v>13</v>
      </c>
      <c r="D81" s="39">
        <v>25000</v>
      </c>
      <c r="E81" s="38">
        <v>2</v>
      </c>
      <c r="F81" s="39">
        <f t="shared" si="10"/>
        <v>50000</v>
      </c>
      <c r="G81" s="68"/>
    </row>
    <row r="82" spans="2:7" ht="15">
      <c r="B82" s="46">
        <v>46112</v>
      </c>
      <c r="C82" s="41" t="s">
        <v>19</v>
      </c>
      <c r="D82" s="42">
        <v>30000</v>
      </c>
      <c r="E82" s="41">
        <v>2</v>
      </c>
      <c r="F82" s="39">
        <f t="shared" si="10"/>
        <v>60000</v>
      </c>
    </row>
    <row r="83" spans="2:7" ht="15">
      <c r="B83" s="32"/>
      <c r="C83" s="32"/>
      <c r="D83" s="31"/>
      <c r="E83" s="32"/>
      <c r="F83" s="31">
        <f>SUM(F77:F82)</f>
        <v>280000</v>
      </c>
      <c r="G83" s="33"/>
    </row>
    <row r="84" spans="2:7" ht="15">
      <c r="B84" s="46">
        <v>46113</v>
      </c>
      <c r="C84" s="38" t="s">
        <v>17</v>
      </c>
      <c r="D84" s="39">
        <v>30000</v>
      </c>
      <c r="E84" s="38"/>
      <c r="F84" s="39">
        <f>IFERROR(D84*E89,"")</f>
        <v>0</v>
      </c>
      <c r="G84" s="68"/>
    </row>
    <row r="85" spans="2:7" ht="15">
      <c r="B85" s="46">
        <v>46113</v>
      </c>
      <c r="C85" s="41" t="s">
        <v>8</v>
      </c>
      <c r="D85" s="42">
        <v>20000</v>
      </c>
      <c r="E85" s="41"/>
      <c r="F85" s="39">
        <f t="shared" ref="F85:F89" si="11">IFERROR(D85*E85,"")</f>
        <v>0</v>
      </c>
      <c r="G85" s="69"/>
    </row>
    <row r="86" spans="2:7" ht="15">
      <c r="B86" s="46">
        <v>46113</v>
      </c>
      <c r="C86" s="38" t="s">
        <v>10</v>
      </c>
      <c r="D86" s="39">
        <v>20000</v>
      </c>
      <c r="E86" s="38"/>
      <c r="F86" s="39">
        <f t="shared" si="11"/>
        <v>0</v>
      </c>
      <c r="G86" s="68"/>
    </row>
    <row r="87" spans="2:7" ht="15">
      <c r="B87" s="46">
        <v>46113</v>
      </c>
      <c r="C87" s="41" t="s">
        <v>12</v>
      </c>
      <c r="D87" s="42">
        <v>25000</v>
      </c>
      <c r="E87" s="41"/>
      <c r="F87" s="39">
        <f t="shared" si="11"/>
        <v>0</v>
      </c>
      <c r="G87" s="69"/>
    </row>
    <row r="88" spans="2:7" ht="15">
      <c r="B88" s="46">
        <v>46113</v>
      </c>
      <c r="C88" s="38" t="s">
        <v>13</v>
      </c>
      <c r="D88" s="39">
        <v>25000</v>
      </c>
      <c r="E88" s="38"/>
      <c r="F88" s="39">
        <f t="shared" si="11"/>
        <v>0</v>
      </c>
      <c r="G88" s="68"/>
    </row>
    <row r="89" spans="2:7" ht="15">
      <c r="B89" s="46">
        <v>46113</v>
      </c>
      <c r="C89" s="41" t="s">
        <v>19</v>
      </c>
      <c r="D89" s="42">
        <v>30000</v>
      </c>
      <c r="E89" s="41"/>
      <c r="F89" s="39">
        <f t="shared" si="11"/>
        <v>0</v>
      </c>
    </row>
    <row r="90" spans="2:7" ht="15">
      <c r="B90" s="32"/>
      <c r="C90" s="32"/>
      <c r="D90" s="31"/>
      <c r="E90" s="32"/>
      <c r="F90" s="31">
        <f>SUM(F84:F89)</f>
        <v>0</v>
      </c>
      <c r="G90" s="33"/>
    </row>
    <row r="91" spans="2:7" ht="15">
      <c r="B91" s="101" t="s">
        <v>0</v>
      </c>
      <c r="C91" s="102" t="s">
        <v>1</v>
      </c>
      <c r="D91" s="102" t="s">
        <v>2</v>
      </c>
      <c r="E91" s="102" t="s">
        <v>3</v>
      </c>
      <c r="F91" s="102" t="s">
        <v>4</v>
      </c>
      <c r="G91" s="103" t="s">
        <v>5</v>
      </c>
    </row>
    <row r="92" spans="2:7" ht="15">
      <c r="B92" s="104">
        <v>46162</v>
      </c>
      <c r="C92" s="38" t="s">
        <v>6</v>
      </c>
      <c r="D92" s="39">
        <v>20000</v>
      </c>
      <c r="E92" s="38">
        <v>2</v>
      </c>
      <c r="F92" s="39">
        <f>IFERROR(D92*E92,"")</f>
        <v>40000</v>
      </c>
      <c r="G92" s="68"/>
    </row>
    <row r="93" spans="2:7" ht="15">
      <c r="B93" s="104">
        <v>46162</v>
      </c>
      <c r="C93" s="107" t="s">
        <v>8</v>
      </c>
      <c r="D93" s="108">
        <v>20000</v>
      </c>
      <c r="E93" s="107">
        <v>2</v>
      </c>
      <c r="F93" s="109">
        <f>IFERROR(D93*E93,"")</f>
        <v>40000</v>
      </c>
      <c r="G93" s="108"/>
    </row>
    <row r="94" spans="2:7" ht="15">
      <c r="B94" s="104">
        <v>46162</v>
      </c>
      <c r="C94" s="105" t="s">
        <v>10</v>
      </c>
      <c r="D94" s="106">
        <v>20000</v>
      </c>
      <c r="E94" s="105">
        <v>2</v>
      </c>
      <c r="F94" s="39">
        <v>35000</v>
      </c>
      <c r="G94" s="68"/>
    </row>
    <row r="95" spans="2:7" ht="15">
      <c r="B95" s="32"/>
      <c r="C95" s="32"/>
      <c r="D95" s="31"/>
      <c r="E95" s="32"/>
      <c r="F95" s="31" t="s">
        <v>39</v>
      </c>
      <c r="G95" s="33"/>
    </row>
    <row r="96" spans="2:7" ht="15">
      <c r="B96" s="104">
        <v>46163</v>
      </c>
      <c r="C96" s="41" t="s">
        <v>13</v>
      </c>
      <c r="D96" s="110">
        <v>25000</v>
      </c>
      <c r="E96" s="41">
        <v>1</v>
      </c>
      <c r="F96" s="109">
        <f>IFERROR(D96*E96,"")</f>
        <v>25000</v>
      </c>
      <c r="G96" s="68" t="s">
        <v>40</v>
      </c>
    </row>
    <row r="97" spans="2:15" ht="15">
      <c r="B97" s="104">
        <v>46163</v>
      </c>
      <c r="C97" s="105" t="s">
        <v>36</v>
      </c>
      <c r="D97" s="111">
        <v>30000</v>
      </c>
      <c r="E97" s="105">
        <v>2</v>
      </c>
      <c r="F97" s="106">
        <f>IFERROR(D97*E97,"")</f>
        <v>60000</v>
      </c>
      <c r="G97" s="68"/>
    </row>
    <row r="98" spans="2:15" ht="15">
      <c r="B98" s="104">
        <v>46163</v>
      </c>
      <c r="C98" s="41" t="s">
        <v>8</v>
      </c>
      <c r="D98" s="42">
        <v>20000</v>
      </c>
      <c r="E98" s="41">
        <v>2</v>
      </c>
      <c r="F98" s="109">
        <f t="shared" ref="F98" si="12">IFERROR(D98*E98,"")</f>
        <v>40000</v>
      </c>
      <c r="G98" s="68"/>
    </row>
    <row r="99" spans="2:15" ht="15">
      <c r="B99" s="104">
        <v>46163</v>
      </c>
      <c r="C99" s="105" t="s">
        <v>10</v>
      </c>
      <c r="D99" s="111">
        <v>20000</v>
      </c>
      <c r="E99" s="105">
        <v>2</v>
      </c>
      <c r="F99" s="106">
        <f t="shared" ref="F99" si="13">IFERROR(D99*E99,"")</f>
        <v>40000</v>
      </c>
      <c r="G99" s="68"/>
    </row>
    <row r="100" spans="2:15" ht="15">
      <c r="B100" s="112"/>
      <c r="C100" s="113"/>
      <c r="D100" s="114"/>
      <c r="E100" s="113"/>
      <c r="F100" s="31">
        <f>SUM(F96:F99)</f>
        <v>165000</v>
      </c>
      <c r="G100" s="115"/>
    </row>
    <row r="101" spans="2:15" ht="15">
      <c r="B101" s="104"/>
      <c r="C101" s="105"/>
      <c r="D101" s="106"/>
      <c r="E101" s="105"/>
      <c r="F101" s="39"/>
      <c r="G101" s="68"/>
    </row>
    <row r="102" spans="2:15" ht="15">
      <c r="B102" s="104"/>
      <c r="C102" s="105"/>
      <c r="D102" s="106"/>
      <c r="E102" s="105"/>
      <c r="F102" s="39"/>
      <c r="G102" s="68"/>
      <c r="O102" t="s">
        <v>41</v>
      </c>
    </row>
    <row r="103" spans="2:15" ht="15">
      <c r="B103" s="104"/>
      <c r="C103" s="105"/>
      <c r="D103" s="106"/>
      <c r="E103" s="105"/>
      <c r="F103" s="39"/>
      <c r="G103" s="68"/>
    </row>
  </sheetData>
  <pageMargins left="0.511811024" right="0.511811024" top="0.78740157499999996" bottom="0.78740157499999996" header="0.31496062000000002" footer="0.31496062000000002"/>
  <ignoredErrors>
    <ignoredError sqref="M42" calculatedColumn="1"/>
  </ignoredErrors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D1D-7CA6-4D11-978B-FCAA506769FE}">
  <dimension ref="B1:F17"/>
  <sheetViews>
    <sheetView workbookViewId="0">
      <selection activeCell="C17" sqref="C17"/>
    </sheetView>
  </sheetViews>
  <sheetFormatPr defaultRowHeight="14.45"/>
  <cols>
    <col min="2" max="2" width="24.42578125" customWidth="1"/>
    <col min="3" max="3" width="12.140625" customWidth="1"/>
    <col min="4" max="4" width="25.7109375" customWidth="1"/>
    <col min="5" max="5" width="18.5703125" customWidth="1"/>
    <col min="6" max="6" width="20.7109375" customWidth="1"/>
  </cols>
  <sheetData>
    <row r="1" spans="2:6">
      <c r="B1" t="s">
        <v>42</v>
      </c>
      <c r="C1" s="24" t="s">
        <v>1</v>
      </c>
      <c r="D1" s="24" t="s">
        <v>43</v>
      </c>
      <c r="E1" s="24" t="s">
        <v>28</v>
      </c>
      <c r="F1" s="24" t="s">
        <v>4</v>
      </c>
    </row>
    <row r="2" spans="2:6">
      <c r="B2" t="s">
        <v>44</v>
      </c>
      <c r="C2" s="24" t="s">
        <v>16</v>
      </c>
      <c r="D2" s="24">
        <v>25000</v>
      </c>
      <c r="F2">
        <f>E2*D2</f>
        <v>0</v>
      </c>
    </row>
    <row r="3" spans="2:6">
      <c r="B3" t="s">
        <v>45</v>
      </c>
      <c r="C3" s="24" t="s">
        <v>17</v>
      </c>
      <c r="D3" s="24">
        <v>25000</v>
      </c>
      <c r="F3">
        <f t="shared" ref="F3:F12" si="0">E3*D3</f>
        <v>0</v>
      </c>
    </row>
    <row r="4" spans="2:6">
      <c r="B4" t="s">
        <v>46</v>
      </c>
      <c r="C4" s="24" t="s">
        <v>12</v>
      </c>
      <c r="D4" s="24">
        <v>25000</v>
      </c>
      <c r="F4">
        <f t="shared" si="0"/>
        <v>0</v>
      </c>
    </row>
    <row r="5" spans="2:6">
      <c r="B5" t="s">
        <v>47</v>
      </c>
      <c r="C5" s="24" t="s">
        <v>15</v>
      </c>
      <c r="D5" s="24">
        <v>25000</v>
      </c>
      <c r="F5">
        <f t="shared" si="0"/>
        <v>0</v>
      </c>
    </row>
    <row r="6" spans="2:6">
      <c r="B6" t="s">
        <v>48</v>
      </c>
      <c r="C6" s="24" t="s">
        <v>13</v>
      </c>
      <c r="D6" s="24">
        <v>25000</v>
      </c>
      <c r="F6">
        <f t="shared" si="0"/>
        <v>0</v>
      </c>
    </row>
    <row r="7" spans="2:6">
      <c r="B7" t="s">
        <v>49</v>
      </c>
      <c r="C7" s="24" t="s">
        <v>50</v>
      </c>
      <c r="D7" s="24">
        <v>30000</v>
      </c>
      <c r="F7">
        <f t="shared" si="0"/>
        <v>0</v>
      </c>
    </row>
    <row r="8" spans="2:6">
      <c r="B8" t="s">
        <v>51</v>
      </c>
      <c r="C8" s="24" t="s">
        <v>19</v>
      </c>
      <c r="D8" s="24">
        <v>30000</v>
      </c>
      <c r="F8">
        <f t="shared" si="0"/>
        <v>0</v>
      </c>
    </row>
    <row r="9" spans="2:6">
      <c r="B9" t="s">
        <v>52</v>
      </c>
      <c r="C9" s="24" t="s">
        <v>18</v>
      </c>
      <c r="D9" s="24">
        <v>30000</v>
      </c>
      <c r="F9">
        <f t="shared" si="0"/>
        <v>0</v>
      </c>
    </row>
    <row r="10" spans="2:6">
      <c r="B10" t="s">
        <v>53</v>
      </c>
      <c r="C10" s="1" t="s">
        <v>10</v>
      </c>
      <c r="D10" s="24">
        <v>20000</v>
      </c>
      <c r="F10">
        <f t="shared" si="0"/>
        <v>0</v>
      </c>
    </row>
    <row r="11" spans="2:6">
      <c r="B11" t="s">
        <v>54</v>
      </c>
      <c r="C11" s="24" t="s">
        <v>6</v>
      </c>
      <c r="D11" s="24">
        <v>20000</v>
      </c>
      <c r="F11">
        <f t="shared" si="0"/>
        <v>0</v>
      </c>
    </row>
    <row r="12" spans="2:6">
      <c r="B12" t="s">
        <v>55</v>
      </c>
      <c r="C12" s="24" t="s">
        <v>8</v>
      </c>
      <c r="D12" s="24">
        <v>20000</v>
      </c>
      <c r="F12">
        <f t="shared" si="0"/>
        <v>0</v>
      </c>
    </row>
    <row r="13" spans="2:6">
      <c r="B13" t="s">
        <v>56</v>
      </c>
      <c r="F13">
        <f>SUM(F2:F12)</f>
        <v>0</v>
      </c>
    </row>
    <row r="14" spans="2:6">
      <c r="B14" t="s">
        <v>57</v>
      </c>
      <c r="E14" t="str">
        <f ca="1">_xlfn.XLOOKUP(B14,'Controle de CT'!B:B,'Controle de CT'!O:O,"")</f>
        <v/>
      </c>
    </row>
    <row r="15" spans="2:6">
      <c r="B15" t="s">
        <v>58</v>
      </c>
      <c r="E15" t="str">
        <f ca="1">_xlfn.XLOOKUP(B15,'Controle de CT'!B:B,'Controle de CT'!O:O,"")</f>
        <v/>
      </c>
    </row>
    <row r="16" spans="2:6">
      <c r="B16" t="s">
        <v>59</v>
      </c>
      <c r="E16" t="str">
        <f ca="1">_xlfn.XLOOKUP(B16,'Controle de CT'!B:B,'Controle de CT'!O:O,"")</f>
        <v/>
      </c>
    </row>
    <row r="17" spans="2:5">
      <c r="B17" t="s">
        <v>60</v>
      </c>
      <c r="E17" t="str">
        <f ca="1">_xlfn.XLOOKUP(B17,'Controle de CT'!B:B,'Controle de CT'!O:O,"")</f>
        <v/>
      </c>
    </row>
  </sheetData>
  <conditionalFormatting sqref="C10">
    <cfRule type="duplicateValues" dxfId="33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753B-A559-480B-B477-B8D3E628B41C}">
  <sheetPr>
    <pageSetUpPr autoPageBreaks="0"/>
  </sheetPr>
  <dimension ref="A1:X2176"/>
  <sheetViews>
    <sheetView showGridLines="0" tabSelected="1" topLeftCell="J1" zoomScale="80" zoomScaleNormal="80" workbookViewId="0">
      <pane ySplit="8" topLeftCell="J2165" activePane="bottomLeft" state="frozen"/>
      <selection pane="bottomLeft" activeCell="R2173" sqref="R2173"/>
    </sheetView>
  </sheetViews>
  <sheetFormatPr defaultColWidth="9.140625" defaultRowHeight="15" customHeight="1" outlineLevelCol="1"/>
  <cols>
    <col min="1" max="1" width="18.5703125" style="12" hidden="1" customWidth="1" outlineLevel="1"/>
    <col min="2" max="6" width="8.7109375" style="12" hidden="1" customWidth="1" outlineLevel="1"/>
    <col min="7" max="7" width="7.140625" style="12" hidden="1" customWidth="1" outlineLevel="1"/>
    <col min="8" max="9" width="8.7109375" style="12" hidden="1" customWidth="1" outlineLevel="1"/>
    <col min="10" max="10" width="1.28515625" customWidth="1" collapsed="1"/>
    <col min="11" max="11" width="7.28515625" style="85" customWidth="1"/>
    <col min="12" max="12" width="31.7109375" style="80" customWidth="1"/>
    <col min="13" max="13" width="12.7109375" style="1" bestFit="1" customWidth="1"/>
    <col min="14" max="14" width="20.28515625" style="80" customWidth="1"/>
    <col min="15" max="15" width="9.28515625" style="1" bestFit="1" customWidth="1"/>
    <col min="16" max="16" width="9.140625" style="2" customWidth="1"/>
    <col min="17" max="17" width="18.5703125" style="2" customWidth="1"/>
    <col min="18" max="18" width="15.42578125" style="2" customWidth="1"/>
    <col min="19" max="19" width="11.42578125" style="2" bestFit="1" customWidth="1"/>
    <col min="20" max="20" width="9.5703125" style="2" hidden="1" customWidth="1"/>
    <col min="21" max="21" width="0.28515625" style="2" customWidth="1"/>
    <col min="22" max="22" width="44.42578125" style="24" customWidth="1"/>
    <col min="23" max="24" width="9.140625" style="11" hidden="1" customWidth="1"/>
  </cols>
  <sheetData>
    <row r="1" spans="1:24" ht="4.5" customHeight="1"/>
    <row r="2" spans="1:24" ht="6.6" customHeight="1">
      <c r="K2" s="86"/>
      <c r="L2" s="81"/>
      <c r="M2" s="17"/>
      <c r="N2" s="81"/>
      <c r="O2" s="17"/>
      <c r="P2" s="18"/>
      <c r="Q2" s="116">
        <f ca="1">TODAY()</f>
        <v>46165</v>
      </c>
      <c r="R2" s="18"/>
      <c r="S2" s="18"/>
      <c r="V2" s="87"/>
    </row>
    <row r="3" spans="1:24" ht="14.45">
      <c r="A3" t="s">
        <v>61</v>
      </c>
      <c r="B3" s="19" t="s">
        <v>62</v>
      </c>
      <c r="C3" s="19" t="s">
        <v>63</v>
      </c>
      <c r="D3" s="19" t="s">
        <v>64</v>
      </c>
      <c r="E3" s="19" t="s">
        <v>65</v>
      </c>
      <c r="F3" s="19" t="s">
        <v>66</v>
      </c>
      <c r="G3" s="19" t="s">
        <v>67</v>
      </c>
      <c r="H3" s="19"/>
      <c r="I3" s="19"/>
      <c r="K3" s="86"/>
      <c r="L3" s="81"/>
      <c r="M3" s="17"/>
      <c r="N3" s="81"/>
      <c r="O3" s="17"/>
      <c r="P3" s="18"/>
      <c r="Q3" s="116"/>
      <c r="R3" s="18"/>
      <c r="S3" s="117"/>
      <c r="V3" s="87"/>
    </row>
    <row r="4" spans="1:24" ht="14.45">
      <c r="A4" t="s">
        <v>68</v>
      </c>
      <c r="B4" s="19">
        <f ca="1">COUNTIFS(Tabela1[Status],A4,Tabela1[Tipo de Frete],B3,Tabela1[Data],Q2)</f>
        <v>2</v>
      </c>
      <c r="C4" s="19">
        <f ca="1">COUNTIFS(Tabela1[Status],A4,Tabela1[Tipo de Frete],C3,Tabela1[Data],Q2)</f>
        <v>1</v>
      </c>
      <c r="D4">
        <f ca="1">COUNTIFS(Tabela1[Status],A4,Tabela1[Tipo de Frete],D3,Tabela1[Data],Q2)</f>
        <v>0</v>
      </c>
      <c r="E4">
        <f ca="1">COUNTIFS(Tabela1[Status],A4,Tabela1[Tipo de Frete],E3,Tabela1[Data],Q2)</f>
        <v>0</v>
      </c>
      <c r="F4">
        <f ca="1">SUM(C4,D4,E4)</f>
        <v>1</v>
      </c>
      <c r="G4">
        <f ca="1">SUM(B4:E4)</f>
        <v>3</v>
      </c>
      <c r="H4"/>
      <c r="I4"/>
      <c r="K4" s="86"/>
      <c r="L4" s="81"/>
      <c r="M4" s="17"/>
      <c r="N4" s="81"/>
      <c r="O4" s="17"/>
      <c r="P4" s="18"/>
      <c r="Q4" s="18"/>
      <c r="R4" s="18"/>
      <c r="S4" s="117"/>
      <c r="V4" s="87"/>
    </row>
    <row r="5" spans="1:24" ht="17.25" customHeight="1">
      <c r="A5" t="s">
        <v>69</v>
      </c>
      <c r="B5" s="19">
        <f ca="1">COUNTIFS(Tabela1[Status],A5,Tabela1[Tipo de Frete],B3,Tabela1[Data],Q2)</f>
        <v>1</v>
      </c>
      <c r="C5" s="19">
        <f ca="1">COUNTIFS(Tabela1[Status],A5,Tabela1[Tipo de Frete],C3,Tabela1[Data],Q2)</f>
        <v>1</v>
      </c>
      <c r="D5">
        <f ca="1">COUNTIFS(Tabela1[Status],A5,Tabela1[Tipo de Frete],D3,Tabela1[Data],Q2)</f>
        <v>0</v>
      </c>
      <c r="E5">
        <f ca="1">COUNTIFS(Tabela1[Status],A5,Tabela1[Tipo de Frete],E3,Tabela1[Data],Q2)</f>
        <v>0</v>
      </c>
      <c r="F5">
        <f ca="1">SUM(C5,D5,E5)</f>
        <v>1</v>
      </c>
      <c r="G5">
        <f ca="1">SUM(B5:E5)</f>
        <v>2</v>
      </c>
      <c r="H5"/>
      <c r="I5"/>
      <c r="K5" s="86"/>
      <c r="L5" s="81"/>
      <c r="M5" s="17"/>
      <c r="N5" s="81"/>
      <c r="O5" s="17"/>
      <c r="P5" s="18"/>
      <c r="Q5" s="18"/>
      <c r="R5" s="18"/>
      <c r="S5" s="18"/>
      <c r="V5" s="87"/>
    </row>
    <row r="6" spans="1:24" ht="17.25" customHeight="1">
      <c r="A6" t="s">
        <v>70</v>
      </c>
      <c r="B6" s="19">
        <f ca="1">COUNTIFS(Tabela1[Status],A6,Tabela1[Tipo de Frete],B3,Tabela1[Data],Q2)</f>
        <v>1</v>
      </c>
      <c r="C6" s="19">
        <f ca="1">COUNTIFS(Tabela1[Status],A6,Tabela1[Tipo de Frete],C3,Tabela1[Data],Q2)</f>
        <v>0</v>
      </c>
      <c r="D6">
        <f ca="1">COUNTIFS(Tabela1[Status],A6,Tabela1[Tipo de Frete],D3,Tabela1[Data],Q2)</f>
        <v>0</v>
      </c>
      <c r="E6">
        <f ca="1">COUNTIFS(Tabela1[Status],A6,Tabela1[Tipo de Frete],E3,Tabela1[Data],Q2)</f>
        <v>0</v>
      </c>
      <c r="F6">
        <f ca="1">SUM(C6,D6,E6)</f>
        <v>0</v>
      </c>
      <c r="G6">
        <f ca="1">SUM(B6:D6)</f>
        <v>1</v>
      </c>
      <c r="H6"/>
      <c r="I6"/>
      <c r="K6" s="82"/>
      <c r="L6" s="81"/>
      <c r="M6" s="79"/>
      <c r="N6" s="82"/>
      <c r="O6" s="82"/>
      <c r="P6" s="82"/>
      <c r="Q6" s="82"/>
      <c r="R6" s="82"/>
      <c r="S6" s="82"/>
      <c r="T6" s="10"/>
      <c r="U6" s="10"/>
      <c r="V6" s="87"/>
    </row>
    <row r="7" spans="1:24" ht="21.95" customHeight="1">
      <c r="A7"/>
      <c r="B7"/>
      <c r="C7"/>
      <c r="D7"/>
      <c r="E7"/>
      <c r="F7"/>
      <c r="G7"/>
      <c r="H7"/>
      <c r="I7"/>
      <c r="K7" s="82"/>
      <c r="L7" s="83"/>
      <c r="M7" s="79"/>
      <c r="N7" s="83"/>
      <c r="O7" s="82"/>
      <c r="P7" s="18"/>
      <c r="Q7" s="18"/>
      <c r="R7" s="18"/>
      <c r="S7" s="18"/>
      <c r="V7" s="87"/>
    </row>
    <row r="8" spans="1:24" s="6" customFormat="1" ht="27" customHeight="1">
      <c r="A8" s="118" t="s">
        <v>71</v>
      </c>
      <c r="B8" s="119"/>
      <c r="C8" s="119"/>
      <c r="D8" s="119"/>
      <c r="E8" s="119"/>
      <c r="F8" s="119"/>
      <c r="G8" s="119"/>
      <c r="H8" s="13"/>
      <c r="I8" s="13"/>
      <c r="K8" s="48" t="s">
        <v>0</v>
      </c>
      <c r="L8" s="49" t="s">
        <v>72</v>
      </c>
      <c r="M8" s="49" t="s">
        <v>73</v>
      </c>
      <c r="N8" s="49" t="s">
        <v>74</v>
      </c>
      <c r="O8" s="49" t="s">
        <v>75</v>
      </c>
      <c r="P8" s="50" t="s">
        <v>76</v>
      </c>
      <c r="Q8" s="50" t="s">
        <v>77</v>
      </c>
      <c r="R8" s="50" t="s">
        <v>78</v>
      </c>
      <c r="S8" s="50" t="s">
        <v>79</v>
      </c>
      <c r="T8" s="50" t="s">
        <v>80</v>
      </c>
      <c r="U8" s="50" t="s">
        <v>81</v>
      </c>
      <c r="V8" s="50" t="s">
        <v>82</v>
      </c>
      <c r="W8" s="50" t="s">
        <v>83</v>
      </c>
      <c r="X8" s="50" t="s">
        <v>84</v>
      </c>
    </row>
    <row r="9" spans="1:24" ht="14.45" hidden="1">
      <c r="K9" s="3">
        <v>46063</v>
      </c>
      <c r="L9" s="7" t="s">
        <v>45</v>
      </c>
      <c r="M9" s="22" t="str">
        <f>IF(Tabela1[[#This Row],[Motorista]]="","",IFERROR(_xlfn.XLOOKUP(Tabela1[[#This Row],[Motorista]],Base!A:A,Base!B:B),""))</f>
        <v>CIF</v>
      </c>
      <c r="N9" s="21" t="str">
        <f t="shared" ref="N9:N40" si="0">IF(R9&lt;&gt;"","Finalizado", IF(Q9&lt;&gt;"","Fila de Carregamento", IF(P9&lt;&gt;"","Aguardando Entrada","")))</f>
        <v>Finalizado</v>
      </c>
      <c r="O9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" s="2">
        <v>0.21875</v>
      </c>
      <c r="Q9" s="2">
        <v>0.22291666666666668</v>
      </c>
      <c r="R9" s="2">
        <v>0.25069444444444444</v>
      </c>
      <c r="S9" s="16" t="s">
        <v>85</v>
      </c>
      <c r="T9" s="57">
        <f>IF(OR(Tabela1[[#This Row],[Entrada]]="",Tabela1[[#This Row],[Saída]]=""), "", Tabela1[[#This Row],[Saída]]-Tabela1[[#This Row],[Entrada]])</f>
        <v>2.7777777777777762E-2</v>
      </c>
      <c r="U9" s="58">
        <f>IF(OR('Controle de CT'!$R9= "", 'Controle de CT'!$P9= ""), "", 'Controle de CT'!$R9-'Controle de CT'!$P9)</f>
        <v>3.1944444444444442E-2</v>
      </c>
      <c r="V9" s="1"/>
      <c r="W9" s="2"/>
      <c r="X9" s="98" t="s">
        <v>84</v>
      </c>
    </row>
    <row r="10" spans="1:24" ht="14.45" hidden="1">
      <c r="K10" s="5">
        <v>46063</v>
      </c>
      <c r="L10" s="8" t="s">
        <v>86</v>
      </c>
      <c r="M10" s="9" t="str">
        <f>IF(Tabela1[[#This Row],[Motorista]]="","",IFERROR(_xlfn.XLOOKUP(Tabela1[[#This Row],[Motorista]],Base!A:A,Base!B:B),""))</f>
        <v>FOB</v>
      </c>
      <c r="N10" s="20" t="str">
        <f t="shared" si="0"/>
        <v>Finalizado</v>
      </c>
      <c r="O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" s="4">
        <v>0.2361111111111111</v>
      </c>
      <c r="Q10" s="4">
        <v>0.23749999999999999</v>
      </c>
      <c r="R10" s="2">
        <v>0.28125</v>
      </c>
      <c r="S10" s="16" t="s">
        <v>85</v>
      </c>
      <c r="T10" s="14">
        <f>IF(OR(Tabela1[[#This Row],[Entrada]]="",Tabela1[[#This Row],[Saída]]=""), "", Tabela1[[#This Row],[Saída]]-Tabela1[[#This Row],[Entrada]])</f>
        <v>4.3750000000000011E-2</v>
      </c>
      <c r="U10" s="15">
        <f>IF(OR('Controle de CT'!$R10= "", 'Controle de CT'!$P10= ""), "", 'Controle de CT'!$R10-'Controle de CT'!$P10)</f>
        <v>4.5138888888888895E-2</v>
      </c>
      <c r="V10" s="1"/>
      <c r="W10" s="2"/>
      <c r="X10" s="2"/>
    </row>
    <row r="11" spans="1:24" ht="14.45" hidden="1">
      <c r="K11" s="5">
        <v>46063</v>
      </c>
      <c r="L11" s="8" t="s">
        <v>87</v>
      </c>
      <c r="M11" s="9" t="str">
        <f>IF(Tabela1[[#This Row],[Motorista]]="","",IFERROR(_xlfn.XLOOKUP(Tabela1[[#This Row],[Motorista]],Base!A:A,Base!B:B),""))</f>
        <v>FOB</v>
      </c>
      <c r="N11" s="20" t="str">
        <f t="shared" si="0"/>
        <v>Finalizado</v>
      </c>
      <c r="O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" s="4">
        <v>0.27083333333333331</v>
      </c>
      <c r="Q11" s="4">
        <v>0.32916666666666666</v>
      </c>
      <c r="R11" s="2">
        <v>0.36805555555555558</v>
      </c>
      <c r="S11" s="16" t="s">
        <v>85</v>
      </c>
      <c r="T11" s="14">
        <f>IF(OR(Tabela1[[#This Row],[Entrada]]="",Tabela1[[#This Row],[Saída]]=""), "", Tabela1[[#This Row],[Saída]]-Tabela1[[#This Row],[Entrada]])</f>
        <v>3.8888888888888917E-2</v>
      </c>
      <c r="U11" s="15">
        <f>IF(OR('Controle de CT'!$R11= "", 'Controle de CT'!$P11= ""), "", 'Controle de CT'!$R11-'Controle de CT'!$P11)</f>
        <v>9.7222222222222265E-2</v>
      </c>
      <c r="V11" s="1"/>
      <c r="W11" s="2"/>
      <c r="X11" s="2"/>
    </row>
    <row r="12" spans="1:24" ht="14.45" hidden="1">
      <c r="K12" s="5">
        <v>46063</v>
      </c>
      <c r="L12" s="8" t="s">
        <v>88</v>
      </c>
      <c r="M12" s="9" t="str">
        <f>IF(Tabela1[[#This Row],[Motorista]]="","",IFERROR(_xlfn.XLOOKUP(Tabela1[[#This Row],[Motorista]],Base!A:A,Base!B:B),""))</f>
        <v>RZD</v>
      </c>
      <c r="N12" s="20" t="str">
        <f t="shared" si="0"/>
        <v>Finalizado</v>
      </c>
      <c r="O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" s="4">
        <v>0.27500000000000002</v>
      </c>
      <c r="Q12" s="4">
        <v>0.30694444444444446</v>
      </c>
      <c r="R12" s="2">
        <v>0.33333333333333331</v>
      </c>
      <c r="S12" s="16" t="s">
        <v>85</v>
      </c>
      <c r="T12" s="14">
        <f>IF(OR(Tabela1[[#This Row],[Entrada]]="",Tabela1[[#This Row],[Saída]]=""), "", Tabela1[[#This Row],[Saída]]-Tabela1[[#This Row],[Entrada]])</f>
        <v>2.6388888888888851E-2</v>
      </c>
      <c r="U12" s="15">
        <f>IF(OR('Controle de CT'!$R12= "", 'Controle de CT'!$P12= ""), "", 'Controle de CT'!$R12-'Controle de CT'!$P12)</f>
        <v>5.8333333333333293E-2</v>
      </c>
      <c r="V12" s="1"/>
      <c r="W12" s="2"/>
      <c r="X12" s="2"/>
    </row>
    <row r="13" spans="1:24" ht="14.45" hidden="1">
      <c r="K13" s="5">
        <v>46063</v>
      </c>
      <c r="L13" s="8" t="s">
        <v>57</v>
      </c>
      <c r="M13" s="9" t="str">
        <f>IF(Tabela1[[#This Row],[Motorista]]="","",IFERROR(_xlfn.XLOOKUP(Tabela1[[#This Row],[Motorista]],Base!A:A,Base!B:B),""))</f>
        <v>CIF</v>
      </c>
      <c r="N13" s="20" t="str">
        <f t="shared" si="0"/>
        <v>Finalizado</v>
      </c>
      <c r="O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" s="4">
        <v>0.29236111111111113</v>
      </c>
      <c r="Q13" s="4">
        <v>0.31388888888888888</v>
      </c>
      <c r="R13" s="2">
        <v>0.34375</v>
      </c>
      <c r="S13" s="16" t="s">
        <v>85</v>
      </c>
      <c r="T13" s="14">
        <f>IF(OR(Tabela1[[#This Row],[Entrada]]="",Tabela1[[#This Row],[Saída]]=""), "", Tabela1[[#This Row],[Saída]]-Tabela1[[#This Row],[Entrada]])</f>
        <v>2.9861111111111116E-2</v>
      </c>
      <c r="U13" s="15">
        <f>IF(OR('Controle de CT'!$R13= "", 'Controle de CT'!$P13= ""), "", 'Controle de CT'!$R13-'Controle de CT'!$P13)</f>
        <v>5.1388888888888873E-2</v>
      </c>
      <c r="V13" s="1"/>
      <c r="W13" s="2"/>
      <c r="X13" s="2"/>
    </row>
    <row r="14" spans="1:24" ht="14.45" hidden="1">
      <c r="K14" s="5">
        <v>46063</v>
      </c>
      <c r="L14" s="8" t="s">
        <v>46</v>
      </c>
      <c r="M14" s="9" t="str">
        <f>IF(Tabela1[[#This Row],[Motorista]]="","",IFERROR(_xlfn.XLOOKUP(Tabela1[[#This Row],[Motorista]],Base!A:A,Base!B:B),""))</f>
        <v>CIF</v>
      </c>
      <c r="N14" s="20" t="str">
        <f t="shared" si="0"/>
        <v>Finalizado</v>
      </c>
      <c r="O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" s="4">
        <v>0.31388888888888888</v>
      </c>
      <c r="Q14" s="4">
        <v>0.32916666666666666</v>
      </c>
      <c r="R14" s="2">
        <v>0.36805555555555558</v>
      </c>
      <c r="S14" s="16" t="s">
        <v>85</v>
      </c>
      <c r="T14" s="14">
        <f>IF(OR(Tabela1[[#This Row],[Entrada]]="",Tabela1[[#This Row],[Saída]]=""), "", Tabela1[[#This Row],[Saída]]-Tabela1[[#This Row],[Entrada]])</f>
        <v>3.8888888888888917E-2</v>
      </c>
      <c r="U14" s="15">
        <f>IF(OR('Controle de CT'!$R14= "", 'Controle de CT'!$P14= ""), "", 'Controle de CT'!$R14-'Controle de CT'!$P14)</f>
        <v>5.4166666666666696E-2</v>
      </c>
      <c r="V14" s="1"/>
      <c r="W14" s="2"/>
      <c r="X14" s="2"/>
    </row>
    <row r="15" spans="1:24" ht="14.45" hidden="1">
      <c r="K15" s="5">
        <v>46063</v>
      </c>
      <c r="L15" s="8" t="s">
        <v>89</v>
      </c>
      <c r="M15" s="9" t="str">
        <f>IF(Tabela1[[#This Row],[Motorista]]="","",IFERROR(_xlfn.XLOOKUP(Tabela1[[#This Row],[Motorista]],Base!A:A,Base!B:B),""))</f>
        <v>FOB</v>
      </c>
      <c r="N15" s="20" t="str">
        <f t="shared" si="0"/>
        <v>Finalizado</v>
      </c>
      <c r="O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" s="4">
        <v>0.31527777777777777</v>
      </c>
      <c r="Q15" s="4">
        <v>0.37986111111111109</v>
      </c>
      <c r="R15" s="2">
        <v>0.42430555555555555</v>
      </c>
      <c r="S15" s="16" t="s">
        <v>85</v>
      </c>
      <c r="T15" s="14">
        <f>IF(OR(Tabela1[[#This Row],[Entrada]]="",Tabela1[[#This Row],[Saída]]=""), "", Tabela1[[#This Row],[Saída]]-Tabela1[[#This Row],[Entrada]])</f>
        <v>4.4444444444444453E-2</v>
      </c>
      <c r="U15" s="15">
        <f>IF(OR('Controle de CT'!$R15= "", 'Controle de CT'!$P15= ""), "", 'Controle de CT'!$R15-'Controle de CT'!$P15)</f>
        <v>0.10902777777777778</v>
      </c>
      <c r="V15" s="1"/>
      <c r="W15" s="2"/>
      <c r="X15" s="2"/>
    </row>
    <row r="16" spans="1:24" ht="14.45" hidden="1">
      <c r="K16" s="5">
        <v>46063</v>
      </c>
      <c r="L16" s="8" t="s">
        <v>90</v>
      </c>
      <c r="M16" s="9" t="str">
        <f>IF(Tabela1[[#This Row],[Motorista]]="","",IFERROR(_xlfn.XLOOKUP(Tabela1[[#This Row],[Motorista]],Base!A:A,Base!B:B),""))</f>
        <v>FOB</v>
      </c>
      <c r="N16" s="20" t="str">
        <f t="shared" si="0"/>
        <v>Finalizado</v>
      </c>
      <c r="O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" s="4">
        <v>0.32569444444444445</v>
      </c>
      <c r="Q16" s="4">
        <v>0.37222222222222223</v>
      </c>
      <c r="R16" s="2">
        <v>0.42708333333333331</v>
      </c>
      <c r="S16" s="16" t="s">
        <v>85</v>
      </c>
      <c r="T16" s="14">
        <f>IF(OR(Tabela1[[#This Row],[Entrada]]="",Tabela1[[#This Row],[Saída]]=""), "", Tabela1[[#This Row],[Saída]]-Tabela1[[#This Row],[Entrada]])</f>
        <v>5.4861111111111083E-2</v>
      </c>
      <c r="U16" s="15">
        <f>IF(OR('Controle de CT'!$R16= "", 'Controle de CT'!$P16= ""), "", 'Controle de CT'!$R16-'Controle de CT'!$P16)</f>
        <v>0.10138888888888886</v>
      </c>
      <c r="V16" s="1"/>
      <c r="W16" s="2"/>
      <c r="X16" s="2"/>
    </row>
    <row r="17" spans="11:24" ht="14.45" hidden="1">
      <c r="K17" s="5">
        <v>46063</v>
      </c>
      <c r="L17" s="8" t="s">
        <v>91</v>
      </c>
      <c r="M17" s="9" t="str">
        <f>IF(Tabela1[[#This Row],[Motorista]]="","",IFERROR(_xlfn.XLOOKUP(Tabela1[[#This Row],[Motorista]],Base!A:A,Base!B:B),""))</f>
        <v>FOB</v>
      </c>
      <c r="N17" s="20" t="str">
        <f t="shared" si="0"/>
        <v>Finalizado</v>
      </c>
      <c r="O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" s="2">
        <v>0.33958333333333335</v>
      </c>
      <c r="Q17" s="4">
        <v>0.3034722222222222</v>
      </c>
      <c r="R17" s="2">
        <v>0.41666666666666669</v>
      </c>
      <c r="S17" s="16" t="s">
        <v>85</v>
      </c>
      <c r="T17" s="14">
        <f>IF(OR(Tabela1[[#This Row],[Entrada]]="",Tabela1[[#This Row],[Saída]]=""), "", Tabela1[[#This Row],[Saída]]-Tabela1[[#This Row],[Entrada]])</f>
        <v>0.11319444444444449</v>
      </c>
      <c r="U17" s="15">
        <f>IF(OR('Controle de CT'!$R17= "", 'Controle de CT'!$P17= ""), "", 'Controle de CT'!$R17-'Controle de CT'!$P17)</f>
        <v>7.7083333333333337E-2</v>
      </c>
      <c r="V17" s="1"/>
      <c r="W17" s="2"/>
      <c r="X17" s="2"/>
    </row>
    <row r="18" spans="11:24" ht="14.45" hidden="1">
      <c r="K18" s="5">
        <v>46063</v>
      </c>
      <c r="L18" s="8" t="s">
        <v>92</v>
      </c>
      <c r="M18" s="9" t="str">
        <f>IF(Tabela1[[#This Row],[Motorista]]="","",IFERROR(_xlfn.XLOOKUP(Tabela1[[#This Row],[Motorista]],Base!A:A,Base!B:B),""))</f>
        <v>FOB</v>
      </c>
      <c r="N18" s="20" t="str">
        <f t="shared" si="0"/>
        <v>Finalizado</v>
      </c>
      <c r="O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" s="2">
        <v>0.34097222222222223</v>
      </c>
      <c r="Q18" s="4">
        <v>0.37986111111111109</v>
      </c>
      <c r="R18" s="2">
        <v>0.43055555555555558</v>
      </c>
      <c r="S18" s="16" t="s">
        <v>85</v>
      </c>
      <c r="T18" s="14">
        <f>IF(OR(Tabela1[[#This Row],[Entrada]]="",Tabela1[[#This Row],[Saída]]=""), "", Tabela1[[#This Row],[Saída]]-Tabela1[[#This Row],[Entrada]])</f>
        <v>5.0694444444444486E-2</v>
      </c>
      <c r="U18" s="15">
        <f>IF(OR('Controle de CT'!$R18= "", 'Controle de CT'!$P18= ""), "", 'Controle de CT'!$R18-'Controle de CT'!$P18)</f>
        <v>8.9583333333333348E-2</v>
      </c>
      <c r="V18" s="1"/>
      <c r="W18" s="2"/>
      <c r="X18" s="2"/>
    </row>
    <row r="19" spans="11:24" ht="14.45" hidden="1">
      <c r="K19" s="5">
        <v>46063</v>
      </c>
      <c r="L19" s="8" t="s">
        <v>93</v>
      </c>
      <c r="M19" s="9" t="str">
        <f>IF(Tabela1[[#This Row],[Motorista]]="","",IFERROR(_xlfn.XLOOKUP(Tabela1[[#This Row],[Motorista]],Base!A:A,Base!B:B),""))</f>
        <v>FOB</v>
      </c>
      <c r="N19" s="20" t="str">
        <f t="shared" si="0"/>
        <v>Finalizado</v>
      </c>
      <c r="O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" s="2">
        <v>0.38333333333333336</v>
      </c>
      <c r="Q19" s="2">
        <v>0.50694444444444442</v>
      </c>
      <c r="R19" s="2" t="s">
        <v>94</v>
      </c>
      <c r="S19" s="16" t="s">
        <v>85</v>
      </c>
      <c r="T19" s="14" t="e">
        <f>IF(OR(Tabela1[[#This Row],[Entrada]]="",Tabela1[[#This Row],[Saída]]=""), "", Tabela1[[#This Row],[Saída]]-Tabela1[[#This Row],[Entrada]])</f>
        <v>#VALUE!</v>
      </c>
      <c r="U19" s="15" t="e">
        <f>IF(OR('Controle de CT'!$R19= "", 'Controle de CT'!$P19= ""), "", 'Controle de CT'!$R19-'Controle de CT'!$P19)</f>
        <v>#VALUE!</v>
      </c>
      <c r="V19" s="1"/>
      <c r="W19" s="2"/>
      <c r="X19" s="2"/>
    </row>
    <row r="20" spans="11:24" ht="14.45" hidden="1">
      <c r="K20" s="5">
        <v>46063</v>
      </c>
      <c r="L20" s="8" t="s">
        <v>45</v>
      </c>
      <c r="M20" s="9" t="str">
        <f>IF(Tabela1[[#This Row],[Motorista]]="","",IFERROR(_xlfn.XLOOKUP(Tabela1[[#This Row],[Motorista]],Base!A:A,Base!B:B),""))</f>
        <v>CIF</v>
      </c>
      <c r="N20" s="20" t="str">
        <f t="shared" si="0"/>
        <v>Finalizado</v>
      </c>
      <c r="O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" s="2">
        <v>0.3888888888888889</v>
      </c>
      <c r="Q20" s="2">
        <v>0.39583333333333331</v>
      </c>
      <c r="R20" s="2">
        <v>0.44444444444444442</v>
      </c>
      <c r="S20" s="16" t="s">
        <v>85</v>
      </c>
      <c r="T20" s="14">
        <f>IF(OR(Tabela1[[#This Row],[Entrada]]="",Tabela1[[#This Row],[Saída]]=""), "", Tabela1[[#This Row],[Saída]]-Tabela1[[#This Row],[Entrada]])</f>
        <v>4.8611111111111105E-2</v>
      </c>
      <c r="U20" s="15">
        <f>IF(OR('Controle de CT'!$R20= "", 'Controle de CT'!$P20= ""), "", 'Controle de CT'!$R20-'Controle de CT'!$P20)</f>
        <v>5.5555555555555525E-2</v>
      </c>
      <c r="V20" s="1"/>
      <c r="W20" s="2"/>
      <c r="X20" s="2"/>
    </row>
    <row r="21" spans="11:24" ht="14.45" hidden="1">
      <c r="K21" s="5">
        <v>46063</v>
      </c>
      <c r="L21" s="8" t="s">
        <v>52</v>
      </c>
      <c r="M21" s="9" t="str">
        <f>IF(Tabela1[[#This Row],[Motorista]]="","",IFERROR(_xlfn.XLOOKUP(Tabela1[[#This Row],[Motorista]],Base!A:A,Base!B:B),""))</f>
        <v>CIF</v>
      </c>
      <c r="N21" s="20" t="str">
        <f t="shared" si="0"/>
        <v>Finalizado</v>
      </c>
      <c r="O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" s="2">
        <v>0.3923611111111111</v>
      </c>
      <c r="Q21" s="2">
        <v>0.40972222222222221</v>
      </c>
      <c r="R21" s="2">
        <v>0.4513888888888889</v>
      </c>
      <c r="S21" s="16" t="s">
        <v>85</v>
      </c>
      <c r="T21" s="14">
        <f>IF(OR(Tabela1[[#This Row],[Entrada]]="",Tabela1[[#This Row],[Saída]]=""), "", Tabela1[[#This Row],[Saída]]-Tabela1[[#This Row],[Entrada]])</f>
        <v>4.1666666666666685E-2</v>
      </c>
      <c r="U21" s="15">
        <f>IF(OR('Controle de CT'!$R21= "", 'Controle de CT'!$P21= ""), "", 'Controle de CT'!$R21-'Controle de CT'!$P21)</f>
        <v>5.902777777777779E-2</v>
      </c>
      <c r="V21" s="1"/>
      <c r="W21" s="2"/>
      <c r="X21" s="2"/>
    </row>
    <row r="22" spans="11:24" ht="14.45" hidden="1">
      <c r="K22" s="5">
        <v>46063</v>
      </c>
      <c r="L22" s="8" t="s">
        <v>86</v>
      </c>
      <c r="M22" s="9" t="str">
        <f>IF(Tabela1[[#This Row],[Motorista]]="","",IFERROR(_xlfn.XLOOKUP(Tabela1[[#This Row],[Motorista]],Base!A:A,Base!B:B),""))</f>
        <v>FOB</v>
      </c>
      <c r="N22" s="20" t="str">
        <f t="shared" si="0"/>
        <v>Finalizado</v>
      </c>
      <c r="O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2" s="2">
        <v>0.44097222222222221</v>
      </c>
      <c r="Q22" s="2">
        <v>0.46250000000000002</v>
      </c>
      <c r="R22" s="2">
        <v>0.50555555555555554</v>
      </c>
      <c r="S22" s="16" t="s">
        <v>85</v>
      </c>
      <c r="T22" s="14">
        <f>IF(OR(Tabela1[[#This Row],[Entrada]]="",Tabela1[[#This Row],[Saída]]=""), "", Tabela1[[#This Row],[Saída]]-Tabela1[[#This Row],[Entrada]])</f>
        <v>4.3055555555555514E-2</v>
      </c>
      <c r="U22" s="15">
        <f>IF(OR('Controle de CT'!$R22= "", 'Controle de CT'!$P22= ""), "", 'Controle de CT'!$R22-'Controle de CT'!$P22)</f>
        <v>6.4583333333333326E-2</v>
      </c>
      <c r="V22" s="1"/>
      <c r="W22" s="2"/>
      <c r="X22" s="2"/>
    </row>
    <row r="23" spans="11:24" ht="14.45" hidden="1">
      <c r="K23" s="5">
        <v>46063</v>
      </c>
      <c r="L23" s="8" t="s">
        <v>87</v>
      </c>
      <c r="M23" s="9" t="str">
        <f>IF(Tabela1[[#This Row],[Motorista]]="","",IFERROR(_xlfn.XLOOKUP(Tabela1[[#This Row],[Motorista]],Base!A:A,Base!B:B),""))</f>
        <v>FOB</v>
      </c>
      <c r="N23" s="20" t="str">
        <f t="shared" si="0"/>
        <v>Finalizado</v>
      </c>
      <c r="O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3" s="2">
        <v>0.47430555555555554</v>
      </c>
      <c r="Q23" s="2">
        <v>0.50763888888888886</v>
      </c>
      <c r="R23" s="2">
        <v>0.54374999999999996</v>
      </c>
      <c r="S23" s="16" t="s">
        <v>85</v>
      </c>
      <c r="T23" s="14">
        <f>IF(OR(Tabela1[[#This Row],[Entrada]]="",Tabela1[[#This Row],[Saída]]=""), "", Tabela1[[#This Row],[Saída]]-Tabela1[[#This Row],[Entrada]])</f>
        <v>3.6111111111111094E-2</v>
      </c>
      <c r="U23" s="15">
        <f>IF(OR('Controle de CT'!$R23= "", 'Controle de CT'!$P23= ""), "", 'Controle de CT'!$R23-'Controle de CT'!$P23)</f>
        <v>6.944444444444442E-2</v>
      </c>
      <c r="V23" s="1"/>
      <c r="W23" s="2"/>
      <c r="X23" s="2"/>
    </row>
    <row r="24" spans="11:24" ht="14.45" hidden="1">
      <c r="K24" s="5">
        <v>46063</v>
      </c>
      <c r="L24" s="8" t="s">
        <v>95</v>
      </c>
      <c r="M24" s="9" t="str">
        <f>IF(Tabela1[[#This Row],[Motorista]]="","",IFERROR(_xlfn.XLOOKUP(Tabela1[[#This Row],[Motorista]],Base!A:A,Base!B:B),""))</f>
        <v>FOB</v>
      </c>
      <c r="N24" s="20" t="str">
        <f t="shared" si="0"/>
        <v>Finalizado</v>
      </c>
      <c r="O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" s="2">
        <v>0.51944444444444449</v>
      </c>
      <c r="Q24" s="2">
        <v>0.54652777777777772</v>
      </c>
      <c r="R24" s="2">
        <v>0.57013888888888886</v>
      </c>
      <c r="S24" s="16" t="s">
        <v>85</v>
      </c>
      <c r="T24" s="14">
        <f>IF(OR(Tabela1[[#This Row],[Entrada]]="",Tabela1[[#This Row],[Saída]]=""), "", Tabela1[[#This Row],[Saída]]-Tabela1[[#This Row],[Entrada]])</f>
        <v>2.3611111111111138E-2</v>
      </c>
      <c r="U24" s="15">
        <f>IF(OR('Controle de CT'!$R24= "", 'Controle de CT'!$P24= ""), "", 'Controle de CT'!$R24-'Controle de CT'!$P24)</f>
        <v>5.0694444444444375E-2</v>
      </c>
      <c r="V24" s="1"/>
      <c r="W24" s="2"/>
      <c r="X24" s="2"/>
    </row>
    <row r="25" spans="11:24" ht="14.45" hidden="1">
      <c r="K25" s="5">
        <v>46063</v>
      </c>
      <c r="L25" s="8" t="s">
        <v>96</v>
      </c>
      <c r="M25" s="9" t="str">
        <f>IF(Tabela1[[#This Row],[Motorista]]="","",IFERROR(_xlfn.XLOOKUP(Tabela1[[#This Row],[Motorista]],Base!A:A,Base!B:B),""))</f>
        <v>Transferência</v>
      </c>
      <c r="N25" s="20" t="str">
        <f t="shared" si="0"/>
        <v>Fila de Carregamento</v>
      </c>
      <c r="O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" s="4">
        <v>0.54166666666666663</v>
      </c>
      <c r="Q25" s="4">
        <v>0.54513888888888884</v>
      </c>
      <c r="S25" s="16" t="s">
        <v>97</v>
      </c>
      <c r="T25" s="14" t="str">
        <f>IF(OR(Tabela1[[#This Row],[Entrada]]="",Tabela1[[#This Row],[Saída]]=""), "", Tabela1[[#This Row],[Saída]]-Tabela1[[#This Row],[Entrada]])</f>
        <v/>
      </c>
      <c r="U25" s="15" t="str">
        <f>IF(OR('Controle de CT'!$R25= "", 'Controle de CT'!$P25= ""), "", 'Controle de CT'!$R25-'Controle de CT'!$P25)</f>
        <v/>
      </c>
      <c r="V25" s="1"/>
      <c r="W25" s="2"/>
      <c r="X25" s="2"/>
    </row>
    <row r="26" spans="11:24" ht="14.45" hidden="1">
      <c r="K26" s="5">
        <v>46063</v>
      </c>
      <c r="L26" s="8" t="s">
        <v>98</v>
      </c>
      <c r="M26" s="9" t="str">
        <f>IF(Tabela1[[#This Row],[Motorista]]="","",IFERROR(_xlfn.XLOOKUP(Tabela1[[#This Row],[Motorista]],Base!A:A,Base!B:B),""))</f>
        <v>FOB</v>
      </c>
      <c r="N26" s="20" t="str">
        <f t="shared" si="0"/>
        <v>Fila de Carregamento</v>
      </c>
      <c r="O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" s="4">
        <v>0.53819444444444442</v>
      </c>
      <c r="Q26" s="4">
        <v>0.55138888888888893</v>
      </c>
      <c r="S26" s="16" t="s">
        <v>97</v>
      </c>
      <c r="T26" s="14" t="str">
        <f>IF(OR(Tabela1[[#This Row],[Entrada]]="",Tabela1[[#This Row],[Saída]]=""), "", Tabela1[[#This Row],[Saída]]-Tabela1[[#This Row],[Entrada]])</f>
        <v/>
      </c>
      <c r="U26" s="15" t="str">
        <f>IF(OR('Controle de CT'!$R26= "", 'Controle de CT'!$P26= ""), "", 'Controle de CT'!$R26-'Controle de CT'!$P26)</f>
        <v/>
      </c>
      <c r="V26" s="1"/>
      <c r="W26" s="2"/>
      <c r="X26" s="2"/>
    </row>
    <row r="27" spans="11:24" ht="14.45" hidden="1">
      <c r="K27" s="5">
        <v>46063</v>
      </c>
      <c r="L27" s="8" t="s">
        <v>89</v>
      </c>
      <c r="M27" s="9" t="str">
        <f>IF(Tabela1[[#This Row],[Motorista]]="","",IFERROR(_xlfn.XLOOKUP(Tabela1[[#This Row],[Motorista]],Base!A:A,Base!B:B),""))</f>
        <v>FOB</v>
      </c>
      <c r="N27" s="20" t="str">
        <f t="shared" si="0"/>
        <v>Fila de Carregamento</v>
      </c>
      <c r="O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7" s="4">
        <v>0.54652777777777772</v>
      </c>
      <c r="Q27" s="4">
        <v>0.55833333333333335</v>
      </c>
      <c r="S27" s="16" t="s">
        <v>97</v>
      </c>
      <c r="T27" s="14" t="str">
        <f>IF(OR(Tabela1[[#This Row],[Entrada]]="",Tabela1[[#This Row],[Saída]]=""), "", Tabela1[[#This Row],[Saída]]-Tabela1[[#This Row],[Entrada]])</f>
        <v/>
      </c>
      <c r="U27" s="15" t="str">
        <f>IF(OR('Controle de CT'!$R27= "", 'Controle de CT'!$P27= ""), "", 'Controle de CT'!$R27-'Controle de CT'!$P27)</f>
        <v/>
      </c>
      <c r="V27" s="1"/>
      <c r="W27" s="2"/>
      <c r="X27" s="2"/>
    </row>
    <row r="28" spans="11:24" ht="14.45" hidden="1">
      <c r="K28" s="5">
        <v>46063</v>
      </c>
      <c r="L28" s="8" t="s">
        <v>99</v>
      </c>
      <c r="M28" s="9" t="str">
        <f>IF(Tabela1[[#This Row],[Motorista]]="","",IFERROR(_xlfn.XLOOKUP(Tabela1[[#This Row],[Motorista]],Base!A:A,Base!B:B),""))</f>
        <v>RZD</v>
      </c>
      <c r="N28" s="20" t="str">
        <f t="shared" si="0"/>
        <v>Aguardando Entrada</v>
      </c>
      <c r="O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" s="4">
        <v>0.61388888888888893</v>
      </c>
      <c r="Q28" s="4"/>
      <c r="S28" s="16"/>
      <c r="T28" s="14" t="str">
        <f>IF(OR(Tabela1[[#This Row],[Entrada]]="",Tabela1[[#This Row],[Saída]]=""), "", Tabela1[[#This Row],[Saída]]-Tabela1[[#This Row],[Entrada]])</f>
        <v/>
      </c>
      <c r="U28" s="15" t="str">
        <f>IF(OR('Controle de CT'!$R28= "", 'Controle de CT'!$P28= ""), "", 'Controle de CT'!$R28-'Controle de CT'!$P28)</f>
        <v/>
      </c>
      <c r="V28" s="1"/>
      <c r="W28" s="2"/>
      <c r="X28" s="2"/>
    </row>
    <row r="29" spans="11:24" ht="14.45" hidden="1">
      <c r="K29" s="5">
        <v>46063</v>
      </c>
      <c r="L29" s="8" t="s">
        <v>100</v>
      </c>
      <c r="M29" s="9" t="str">
        <f>IF(Tabela1[[#This Row],[Motorista]]="","",IFERROR(_xlfn.XLOOKUP(Tabela1[[#This Row],[Motorista]],Base!A:A,Base!B:B),""))</f>
        <v>Transferência</v>
      </c>
      <c r="N29" s="20" t="str">
        <f t="shared" si="0"/>
        <v>Aguardando Entrada</v>
      </c>
      <c r="O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" s="4">
        <v>0.65902777777777777</v>
      </c>
      <c r="Q29" s="4"/>
      <c r="S29" s="16"/>
      <c r="T29" s="14" t="str">
        <f>IF(OR(Tabela1[[#This Row],[Entrada]]="",Tabela1[[#This Row],[Saída]]=""), "", Tabela1[[#This Row],[Saída]]-Tabela1[[#This Row],[Entrada]])</f>
        <v/>
      </c>
      <c r="U29" s="15" t="str">
        <f>IF(OR('Controle de CT'!$R29= "", 'Controle de CT'!$P29= ""), "", 'Controle de CT'!$R29-'Controle de CT'!$P29)</f>
        <v/>
      </c>
      <c r="V29" s="1"/>
      <c r="W29" s="2"/>
      <c r="X29" s="2"/>
    </row>
    <row r="30" spans="11:24" ht="14.45" hidden="1">
      <c r="K30" s="5">
        <v>46063</v>
      </c>
      <c r="L30" s="8" t="s">
        <v>91</v>
      </c>
      <c r="M30" s="9" t="str">
        <f>IF(Tabela1[[#This Row],[Motorista]]="","",IFERROR(_xlfn.XLOOKUP(Tabela1[[#This Row],[Motorista]],Base!A:A,Base!B:B),""))</f>
        <v>FOB</v>
      </c>
      <c r="N30" s="20" t="str">
        <f t="shared" si="0"/>
        <v>Finalizado</v>
      </c>
      <c r="O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" s="4">
        <v>0.5625</v>
      </c>
      <c r="Q30" s="4">
        <v>0.58333333333333337</v>
      </c>
      <c r="R30" s="2">
        <v>0.66597222222222219</v>
      </c>
      <c r="S30" s="16" t="s">
        <v>85</v>
      </c>
      <c r="T30" s="14">
        <f>IF(OR(Tabela1[[#This Row],[Entrada]]="",Tabela1[[#This Row],[Saída]]=""), "", Tabela1[[#This Row],[Saída]]-Tabela1[[#This Row],[Entrada]])</f>
        <v>8.2638888888888817E-2</v>
      </c>
      <c r="U30" s="15">
        <f>IF(OR('Controle de CT'!$R30= "", 'Controle de CT'!$P30= ""), "", 'Controle de CT'!$R30-'Controle de CT'!$P30)</f>
        <v>0.10347222222222219</v>
      </c>
      <c r="V30" s="1"/>
      <c r="W30" s="2"/>
      <c r="X30" s="2"/>
    </row>
    <row r="31" spans="11:24" ht="15" hidden="1" customHeight="1">
      <c r="K31" s="5">
        <v>46063</v>
      </c>
      <c r="L31" s="8" t="s">
        <v>93</v>
      </c>
      <c r="M31" s="9" t="str">
        <f>IF(Tabela1[[#This Row],[Motorista]]="","",IFERROR(_xlfn.XLOOKUP(Tabela1[[#This Row],[Motorista]],Base!A:A,Base!B:B),""))</f>
        <v>FOB</v>
      </c>
      <c r="N31" s="20" t="str">
        <f t="shared" si="0"/>
        <v>Aguardando Entrada</v>
      </c>
      <c r="O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1" s="4">
        <v>0.68472222222222223</v>
      </c>
      <c r="Q31" s="4"/>
      <c r="S31" s="16"/>
      <c r="T31" s="14" t="str">
        <f>IF(OR(Tabela1[[#This Row],[Entrada]]="",Tabela1[[#This Row],[Saída]]=""), "", Tabela1[[#This Row],[Saída]]-Tabela1[[#This Row],[Entrada]])</f>
        <v/>
      </c>
      <c r="U31" s="15" t="str">
        <f>IF(OR('Controle de CT'!$R31= "", 'Controle de CT'!$P31= ""), "", 'Controle de CT'!$R31-'Controle de CT'!$P31)</f>
        <v/>
      </c>
      <c r="V31" s="1"/>
      <c r="W31" s="2"/>
      <c r="X31" s="2"/>
    </row>
    <row r="32" spans="11:24" ht="15" hidden="1" customHeight="1">
      <c r="K32" s="3">
        <v>46064</v>
      </c>
      <c r="L32" s="7" t="s">
        <v>86</v>
      </c>
      <c r="M32" s="22" t="str">
        <f>IF(Tabela1[[#This Row],[Motorista]]="","",IFERROR(_xlfn.XLOOKUP(Tabela1[[#This Row],[Motorista]],Base!A:A,Base!B:B),""))</f>
        <v>FOB</v>
      </c>
      <c r="N32" s="21" t="str">
        <f t="shared" si="0"/>
        <v>Finalizado</v>
      </c>
      <c r="O32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2" s="2">
        <v>0.25277777777777777</v>
      </c>
      <c r="Q32" s="2">
        <v>0.29444444444444445</v>
      </c>
      <c r="R32" s="2">
        <v>0.33333333333333331</v>
      </c>
      <c r="S32" s="2" t="s">
        <v>85</v>
      </c>
      <c r="T32" s="14">
        <f>IF(OR(Tabela1[[#This Row],[Entrada]]="",Tabela1[[#This Row],[Saída]]=""), "", Tabela1[[#This Row],[Saída]]-Tabela1[[#This Row],[Entrada]])</f>
        <v>3.8888888888888862E-2</v>
      </c>
      <c r="U32" s="15">
        <f>IF(OR('Controle de CT'!$R32= "", 'Controle de CT'!$P32= ""), "", 'Controle de CT'!$R32-'Controle de CT'!$P32)</f>
        <v>8.0555555555555547E-2</v>
      </c>
      <c r="V32" s="1"/>
      <c r="W32" s="2"/>
      <c r="X32" s="2"/>
    </row>
    <row r="33" spans="11:24" ht="15" hidden="1" customHeight="1">
      <c r="K33" s="3">
        <v>46064</v>
      </c>
      <c r="L33" s="7" t="s">
        <v>87</v>
      </c>
      <c r="M33" s="22" t="str">
        <f>IF(Tabela1[[#This Row],[Motorista]]="","",IFERROR(_xlfn.XLOOKUP(Tabela1[[#This Row],[Motorista]],Base!A:A,Base!B:B),""))</f>
        <v>FOB</v>
      </c>
      <c r="N33" s="21" t="str">
        <f t="shared" si="0"/>
        <v>Finalizado</v>
      </c>
      <c r="O33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" s="2">
        <v>0.24791666666666667</v>
      </c>
      <c r="Q33" s="2">
        <v>0.29236111111111113</v>
      </c>
      <c r="R33" s="2">
        <v>0.33333333333333331</v>
      </c>
      <c r="S33" s="2" t="s">
        <v>85</v>
      </c>
      <c r="T33" s="14">
        <f>IF(OR(Tabela1[[#This Row],[Entrada]]="",Tabela1[[#This Row],[Saída]]=""), "", Tabela1[[#This Row],[Saída]]-Tabela1[[#This Row],[Entrada]])</f>
        <v>4.0972222222222188E-2</v>
      </c>
      <c r="U33" s="15">
        <f>IF(OR('Controle de CT'!$R33= "", 'Controle de CT'!$P33= ""), "", 'Controle de CT'!$R33-'Controle de CT'!$P33)</f>
        <v>8.5416666666666641E-2</v>
      </c>
      <c r="V33" s="1"/>
      <c r="W33" s="2"/>
      <c r="X33" s="2"/>
    </row>
    <row r="34" spans="11:24" ht="15" hidden="1" customHeight="1">
      <c r="K34" s="3">
        <v>46064</v>
      </c>
      <c r="L34" s="7" t="s">
        <v>90</v>
      </c>
      <c r="M34" s="22" t="str">
        <f>IF(Tabela1[[#This Row],[Motorista]]="","",IFERROR(_xlfn.XLOOKUP(Tabela1[[#This Row],[Motorista]],Base!A:A,Base!B:B),""))</f>
        <v>FOB</v>
      </c>
      <c r="N34" s="21" t="str">
        <f t="shared" si="0"/>
        <v>Finalizado</v>
      </c>
      <c r="O34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" s="2">
        <v>0.24930555555555556</v>
      </c>
      <c r="Q34" s="2">
        <v>0.32361111111111113</v>
      </c>
      <c r="R34" s="2">
        <v>3.3541666666666665</v>
      </c>
      <c r="S34" s="2" t="s">
        <v>85</v>
      </c>
      <c r="T34" s="14">
        <f>IF(OR(Tabela1[[#This Row],[Entrada]]="",Tabela1[[#This Row],[Saída]]=""), "", Tabela1[[#This Row],[Saída]]-Tabela1[[#This Row],[Entrada]])</f>
        <v>3.0305555555555554</v>
      </c>
      <c r="U34" s="15">
        <f>IF(OR('Controle de CT'!$R34= "", 'Controle de CT'!$P34= ""), "", 'Controle de CT'!$R34-'Controle de CT'!$P34)</f>
        <v>3.1048611111111111</v>
      </c>
      <c r="V34" s="1"/>
      <c r="W34" s="2"/>
      <c r="X34" s="2"/>
    </row>
    <row r="35" spans="11:24" ht="15" hidden="1" customHeight="1">
      <c r="K35" s="3">
        <v>46064</v>
      </c>
      <c r="L35" s="7" t="s">
        <v>49</v>
      </c>
      <c r="M35" s="22" t="str">
        <f>IF(Tabela1[[#This Row],[Motorista]]="","",IFERROR(_xlfn.XLOOKUP(Tabela1[[#This Row],[Motorista]],Base!A:A,Base!B:B),""))</f>
        <v>CIF</v>
      </c>
      <c r="N35" s="21" t="str">
        <f t="shared" si="0"/>
        <v>Finalizado</v>
      </c>
      <c r="O35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5" s="2">
        <v>0.2722222222222222</v>
      </c>
      <c r="Q35" s="2">
        <v>0.27847222222222223</v>
      </c>
      <c r="R35" s="2">
        <v>0.33750000000000002</v>
      </c>
      <c r="S35" s="2" t="s">
        <v>85</v>
      </c>
      <c r="T35" s="14">
        <f>IF(OR(Tabela1[[#This Row],[Entrada]]="",Tabela1[[#This Row],[Saída]]=""), "", Tabela1[[#This Row],[Saída]]-Tabela1[[#This Row],[Entrada]])</f>
        <v>5.902777777777779E-2</v>
      </c>
      <c r="U35" s="15">
        <f>IF(OR('Controle de CT'!$R35= "", 'Controle de CT'!$P35= ""), "", 'Controle de CT'!$R35-'Controle de CT'!$P35)</f>
        <v>6.5277777777777823E-2</v>
      </c>
      <c r="V35" s="1"/>
      <c r="W35" s="2"/>
      <c r="X35" s="2"/>
    </row>
    <row r="36" spans="11:24" ht="15" hidden="1" customHeight="1">
      <c r="K36" s="3">
        <v>46064</v>
      </c>
      <c r="L36" s="7" t="s">
        <v>47</v>
      </c>
      <c r="M36" s="22" t="str">
        <f>IF(Tabela1[[#This Row],[Motorista]]="","",IFERROR(_xlfn.XLOOKUP(Tabela1[[#This Row],[Motorista]],Base!A:A,Base!B:B),""))</f>
        <v>CIF</v>
      </c>
      <c r="N36" s="21" t="str">
        <f t="shared" si="0"/>
        <v>Finalizado</v>
      </c>
      <c r="O36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" s="2">
        <v>0.29166666666666669</v>
      </c>
      <c r="Q36" s="2">
        <v>0.29583333333333334</v>
      </c>
      <c r="R36" s="2">
        <v>0.38055555555555554</v>
      </c>
      <c r="S36" s="2" t="s">
        <v>85</v>
      </c>
      <c r="T36" s="14">
        <f>IF(OR(Tabela1[[#This Row],[Entrada]]="",Tabela1[[#This Row],[Saída]]=""), "", Tabela1[[#This Row],[Saída]]-Tabela1[[#This Row],[Entrada]])</f>
        <v>8.4722222222222199E-2</v>
      </c>
      <c r="U36" s="15">
        <f>IF(OR('Controle de CT'!$R36= "", 'Controle de CT'!$P36= ""), "", 'Controle de CT'!$R36-'Controle de CT'!$P36)</f>
        <v>8.8888888888888851E-2</v>
      </c>
      <c r="V36" s="1"/>
      <c r="W36" s="2"/>
      <c r="X36" s="2"/>
    </row>
    <row r="37" spans="11:24" ht="15" hidden="1" customHeight="1">
      <c r="K37" s="3">
        <v>46064</v>
      </c>
      <c r="L37" s="7" t="s">
        <v>48</v>
      </c>
      <c r="M37" s="22" t="str">
        <f>IF(Tabela1[[#This Row],[Motorista]]="","",IFERROR(_xlfn.XLOOKUP(Tabela1[[#This Row],[Motorista]],Base!A:A,Base!B:B),""))</f>
        <v>CIF</v>
      </c>
      <c r="N37" s="21" t="str">
        <f t="shared" si="0"/>
        <v>Finalizado</v>
      </c>
      <c r="O37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" s="2">
        <v>0.28888888888888886</v>
      </c>
      <c r="Q37" s="2">
        <v>0.29444444444444445</v>
      </c>
      <c r="R37" s="2">
        <v>0.35416666666666669</v>
      </c>
      <c r="S37" s="2" t="s">
        <v>85</v>
      </c>
      <c r="T37" s="14">
        <f>IF(OR(Tabela1[[#This Row],[Entrada]]="",Tabela1[[#This Row],[Saída]]=""), "", Tabela1[[#This Row],[Saída]]-Tabela1[[#This Row],[Entrada]])</f>
        <v>5.9722222222222232E-2</v>
      </c>
      <c r="U37" s="15">
        <f>IF(OR('Controle de CT'!$R37= "", 'Controle de CT'!$P37= ""), "", 'Controle de CT'!$R37-'Controle de CT'!$P37)</f>
        <v>6.5277777777777823E-2</v>
      </c>
      <c r="V37" s="1"/>
      <c r="W37" s="2"/>
      <c r="X37" s="2"/>
    </row>
    <row r="38" spans="11:24" ht="15" hidden="1" customHeight="1">
      <c r="K38" s="3">
        <v>46064</v>
      </c>
      <c r="L38" s="7" t="s">
        <v>57</v>
      </c>
      <c r="M38" s="22" t="str">
        <f>IF(Tabela1[[#This Row],[Motorista]]="","",IFERROR(_xlfn.XLOOKUP(Tabela1[[#This Row],[Motorista]],Base!A:A,Base!B:B),""))</f>
        <v>CIF</v>
      </c>
      <c r="N38" s="21" t="str">
        <f t="shared" si="0"/>
        <v>Finalizado</v>
      </c>
      <c r="O38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" s="2">
        <v>0.28958333333333336</v>
      </c>
      <c r="Q38" s="2">
        <v>0.32083333333333336</v>
      </c>
      <c r="R38" s="2">
        <v>0.375</v>
      </c>
      <c r="S38" s="2" t="s">
        <v>85</v>
      </c>
      <c r="T38" s="14">
        <f>IF(OR(Tabela1[[#This Row],[Entrada]]="",Tabela1[[#This Row],[Saída]]=""), "", Tabela1[[#This Row],[Saída]]-Tabela1[[#This Row],[Entrada]])</f>
        <v>5.4166666666666641E-2</v>
      </c>
      <c r="U38" s="15">
        <f>IF(OR('Controle de CT'!$R38= "", 'Controle de CT'!$P38= ""), "", 'Controle de CT'!$R38-'Controle de CT'!$P38)</f>
        <v>8.5416666666666641E-2</v>
      </c>
      <c r="V38" s="1"/>
      <c r="W38" s="2"/>
      <c r="X38" s="2"/>
    </row>
    <row r="39" spans="11:24" ht="15" hidden="1" customHeight="1">
      <c r="K39" s="3">
        <v>46064</v>
      </c>
      <c r="L39" s="7" t="s">
        <v>56</v>
      </c>
      <c r="M39" s="22" t="str">
        <f>IF(Tabela1[[#This Row],[Motorista]]="","",IFERROR(_xlfn.XLOOKUP(Tabela1[[#This Row],[Motorista]],Base!A:A,Base!B:B),""))</f>
        <v/>
      </c>
      <c r="N39" s="21" t="str">
        <f t="shared" si="0"/>
        <v>Finalizado</v>
      </c>
      <c r="O39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9" s="2">
        <v>0.29791666666666666</v>
      </c>
      <c r="Q39" s="2">
        <v>0.32361111111111113</v>
      </c>
      <c r="R39" s="2">
        <v>0.37083333333333335</v>
      </c>
      <c r="S39" s="2" t="s">
        <v>85</v>
      </c>
      <c r="T39" s="14">
        <f>IF(OR(Tabela1[[#This Row],[Entrada]]="",Tabela1[[#This Row],[Saída]]=""), "", Tabela1[[#This Row],[Saída]]-Tabela1[[#This Row],[Entrada]])</f>
        <v>4.7222222222222221E-2</v>
      </c>
      <c r="U39" s="15">
        <f>IF(OR('Controle de CT'!$R39= "", 'Controle de CT'!$P39= ""), "", 'Controle de CT'!$R39-'Controle de CT'!$P39)</f>
        <v>7.2916666666666685E-2</v>
      </c>
      <c r="V39" s="1"/>
      <c r="W39" s="2"/>
      <c r="X39" s="2"/>
    </row>
    <row r="40" spans="11:24" ht="15" hidden="1" customHeight="1">
      <c r="K40" s="3">
        <v>46064</v>
      </c>
      <c r="L40" s="7" t="s">
        <v>101</v>
      </c>
      <c r="M40" s="22" t="str">
        <f>IF(Tabela1[[#This Row],[Motorista]]="","",IFERROR(_xlfn.XLOOKUP(Tabela1[[#This Row],[Motorista]],Base!A:A,Base!B:B),""))</f>
        <v>FOB</v>
      </c>
      <c r="N40" s="21" t="str">
        <f t="shared" si="0"/>
        <v>Fila de Carregamento</v>
      </c>
      <c r="O40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0" s="2">
        <v>0.30486111111111114</v>
      </c>
      <c r="Q40" s="2">
        <v>0.42916666666666664</v>
      </c>
      <c r="S40" s="2" t="s">
        <v>85</v>
      </c>
      <c r="T40" s="14" t="str">
        <f>IF(OR(Tabela1[[#This Row],[Entrada]]="",Tabela1[[#This Row],[Saída]]=""), "", Tabela1[[#This Row],[Saída]]-Tabela1[[#This Row],[Entrada]])</f>
        <v/>
      </c>
      <c r="U40" s="15" t="str">
        <f>IF(OR('Controle de CT'!$R40= "", 'Controle de CT'!$P40= ""), "", 'Controle de CT'!$R40-'Controle de CT'!$P40)</f>
        <v/>
      </c>
      <c r="V40" s="1"/>
      <c r="W40" s="2"/>
      <c r="X40" s="2"/>
    </row>
    <row r="41" spans="11:24" ht="15" hidden="1" customHeight="1">
      <c r="K41" s="3">
        <v>46064</v>
      </c>
      <c r="L41" s="7" t="s">
        <v>92</v>
      </c>
      <c r="M41" s="22" t="str">
        <f>IF(Tabela1[[#This Row],[Motorista]]="","",IFERROR(_xlfn.XLOOKUP(Tabela1[[#This Row],[Motorista]],Base!A:A,Base!B:B),""))</f>
        <v>FOB</v>
      </c>
      <c r="N41" s="21" t="str">
        <f t="shared" ref="N41:N72" si="1">IF(R41&lt;&gt;"","Finalizado", IF(Q41&lt;&gt;"","Fila de Carregamento", IF(P41&lt;&gt;"","Aguardando Entrada","")))</f>
        <v>Finalizado</v>
      </c>
      <c r="O41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" s="2">
        <v>0.33888888888888891</v>
      </c>
      <c r="Q41" s="2">
        <v>0.36249999999999999</v>
      </c>
      <c r="R41" s="2">
        <v>0.41319444444444442</v>
      </c>
      <c r="S41" s="2" t="s">
        <v>85</v>
      </c>
      <c r="T41" s="14">
        <f>IF(OR(Tabela1[[#This Row],[Entrada]]="",Tabela1[[#This Row],[Saída]]=""), "", Tabela1[[#This Row],[Saída]]-Tabela1[[#This Row],[Entrada]])</f>
        <v>5.0694444444444431E-2</v>
      </c>
      <c r="U41" s="15">
        <f>IF(OR('Controle de CT'!$R41= "", 'Controle de CT'!$P41= ""), "", 'Controle de CT'!$R41-'Controle de CT'!$P41)</f>
        <v>7.4305555555555514E-2</v>
      </c>
      <c r="V41" s="1"/>
      <c r="W41" s="2"/>
      <c r="X41" s="2"/>
    </row>
    <row r="42" spans="11:24" ht="15" hidden="1" customHeight="1">
      <c r="K42" s="3">
        <v>46064</v>
      </c>
      <c r="L42" s="7" t="s">
        <v>93</v>
      </c>
      <c r="M42" s="22" t="str">
        <f>IF(Tabela1[[#This Row],[Motorista]]="","",IFERROR(_xlfn.XLOOKUP(Tabela1[[#This Row],[Motorista]],Base!A:A,Base!B:B),""))</f>
        <v>FOB</v>
      </c>
      <c r="N42" s="21" t="str">
        <f t="shared" si="1"/>
        <v>Finalizado</v>
      </c>
      <c r="O42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" s="2">
        <v>0.3576388888888889</v>
      </c>
      <c r="Q42" s="2">
        <v>0.38541666666666669</v>
      </c>
      <c r="R42" s="2">
        <v>0.43472222222222223</v>
      </c>
      <c r="S42" s="2" t="s">
        <v>85</v>
      </c>
      <c r="T42" s="14">
        <f>IF(OR(Tabela1[[#This Row],[Entrada]]="",Tabela1[[#This Row],[Saída]]=""), "", Tabela1[[#This Row],[Saída]]-Tabela1[[#This Row],[Entrada]])</f>
        <v>4.9305555555555547E-2</v>
      </c>
      <c r="U42" s="15">
        <f>IF(OR('Controle de CT'!$R42= "", 'Controle de CT'!$P42= ""), "", 'Controle de CT'!$R42-'Controle de CT'!$P42)</f>
        <v>7.7083333333333337E-2</v>
      </c>
      <c r="V42" s="1"/>
      <c r="W42" s="2"/>
      <c r="X42" s="2"/>
    </row>
    <row r="43" spans="11:24" ht="15" hidden="1" customHeight="1">
      <c r="K43" s="3">
        <v>46064</v>
      </c>
      <c r="L43" s="7" t="s">
        <v>45</v>
      </c>
      <c r="M43" s="22" t="str">
        <f>IF(Tabela1[[#This Row],[Motorista]]="","",IFERROR(_xlfn.XLOOKUP(Tabela1[[#This Row],[Motorista]],Base!A:A,Base!B:B),""))</f>
        <v>CIF</v>
      </c>
      <c r="N43" s="21" t="str">
        <f t="shared" si="1"/>
        <v>Finalizado</v>
      </c>
      <c r="O43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" s="2">
        <v>0.36805555555555558</v>
      </c>
      <c r="Q43" s="2">
        <v>0.42083333333333334</v>
      </c>
      <c r="R43" s="2">
        <v>0.41666666666666669</v>
      </c>
      <c r="S43" s="2" t="s">
        <v>85</v>
      </c>
      <c r="T43" s="14">
        <f>IF(OR(Tabela1[[#This Row],[Entrada]]="",Tabela1[[#This Row],[Saída]]=""), "", Tabela1[[#This Row],[Saída]]-Tabela1[[#This Row],[Entrada]])</f>
        <v>-4.1666666666666519E-3</v>
      </c>
      <c r="U43" s="15">
        <f>IF(OR('Controle de CT'!$R43= "", 'Controle de CT'!$P43= ""), "", 'Controle de CT'!$R43-'Controle de CT'!$P43)</f>
        <v>4.8611111111111105E-2</v>
      </c>
      <c r="V43" s="1"/>
      <c r="W43" s="2"/>
      <c r="X43" s="2"/>
    </row>
    <row r="44" spans="11:24" ht="15" hidden="1" customHeight="1">
      <c r="K44" s="3">
        <v>46064</v>
      </c>
      <c r="L44" s="7" t="s">
        <v>52</v>
      </c>
      <c r="M44" s="22" t="str">
        <f>IF(Tabela1[[#This Row],[Motorista]]="","",IFERROR(_xlfn.XLOOKUP(Tabela1[[#This Row],[Motorista]],Base!A:A,Base!B:B),""))</f>
        <v>CIF</v>
      </c>
      <c r="N44" s="21" t="str">
        <f t="shared" si="1"/>
        <v>Finalizado</v>
      </c>
      <c r="O44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" s="2">
        <v>0.43055555555555558</v>
      </c>
      <c r="Q44" s="2">
        <v>0.4375</v>
      </c>
      <c r="R44" s="2">
        <v>0.49722222222222223</v>
      </c>
      <c r="S44" s="2" t="s">
        <v>85</v>
      </c>
      <c r="T44" s="14">
        <f>IF(OR(Tabela1[[#This Row],[Entrada]]="",Tabela1[[#This Row],[Saída]]=""), "", Tabela1[[#This Row],[Saída]]-Tabela1[[#This Row],[Entrada]])</f>
        <v>5.9722222222222232E-2</v>
      </c>
      <c r="U44" s="15">
        <f>IF(OR('Controle de CT'!$R44= "", 'Controle de CT'!$P44= ""), "", 'Controle de CT'!$R44-'Controle de CT'!$P44)</f>
        <v>6.6666666666666652E-2</v>
      </c>
      <c r="V44" s="1"/>
      <c r="W44" s="2"/>
      <c r="X44" s="2"/>
    </row>
    <row r="45" spans="11:24" ht="15" hidden="1" customHeight="1">
      <c r="K45" s="3">
        <v>46064</v>
      </c>
      <c r="L45" s="7" t="s">
        <v>87</v>
      </c>
      <c r="M45" s="22" t="str">
        <f>IF(Tabela1[[#This Row],[Motorista]]="","",IFERROR(_xlfn.XLOOKUP(Tabela1[[#This Row],[Motorista]],Base!A:A,Base!B:B),""))</f>
        <v>FOB</v>
      </c>
      <c r="N45" s="21" t="str">
        <f t="shared" si="1"/>
        <v>Fila de Carregamento</v>
      </c>
      <c r="O45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5" s="2">
        <v>0.44861111111111113</v>
      </c>
      <c r="Q45" s="2">
        <v>0.50624999999999998</v>
      </c>
      <c r="S45" s="2" t="s">
        <v>85</v>
      </c>
      <c r="T45" s="14" t="str">
        <f>IF(OR(Tabela1[[#This Row],[Entrada]]="",Tabela1[[#This Row],[Saída]]=""), "", Tabela1[[#This Row],[Saída]]-Tabela1[[#This Row],[Entrada]])</f>
        <v/>
      </c>
      <c r="U45" s="15" t="str">
        <f>IF(OR('Controle de CT'!$R45= "", 'Controle de CT'!$P45= ""), "", 'Controle de CT'!$R45-'Controle de CT'!$P45)</f>
        <v/>
      </c>
      <c r="V45" s="1"/>
      <c r="W45" s="2"/>
      <c r="X45" s="2"/>
    </row>
    <row r="46" spans="11:24" ht="15" hidden="1" customHeight="1">
      <c r="K46" s="5">
        <v>46064</v>
      </c>
      <c r="L46" s="8" t="s">
        <v>91</v>
      </c>
      <c r="M46" s="9" t="str">
        <f>IF(Tabela1[[#This Row],[Motorista]]="","",IFERROR(_xlfn.XLOOKUP(Tabela1[[#This Row],[Motorista]],Base!A:A,Base!B:B),""))</f>
        <v>FOB</v>
      </c>
      <c r="N46" s="20" t="str">
        <f t="shared" si="1"/>
        <v>Fila de Carregamento</v>
      </c>
      <c r="O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" s="4">
        <v>0.52986111111111112</v>
      </c>
      <c r="Q46" s="4">
        <v>0.54374999999999996</v>
      </c>
      <c r="R46" s="23"/>
      <c r="S46" s="16" t="s">
        <v>85</v>
      </c>
      <c r="T46" s="14" t="str">
        <f>IF(OR(Tabela1[[#This Row],[Entrada]]="",Tabela1[[#This Row],[Saída]]=""), "", Tabela1[[#This Row],[Saída]]-Tabela1[[#This Row],[Entrada]])</f>
        <v/>
      </c>
      <c r="U46" s="15" t="str">
        <f>IF(OR('Controle de CT'!$R46= "", 'Controle de CT'!$P46= ""), "", 'Controle de CT'!$R46-'Controle de CT'!$P46)</f>
        <v/>
      </c>
      <c r="V46" s="1"/>
      <c r="W46" s="2"/>
      <c r="X46" s="2"/>
    </row>
    <row r="47" spans="11:24" ht="15" hidden="1" customHeight="1">
      <c r="K47" s="5">
        <v>46064</v>
      </c>
      <c r="L47" s="8" t="s">
        <v>86</v>
      </c>
      <c r="M47" s="9" t="str">
        <f>IF(Tabela1[[#This Row],[Motorista]]="","",IFERROR(_xlfn.XLOOKUP(Tabela1[[#This Row],[Motorista]],Base!A:A,Base!B:B),""))</f>
        <v>FOB</v>
      </c>
      <c r="N47" s="20" t="str">
        <f t="shared" si="1"/>
        <v>Fila de Carregamento</v>
      </c>
      <c r="O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7" s="2">
        <v>0.56527777777777777</v>
      </c>
      <c r="Q47" s="2">
        <v>0.5756944444444444</v>
      </c>
      <c r="R47" s="16"/>
      <c r="S47" s="16" t="s">
        <v>85</v>
      </c>
      <c r="T47" s="14" t="str">
        <f>IF(OR(Tabela1[[#This Row],[Entrada]]="",Tabela1[[#This Row],[Saída]]=""), "", Tabela1[[#This Row],[Saída]]-Tabela1[[#This Row],[Entrada]])</f>
        <v/>
      </c>
      <c r="U47" s="15" t="str">
        <f>IF(OR('Controle de CT'!$R47= "", 'Controle de CT'!$P47= ""), "", 'Controle de CT'!$R47-'Controle de CT'!$P47)</f>
        <v/>
      </c>
      <c r="V47" s="1"/>
      <c r="W47" s="2"/>
      <c r="X47" s="2"/>
    </row>
    <row r="48" spans="11:24" ht="15" hidden="1" customHeight="1">
      <c r="K48" s="5">
        <v>46064</v>
      </c>
      <c r="L48" s="8" t="s">
        <v>102</v>
      </c>
      <c r="M48" s="9" t="str">
        <f>IF(Tabela1[[#This Row],[Motorista]]="","",IFERROR(_xlfn.XLOOKUP(Tabela1[[#This Row],[Motorista]],Base!A:A,Base!B:B),""))</f>
        <v>Transferência</v>
      </c>
      <c r="N48" s="20" t="str">
        <f t="shared" si="1"/>
        <v>Aguardando Entrada</v>
      </c>
      <c r="O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8" s="2">
        <v>0.58819444444444446</v>
      </c>
      <c r="R48" s="16"/>
      <c r="S48" s="16" t="s">
        <v>97</v>
      </c>
      <c r="T48" s="14" t="str">
        <f>IF(OR(Tabela1[[#This Row],[Entrada]]="",Tabela1[[#This Row],[Saída]]=""), "", Tabela1[[#This Row],[Saída]]-Tabela1[[#This Row],[Entrada]])</f>
        <v/>
      </c>
      <c r="U48" s="15" t="str">
        <f>IF(OR('Controle de CT'!$R48= "", 'Controle de CT'!$P48= ""), "", 'Controle de CT'!$R48-'Controle de CT'!$P48)</f>
        <v/>
      </c>
      <c r="V48" s="1"/>
      <c r="W48" s="2"/>
      <c r="X48" s="2"/>
    </row>
    <row r="49" spans="11:24" ht="15" hidden="1" customHeight="1">
      <c r="K49" s="5">
        <v>46064</v>
      </c>
      <c r="L49" s="8" t="s">
        <v>49</v>
      </c>
      <c r="M49" s="9" t="str">
        <f>IF(Tabela1[[#This Row],[Motorista]]="","",IFERROR(_xlfn.XLOOKUP(Tabela1[[#This Row],[Motorista]],Base!A:A,Base!B:B),""))</f>
        <v>CIF</v>
      </c>
      <c r="N49" s="20" t="str">
        <f t="shared" si="1"/>
        <v>Fila de Carregamento</v>
      </c>
      <c r="O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" s="4">
        <v>0.66111111111111109</v>
      </c>
      <c r="Q49" s="4">
        <v>0.67986111111111114</v>
      </c>
      <c r="R49" s="23"/>
      <c r="S49" s="16" t="s">
        <v>97</v>
      </c>
      <c r="T49" s="14" t="str">
        <f>IF(OR(Tabela1[[#This Row],[Entrada]]="",Tabela1[[#This Row],[Saída]]=""), "", Tabela1[[#This Row],[Saída]]-Tabela1[[#This Row],[Entrada]])</f>
        <v/>
      </c>
      <c r="U49" s="15" t="str">
        <f>IF(OR('Controle de CT'!$R49= "", 'Controle de CT'!$P49= ""), "", 'Controle de CT'!$R49-'Controle de CT'!$P49)</f>
        <v/>
      </c>
      <c r="V49" s="1"/>
      <c r="W49" s="2"/>
      <c r="X49" s="2"/>
    </row>
    <row r="50" spans="11:24" ht="15" hidden="1" customHeight="1">
      <c r="K50" s="5">
        <v>46064</v>
      </c>
      <c r="L50" s="8" t="s">
        <v>103</v>
      </c>
      <c r="M50" s="9" t="str">
        <f>IF(Tabela1[[#This Row],[Motorista]]="","",IFERROR(_xlfn.XLOOKUP(Tabela1[[#This Row],[Motorista]],Base!A:A,Base!B:B),""))</f>
        <v>FOB</v>
      </c>
      <c r="N50" s="20" t="str">
        <f t="shared" si="1"/>
        <v>Fila de Carregamento</v>
      </c>
      <c r="O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" s="4">
        <v>0.67569444444444449</v>
      </c>
      <c r="Q50" s="4">
        <v>0.68472222222222223</v>
      </c>
      <c r="R50" s="23"/>
      <c r="S50" s="16" t="s">
        <v>97</v>
      </c>
      <c r="T50" s="14" t="str">
        <f>IF(OR(Tabela1[[#This Row],[Entrada]]="",Tabela1[[#This Row],[Saída]]=""), "", Tabela1[[#This Row],[Saída]]-Tabela1[[#This Row],[Entrada]])</f>
        <v/>
      </c>
      <c r="U50" s="15" t="str">
        <f>IF(OR('Controle de CT'!$R50= "", 'Controle de CT'!$P50= ""), "", 'Controle de CT'!$R50-'Controle de CT'!$P50)</f>
        <v/>
      </c>
      <c r="V50" s="1"/>
      <c r="W50" s="2"/>
      <c r="X50" s="2"/>
    </row>
    <row r="51" spans="11:24" ht="14.45" hidden="1">
      <c r="K51" s="5">
        <v>46065</v>
      </c>
      <c r="L51" s="8" t="s">
        <v>90</v>
      </c>
      <c r="M51" s="9" t="str">
        <f>IF(Tabela1[[#This Row],[Motorista]]="","",IFERROR(_xlfn.XLOOKUP(Tabela1[[#This Row],[Motorista]],Base!A:A,Base!B:B),""))</f>
        <v>FOB</v>
      </c>
      <c r="N51" s="20" t="str">
        <f t="shared" si="1"/>
        <v>Finalizado</v>
      </c>
      <c r="O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" s="4">
        <v>0.24652777777777779</v>
      </c>
      <c r="Q51" s="4">
        <v>0.37986111111111109</v>
      </c>
      <c r="R51" s="23">
        <v>0.43055555555555558</v>
      </c>
      <c r="S51" s="16" t="s">
        <v>85</v>
      </c>
      <c r="T51" s="14">
        <f>IF(OR(Tabela1[[#This Row],[Entrada]]="",Tabela1[[#This Row],[Saída]]=""), "", Tabela1[[#This Row],[Saída]]-Tabela1[[#This Row],[Entrada]])</f>
        <v>5.0694444444444486E-2</v>
      </c>
      <c r="U51" s="15">
        <f>IF(OR('Controle de CT'!$R51= "", 'Controle de CT'!$P51= ""), "", 'Controle de CT'!$R51-'Controle de CT'!$P51)</f>
        <v>0.18402777777777779</v>
      </c>
      <c r="V51" s="1"/>
      <c r="W51" s="2"/>
      <c r="X51" s="2"/>
    </row>
    <row r="52" spans="11:24" ht="15" hidden="1" customHeight="1">
      <c r="K52" s="5">
        <v>46065</v>
      </c>
      <c r="L52" s="8" t="s">
        <v>87</v>
      </c>
      <c r="M52" s="9" t="str">
        <f>IF(Tabela1[[#This Row],[Motorista]]="","",IFERROR(_xlfn.XLOOKUP(Tabela1[[#This Row],[Motorista]],Base!A:A,Base!B:B),""))</f>
        <v>FOB</v>
      </c>
      <c r="N52" s="20" t="str">
        <f t="shared" si="1"/>
        <v>Finalizado</v>
      </c>
      <c r="O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" s="4">
        <v>0.24930555555555556</v>
      </c>
      <c r="Q52" s="4">
        <v>0.30208333333333331</v>
      </c>
      <c r="R52" s="23">
        <v>0.33888888888888891</v>
      </c>
      <c r="S52" s="16" t="s">
        <v>85</v>
      </c>
      <c r="T52" s="14">
        <f>IF(OR(Tabela1[[#This Row],[Entrada]]="",Tabela1[[#This Row],[Saída]]=""), "", Tabela1[[#This Row],[Saída]]-Tabela1[[#This Row],[Entrada]])</f>
        <v>3.6805555555555591E-2</v>
      </c>
      <c r="U52" s="15">
        <f>IF(OR('Controle de CT'!$R52= "", 'Controle de CT'!$P52= ""), "", 'Controle de CT'!$R52-'Controle de CT'!$P52)</f>
        <v>8.9583333333333348E-2</v>
      </c>
      <c r="V52" s="1"/>
      <c r="W52" s="2"/>
      <c r="X52" s="2"/>
    </row>
    <row r="53" spans="11:24" ht="15" hidden="1" customHeight="1">
      <c r="K53" s="5">
        <v>46065</v>
      </c>
      <c r="L53" s="8" t="s">
        <v>101</v>
      </c>
      <c r="M53" s="9" t="str">
        <f>IF(Tabela1[[#This Row],[Motorista]]="","",IFERROR(_xlfn.XLOOKUP(Tabela1[[#This Row],[Motorista]],Base!A:A,Base!B:B),""))</f>
        <v>FOB</v>
      </c>
      <c r="N53" s="20" t="str">
        <f t="shared" si="1"/>
        <v>Finalizado</v>
      </c>
      <c r="O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3" s="4">
        <v>0.22569444444444445</v>
      </c>
      <c r="Q53" s="4">
        <v>0.26874999999999999</v>
      </c>
      <c r="R53" s="23">
        <v>0.40972222222222221</v>
      </c>
      <c r="S53" s="16" t="s">
        <v>85</v>
      </c>
      <c r="T53" s="14">
        <f>IF(OR(Tabela1[[#This Row],[Entrada]]="",Tabela1[[#This Row],[Saída]]=""), "", Tabela1[[#This Row],[Saída]]-Tabela1[[#This Row],[Entrada]])</f>
        <v>0.14097222222222222</v>
      </c>
      <c r="U53" s="15">
        <f>IF(OR('Controle de CT'!$R53= "", 'Controle de CT'!$P53= ""), "", 'Controle de CT'!$R53-'Controle de CT'!$P53)</f>
        <v>0.18402777777777776</v>
      </c>
      <c r="V53" s="1"/>
      <c r="W53" s="2"/>
      <c r="X53" s="2"/>
    </row>
    <row r="54" spans="11:24" ht="15" hidden="1" customHeight="1">
      <c r="K54" s="5">
        <v>46065</v>
      </c>
      <c r="L54" s="8" t="s">
        <v>93</v>
      </c>
      <c r="M54" s="9" t="str">
        <f>IF(Tabela1[[#This Row],[Motorista]]="","",IFERROR(_xlfn.XLOOKUP(Tabela1[[#This Row],[Motorista]],Base!A:A,Base!B:B),""))</f>
        <v>FOB</v>
      </c>
      <c r="N54" s="20" t="str">
        <f t="shared" si="1"/>
        <v>Finalizado</v>
      </c>
      <c r="O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" s="4">
        <v>0.25069444444444444</v>
      </c>
      <c r="Q54" s="4">
        <v>0.30555555555555558</v>
      </c>
      <c r="R54" s="23">
        <v>0.35833333333333334</v>
      </c>
      <c r="S54" s="16" t="s">
        <v>85</v>
      </c>
      <c r="T54" s="14">
        <f>IF(OR(Tabela1[[#This Row],[Entrada]]="",Tabela1[[#This Row],[Saída]]=""), "", Tabela1[[#This Row],[Saída]]-Tabela1[[#This Row],[Entrada]])</f>
        <v>5.2777777777777757E-2</v>
      </c>
      <c r="U54" s="15">
        <f>IF(OR('Controle de CT'!$R54= "", 'Controle de CT'!$P54= ""), "", 'Controle de CT'!$R54-'Controle de CT'!$P54)</f>
        <v>0.1076388888888889</v>
      </c>
      <c r="V54" s="1"/>
      <c r="W54" s="2"/>
      <c r="X54" s="2"/>
    </row>
    <row r="55" spans="11:24" ht="15" hidden="1" customHeight="1">
      <c r="K55" s="5">
        <v>46065</v>
      </c>
      <c r="L55" s="8" t="s">
        <v>45</v>
      </c>
      <c r="M55" s="9" t="str">
        <f>IF(Tabela1[[#This Row],[Motorista]]="","",IFERROR(_xlfn.XLOOKUP(Tabela1[[#This Row],[Motorista]],Base!A:A,Base!B:B),""))</f>
        <v>CIF</v>
      </c>
      <c r="N55" s="20" t="str">
        <f t="shared" si="1"/>
        <v>Finalizado</v>
      </c>
      <c r="O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5" s="4">
        <v>0.22361111111111112</v>
      </c>
      <c r="Q55" s="4">
        <v>0.27291666666666664</v>
      </c>
      <c r="R55" s="23">
        <v>0.31041666666666667</v>
      </c>
      <c r="S55" s="16" t="s">
        <v>85</v>
      </c>
      <c r="T55" s="14">
        <f>IF(OR(Tabela1[[#This Row],[Entrada]]="",Tabela1[[#This Row],[Saída]]=""), "", Tabela1[[#This Row],[Saída]]-Tabela1[[#This Row],[Entrada]])</f>
        <v>3.7500000000000033E-2</v>
      </c>
      <c r="U55" s="15">
        <f>IF(OR('Controle de CT'!$R55= "", 'Controle de CT'!$P55= ""), "", 'Controle de CT'!$R55-'Controle de CT'!$P55)</f>
        <v>8.6805555555555552E-2</v>
      </c>
      <c r="V55" s="1"/>
      <c r="W55" s="2"/>
      <c r="X55" s="2"/>
    </row>
    <row r="56" spans="11:24" ht="15" hidden="1" customHeight="1">
      <c r="K56" s="5">
        <v>46065</v>
      </c>
      <c r="L56" s="8" t="s">
        <v>104</v>
      </c>
      <c r="M56" s="9" t="str">
        <f>IF(Tabela1[[#This Row],[Motorista]]="","",IFERROR(_xlfn.XLOOKUP(Tabela1[[#This Row],[Motorista]],Base!A:A,Base!B:B),""))</f>
        <v>RZD</v>
      </c>
      <c r="N56" s="20" t="str">
        <f t="shared" si="1"/>
        <v>Finalizado</v>
      </c>
      <c r="O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6" s="4">
        <v>0.27430555555555558</v>
      </c>
      <c r="Q56" s="4"/>
      <c r="R56" s="23">
        <v>0.36180555555555555</v>
      </c>
      <c r="S56" s="16"/>
      <c r="T56" s="14" t="str">
        <f>IF(OR(Tabela1[[#This Row],[Entrada]]="",Tabela1[[#This Row],[Saída]]=""), "", Tabela1[[#This Row],[Saída]]-Tabela1[[#This Row],[Entrada]])</f>
        <v/>
      </c>
      <c r="U56" s="15">
        <f>IF(OR('Controle de CT'!$R56= "", 'Controle de CT'!$P56= ""), "", 'Controle de CT'!$R56-'Controle de CT'!$P56)</f>
        <v>8.7499999999999967E-2</v>
      </c>
      <c r="V56" s="1"/>
      <c r="W56" s="2"/>
      <c r="X56" s="2"/>
    </row>
    <row r="57" spans="11:24" ht="15" hidden="1" customHeight="1">
      <c r="K57" s="5">
        <v>46065</v>
      </c>
      <c r="L57" s="8" t="s">
        <v>105</v>
      </c>
      <c r="M57" s="9" t="str">
        <f>IF(Tabela1[[#This Row],[Motorista]]="","",IFERROR(_xlfn.XLOOKUP(Tabela1[[#This Row],[Motorista]],Base!A:A,Base!B:B),""))</f>
        <v>Transferência</v>
      </c>
      <c r="N57" s="20" t="str">
        <f t="shared" si="1"/>
        <v>Finalizado</v>
      </c>
      <c r="O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7" s="4">
        <v>0.28055555555555556</v>
      </c>
      <c r="Q57" s="4">
        <v>0.54861111111111116</v>
      </c>
      <c r="R57" s="23">
        <v>0.59722222222222221</v>
      </c>
      <c r="S57" s="16" t="s">
        <v>85</v>
      </c>
      <c r="T57" s="14">
        <f>IF(OR(Tabela1[[#This Row],[Entrada]]="",Tabela1[[#This Row],[Saída]]=""), "", Tabela1[[#This Row],[Saída]]-Tabela1[[#This Row],[Entrada]])</f>
        <v>4.8611111111111049E-2</v>
      </c>
      <c r="U57" s="15">
        <f>IF(OR('Controle de CT'!$R57= "", 'Controle de CT'!$P57= ""), "", 'Controle de CT'!$R57-'Controle de CT'!$P57)</f>
        <v>0.31666666666666665</v>
      </c>
      <c r="V57" s="1"/>
      <c r="W57" s="2"/>
      <c r="X57" s="2"/>
    </row>
    <row r="58" spans="11:24" ht="15" hidden="1" customHeight="1">
      <c r="K58" s="5">
        <v>46065</v>
      </c>
      <c r="L58" s="8" t="s">
        <v>52</v>
      </c>
      <c r="M58" s="9" t="str">
        <f>IF(Tabela1[[#This Row],[Motorista]]="","",IFERROR(_xlfn.XLOOKUP(Tabela1[[#This Row],[Motorista]],Base!A:A,Base!B:B),""))</f>
        <v>CIF</v>
      </c>
      <c r="N58" s="20" t="str">
        <f t="shared" si="1"/>
        <v>Finalizado</v>
      </c>
      <c r="O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8" s="4">
        <v>0.27777777777777779</v>
      </c>
      <c r="Q58" s="4">
        <v>0.28958333333333336</v>
      </c>
      <c r="R58" s="23">
        <v>0.32708333333333334</v>
      </c>
      <c r="S58" s="16" t="s">
        <v>85</v>
      </c>
      <c r="T58" s="14">
        <f>IF(OR(Tabela1[[#This Row],[Entrada]]="",Tabela1[[#This Row],[Saída]]=""), "", Tabela1[[#This Row],[Saída]]-Tabela1[[#This Row],[Entrada]])</f>
        <v>3.7499999999999978E-2</v>
      </c>
      <c r="U58" s="15">
        <f>IF(OR('Controle de CT'!$R58= "", 'Controle de CT'!$P58= ""), "", 'Controle de CT'!$R58-'Controle de CT'!$P58)</f>
        <v>4.9305555555555547E-2</v>
      </c>
      <c r="V58" s="1"/>
      <c r="W58" s="2"/>
      <c r="X58" s="2"/>
    </row>
    <row r="59" spans="11:24" ht="15" hidden="1" customHeight="1">
      <c r="K59" s="5">
        <v>46065</v>
      </c>
      <c r="L59" s="8" t="s">
        <v>46</v>
      </c>
      <c r="M59" s="9" t="str">
        <f>IF(Tabela1[[#This Row],[Motorista]]="","",IFERROR(_xlfn.XLOOKUP(Tabela1[[#This Row],[Motorista]],Base!A:A,Base!B:B),""))</f>
        <v>CIF</v>
      </c>
      <c r="N59" s="20" t="str">
        <f t="shared" si="1"/>
        <v>Finalizado</v>
      </c>
      <c r="O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9" s="4">
        <v>0.30208333333333331</v>
      </c>
      <c r="Q59" s="4">
        <v>0.3125</v>
      </c>
      <c r="R59" s="23">
        <v>0.36805555555555558</v>
      </c>
      <c r="S59" s="16" t="s">
        <v>85</v>
      </c>
      <c r="T59" s="14">
        <f>IF(OR(Tabela1[[#This Row],[Entrada]]="",Tabela1[[#This Row],[Saída]]=""), "", Tabela1[[#This Row],[Saída]]-Tabela1[[#This Row],[Entrada]])</f>
        <v>5.555555555555558E-2</v>
      </c>
      <c r="U59" s="15">
        <f>IF(OR('Controle de CT'!$R59= "", 'Controle de CT'!$P59= ""), "", 'Controle de CT'!$R59-'Controle de CT'!$P59)</f>
        <v>6.5972222222222265E-2</v>
      </c>
      <c r="V59" s="1"/>
      <c r="W59" s="2"/>
      <c r="X59" s="2"/>
    </row>
    <row r="60" spans="11:24" ht="15" hidden="1" customHeight="1">
      <c r="K60" s="5">
        <v>46065</v>
      </c>
      <c r="L60" s="8" t="s">
        <v>86</v>
      </c>
      <c r="M60" s="9" t="str">
        <f>IF(Tabela1[[#This Row],[Motorista]]="","",IFERROR(_xlfn.XLOOKUP(Tabela1[[#This Row],[Motorista]],Base!A:A,Base!B:B),""))</f>
        <v>FOB</v>
      </c>
      <c r="N60" s="20" t="str">
        <f t="shared" si="1"/>
        <v>Finalizado</v>
      </c>
      <c r="O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0" s="4">
        <v>0.31388888888888888</v>
      </c>
      <c r="Q60" s="4">
        <v>0.35</v>
      </c>
      <c r="R60" s="23">
        <v>0.39513888888888887</v>
      </c>
      <c r="S60" s="16" t="s">
        <v>85</v>
      </c>
      <c r="T60" s="14">
        <f>IF(OR(Tabela1[[#This Row],[Entrada]]="",Tabela1[[#This Row],[Saída]]=""), "", Tabela1[[#This Row],[Saída]]-Tabela1[[#This Row],[Entrada]])</f>
        <v>4.5138888888888895E-2</v>
      </c>
      <c r="U60" s="15">
        <f>IF(OR('Controle de CT'!$R60= "", 'Controle de CT'!$P60= ""), "", 'Controle de CT'!$R60-'Controle de CT'!$P60)</f>
        <v>8.1249999999999989E-2</v>
      </c>
      <c r="V60" s="1"/>
      <c r="W60" s="2"/>
      <c r="X60" s="2"/>
    </row>
    <row r="61" spans="11:24" ht="15" hidden="1" customHeight="1">
      <c r="K61" s="5">
        <v>46065</v>
      </c>
      <c r="L61" s="8" t="s">
        <v>92</v>
      </c>
      <c r="M61" s="9" t="str">
        <f>IF(Tabela1[[#This Row],[Motorista]]="","",IFERROR(_xlfn.XLOOKUP(Tabela1[[#This Row],[Motorista]],Base!A:A,Base!B:B),""))</f>
        <v>FOB</v>
      </c>
      <c r="N61" s="20" t="str">
        <f t="shared" si="1"/>
        <v>Finalizado</v>
      </c>
      <c r="O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" s="4">
        <v>0.32013888888888886</v>
      </c>
      <c r="Q61" s="4">
        <v>0.33680555555555558</v>
      </c>
      <c r="R61" s="23">
        <v>0.38194444444444442</v>
      </c>
      <c r="S61" s="16" t="s">
        <v>85</v>
      </c>
      <c r="T61" s="14">
        <f>IF(OR(Tabela1[[#This Row],[Entrada]]="",Tabela1[[#This Row],[Saída]]=""), "", Tabela1[[#This Row],[Saída]]-Tabela1[[#This Row],[Entrada]])</f>
        <v>4.513888888888884E-2</v>
      </c>
      <c r="U61" s="15">
        <f>IF(OR('Controle de CT'!$R61= "", 'Controle de CT'!$P61= ""), "", 'Controle de CT'!$R61-'Controle de CT'!$P61)</f>
        <v>6.1805555555555558E-2</v>
      </c>
      <c r="V61" s="1"/>
      <c r="W61" s="2"/>
      <c r="X61" s="2"/>
    </row>
    <row r="62" spans="11:24" ht="15" hidden="1" customHeight="1">
      <c r="K62" s="5">
        <v>46065</v>
      </c>
      <c r="L62" s="8" t="s">
        <v>106</v>
      </c>
      <c r="M62" s="9" t="str">
        <f>IF(Tabela1[[#This Row],[Motorista]]="","",IFERROR(_xlfn.XLOOKUP(Tabela1[[#This Row],[Motorista]],Base!A:A,Base!B:B),""))</f>
        <v>FOB</v>
      </c>
      <c r="N62" s="20" t="str">
        <f t="shared" si="1"/>
        <v>Aguardando Entrada</v>
      </c>
      <c r="O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" s="4">
        <v>0.3263888888888889</v>
      </c>
      <c r="Q62" s="4"/>
      <c r="R62" s="23"/>
      <c r="S62" s="16"/>
      <c r="T62" s="14" t="str">
        <f>IF(OR(Tabela1[[#This Row],[Entrada]]="",Tabela1[[#This Row],[Saída]]=""), "", Tabela1[[#This Row],[Saída]]-Tabela1[[#This Row],[Entrada]])</f>
        <v/>
      </c>
      <c r="U62" s="15" t="str">
        <f>IF(OR('Controle de CT'!$R62= "", 'Controle de CT'!$P62= ""), "", 'Controle de CT'!$R62-'Controle de CT'!$P62)</f>
        <v/>
      </c>
      <c r="V62" s="1"/>
      <c r="W62" s="2"/>
      <c r="X62" s="2"/>
    </row>
    <row r="63" spans="11:24" ht="15" hidden="1" customHeight="1">
      <c r="K63" s="5">
        <v>46065</v>
      </c>
      <c r="L63" s="8" t="s">
        <v>58</v>
      </c>
      <c r="M63" s="9" t="str">
        <f>IF(Tabela1[[#This Row],[Motorista]]="","",IFERROR(_xlfn.XLOOKUP(Tabela1[[#This Row],[Motorista]],Base!A:A,Base!B:B),""))</f>
        <v xml:space="preserve">CIF </v>
      </c>
      <c r="N63" s="20" t="str">
        <f t="shared" si="1"/>
        <v>Finalizado</v>
      </c>
      <c r="O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3" s="4">
        <v>0.36388888888888887</v>
      </c>
      <c r="Q63" s="4">
        <v>0.39513888888888887</v>
      </c>
      <c r="R63" s="23">
        <v>0.43958333333333333</v>
      </c>
      <c r="S63" s="16" t="s">
        <v>85</v>
      </c>
      <c r="T63" s="14">
        <f>IF(OR(Tabela1[[#This Row],[Entrada]]="",Tabela1[[#This Row],[Saída]]=""), "", Tabela1[[#This Row],[Saída]]-Tabela1[[#This Row],[Entrada]])</f>
        <v>4.4444444444444453E-2</v>
      </c>
      <c r="U63" s="15">
        <f>IF(OR('Controle de CT'!$R63= "", 'Controle de CT'!$P63= ""), "", 'Controle de CT'!$R63-'Controle de CT'!$P63)</f>
        <v>7.5694444444444453E-2</v>
      </c>
      <c r="V63" s="1"/>
      <c r="W63" s="2"/>
      <c r="X63" s="2"/>
    </row>
    <row r="64" spans="11:24" ht="15" hidden="1" customHeight="1">
      <c r="K64" s="5">
        <v>46065</v>
      </c>
      <c r="L64" s="8" t="s">
        <v>48</v>
      </c>
      <c r="M64" s="9" t="str">
        <f>IF(Tabela1[[#This Row],[Motorista]]="","",IFERROR(_xlfn.XLOOKUP(Tabela1[[#This Row],[Motorista]],Base!A:A,Base!B:B),""))</f>
        <v>CIF</v>
      </c>
      <c r="N64" s="20" t="str">
        <f t="shared" si="1"/>
        <v>Finalizado</v>
      </c>
      <c r="O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4" s="4">
        <v>0.36388888888888887</v>
      </c>
      <c r="Q64" s="4">
        <v>0.37916666666666665</v>
      </c>
      <c r="R64" s="23">
        <v>0.42152777777777778</v>
      </c>
      <c r="S64" s="16" t="s">
        <v>85</v>
      </c>
      <c r="T64" s="14">
        <f>IF(OR(Tabela1[[#This Row],[Entrada]]="",Tabela1[[#This Row],[Saída]]=""), "", Tabela1[[#This Row],[Saída]]-Tabela1[[#This Row],[Entrada]])</f>
        <v>4.2361111111111127E-2</v>
      </c>
      <c r="U64" s="15">
        <f>IF(OR('Controle de CT'!$R64= "", 'Controle de CT'!$P64= ""), "", 'Controle de CT'!$R64-'Controle de CT'!$P64)</f>
        <v>5.7638888888888906E-2</v>
      </c>
      <c r="V64" s="1"/>
      <c r="W64" s="2"/>
      <c r="X64" s="2"/>
    </row>
    <row r="65" spans="11:24" ht="15" hidden="1" customHeight="1">
      <c r="K65" s="5">
        <v>46065</v>
      </c>
      <c r="L65" s="8" t="s">
        <v>57</v>
      </c>
      <c r="M65" s="9" t="str">
        <f>IF(Tabela1[[#This Row],[Motorista]]="","",IFERROR(_xlfn.XLOOKUP(Tabela1[[#This Row],[Motorista]],Base!A:A,Base!B:B),""))</f>
        <v>CIF</v>
      </c>
      <c r="N65" s="20" t="str">
        <f t="shared" si="1"/>
        <v>Finalizado</v>
      </c>
      <c r="O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5" s="4">
        <v>0.38750000000000001</v>
      </c>
      <c r="Q65" s="4">
        <v>0.39444444444444443</v>
      </c>
      <c r="R65" s="23">
        <v>0.44722222222222224</v>
      </c>
      <c r="S65" s="16" t="s">
        <v>85</v>
      </c>
      <c r="T65" s="14">
        <f>IF(OR(Tabela1[[#This Row],[Entrada]]="",Tabela1[[#This Row],[Saída]]=""), "", Tabela1[[#This Row],[Saída]]-Tabela1[[#This Row],[Entrada]])</f>
        <v>5.2777777777777812E-2</v>
      </c>
      <c r="U65" s="15">
        <f>IF(OR('Controle de CT'!$R65= "", 'Controle de CT'!$P65= ""), "", 'Controle de CT'!$R65-'Controle de CT'!$P65)</f>
        <v>5.9722222222222232E-2</v>
      </c>
      <c r="V65" s="1"/>
      <c r="W65" s="2"/>
      <c r="X65" s="2"/>
    </row>
    <row r="66" spans="11:24" ht="15" hidden="1" customHeight="1">
      <c r="K66" s="5">
        <v>46065</v>
      </c>
      <c r="L66" s="8" t="s">
        <v>56</v>
      </c>
      <c r="M66" s="9" t="str">
        <f>IF(Tabela1[[#This Row],[Motorista]]="","",IFERROR(_xlfn.XLOOKUP(Tabela1[[#This Row],[Motorista]],Base!A:A,Base!B:B),""))</f>
        <v/>
      </c>
      <c r="N66" s="20" t="str">
        <f t="shared" si="1"/>
        <v>Finalizado</v>
      </c>
      <c r="O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" s="4">
        <v>0.40833333333333333</v>
      </c>
      <c r="Q66" s="4">
        <v>0.4152777777777778</v>
      </c>
      <c r="R66" s="23">
        <v>0.46180555555555558</v>
      </c>
      <c r="S66" s="16" t="s">
        <v>85</v>
      </c>
      <c r="T66" s="14">
        <f>IF(OR(Tabela1[[#This Row],[Entrada]]="",Tabela1[[#This Row],[Saída]]=""), "", Tabela1[[#This Row],[Saída]]-Tabela1[[#This Row],[Entrada]])</f>
        <v>4.6527777777777779E-2</v>
      </c>
      <c r="U66" s="15">
        <f>IF(OR('Controle de CT'!$R66= "", 'Controle de CT'!$P66= ""), "", 'Controle de CT'!$R66-'Controle de CT'!$P66)</f>
        <v>5.3472222222222254E-2</v>
      </c>
      <c r="V66" s="1"/>
      <c r="W66" s="2"/>
      <c r="X66" s="2"/>
    </row>
    <row r="67" spans="11:24" ht="15" hidden="1" customHeight="1">
      <c r="K67" s="5">
        <v>46065</v>
      </c>
      <c r="L67" s="8" t="s">
        <v>42</v>
      </c>
      <c r="M67" s="9" t="str">
        <f>IF(Tabela1[[#This Row],[Motorista]]="","",IFERROR(_xlfn.XLOOKUP(Tabela1[[#This Row],[Motorista]],Base!A:A,Base!B:B),""))</f>
        <v>CIF</v>
      </c>
      <c r="N67" s="20" t="str">
        <f t="shared" si="1"/>
        <v>Finalizado</v>
      </c>
      <c r="O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" s="4">
        <v>0.40902777777777777</v>
      </c>
      <c r="Q67" s="4">
        <v>0.42222222222222222</v>
      </c>
      <c r="R67" s="23">
        <v>0.48125000000000001</v>
      </c>
      <c r="S67" s="16" t="s">
        <v>85</v>
      </c>
      <c r="T67" s="14">
        <f>IF(OR(Tabela1[[#This Row],[Entrada]]="",Tabela1[[#This Row],[Saída]]=""), "", Tabela1[[#This Row],[Saída]]-Tabela1[[#This Row],[Entrada]])</f>
        <v>5.902777777777779E-2</v>
      </c>
      <c r="U67" s="15">
        <f>IF(OR('Controle de CT'!$R67= "", 'Controle de CT'!$P67= ""), "", 'Controle de CT'!$R67-'Controle de CT'!$P67)</f>
        <v>7.2222222222222243E-2</v>
      </c>
      <c r="V67" s="1"/>
      <c r="W67" s="2"/>
      <c r="X67" s="2"/>
    </row>
    <row r="68" spans="11:24" ht="15" hidden="1" customHeight="1">
      <c r="K68" s="5">
        <v>46065</v>
      </c>
      <c r="L68" s="8" t="s">
        <v>52</v>
      </c>
      <c r="M68" s="9" t="str">
        <f>IF(Tabela1[[#This Row],[Motorista]]="","",IFERROR(_xlfn.XLOOKUP(Tabela1[[#This Row],[Motorista]],Base!A:A,Base!B:B),""))</f>
        <v>CIF</v>
      </c>
      <c r="N68" s="20" t="str">
        <f t="shared" si="1"/>
        <v>Finalizado</v>
      </c>
      <c r="O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8" s="4">
        <v>0.41388888888888886</v>
      </c>
      <c r="Q68" s="4">
        <v>0.42291666666666666</v>
      </c>
      <c r="R68" s="23">
        <v>0.48125000000000001</v>
      </c>
      <c r="S68" s="16" t="s">
        <v>85</v>
      </c>
      <c r="T68" s="14">
        <f>IF(OR(Tabela1[[#This Row],[Entrada]]="",Tabela1[[#This Row],[Saída]]=""), "", Tabela1[[#This Row],[Saída]]-Tabela1[[#This Row],[Entrada]])</f>
        <v>5.8333333333333348E-2</v>
      </c>
      <c r="U68" s="15">
        <f>IF(OR('Controle de CT'!$R68= "", 'Controle de CT'!$P68= ""), "", 'Controle de CT'!$R68-'Controle de CT'!$P68)</f>
        <v>6.7361111111111149E-2</v>
      </c>
      <c r="V68" s="1"/>
      <c r="W68" s="2"/>
      <c r="X68" s="2"/>
    </row>
    <row r="69" spans="11:24" ht="15" hidden="1" customHeight="1">
      <c r="K69" s="5">
        <v>46065</v>
      </c>
      <c r="L69" s="8" t="s">
        <v>107</v>
      </c>
      <c r="M69" s="9" t="str">
        <f>IF(Tabela1[[#This Row],[Motorista]]="","",IFERROR(_xlfn.XLOOKUP(Tabela1[[#This Row],[Motorista]],Base!A:A,Base!B:B),""))</f>
        <v>FOB</v>
      </c>
      <c r="N69" s="20" t="str">
        <f t="shared" si="1"/>
        <v>Finalizado</v>
      </c>
      <c r="O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" s="4">
        <v>0.44444444444444442</v>
      </c>
      <c r="Q69" s="4">
        <v>0.45624999999999999</v>
      </c>
      <c r="R69" s="23">
        <v>0.68472222222222223</v>
      </c>
      <c r="S69" s="16" t="s">
        <v>85</v>
      </c>
      <c r="T69" s="14">
        <f>IF(OR(Tabela1[[#This Row],[Entrada]]="",Tabela1[[#This Row],[Saída]]=""), "", Tabela1[[#This Row],[Saída]]-Tabela1[[#This Row],[Entrada]])</f>
        <v>0.22847222222222224</v>
      </c>
      <c r="U69" s="15">
        <f>IF(OR('Controle de CT'!$R69= "", 'Controle de CT'!$P69= ""), "", 'Controle de CT'!$R69-'Controle de CT'!$P69)</f>
        <v>0.24027777777777781</v>
      </c>
      <c r="V69" s="1"/>
      <c r="W69" s="2"/>
      <c r="X69" s="2"/>
    </row>
    <row r="70" spans="11:24" ht="15" hidden="1" customHeight="1">
      <c r="K70" s="5">
        <v>46065</v>
      </c>
      <c r="L70" s="8" t="s">
        <v>45</v>
      </c>
      <c r="M70" s="9" t="str">
        <f>IF(Tabela1[[#This Row],[Motorista]]="","",IFERROR(_xlfn.XLOOKUP(Tabela1[[#This Row],[Motorista]],Base!A:A,Base!B:B),""))</f>
        <v>CIF</v>
      </c>
      <c r="N70" s="20" t="str">
        <f t="shared" si="1"/>
        <v>Finalizado</v>
      </c>
      <c r="O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0" s="4">
        <v>0.4548611111111111</v>
      </c>
      <c r="Q70" s="4">
        <v>0.52708333333333335</v>
      </c>
      <c r="R70" s="23">
        <v>0.53263888888888888</v>
      </c>
      <c r="S70" s="16" t="s">
        <v>85</v>
      </c>
      <c r="T70" s="14">
        <f>IF(OR(Tabela1[[#This Row],[Entrada]]="",Tabela1[[#This Row],[Saída]]=""), "", Tabela1[[#This Row],[Saída]]-Tabela1[[#This Row],[Entrada]])</f>
        <v>5.5555555555555358E-3</v>
      </c>
      <c r="U70" s="15">
        <f>IF(OR('Controle de CT'!$R70= "", 'Controle de CT'!$P70= ""), "", 'Controle de CT'!$R70-'Controle de CT'!$P70)</f>
        <v>7.7777777777777779E-2</v>
      </c>
      <c r="V70" s="1"/>
      <c r="W70" s="2"/>
      <c r="X70" s="2"/>
    </row>
    <row r="71" spans="11:24" ht="15" hidden="1" customHeight="1">
      <c r="K71" s="5">
        <v>46065</v>
      </c>
      <c r="L71" s="8" t="s">
        <v>104</v>
      </c>
      <c r="M71" s="9" t="str">
        <f>IF(Tabela1[[#This Row],[Motorista]]="","",IFERROR(_xlfn.XLOOKUP(Tabela1[[#This Row],[Motorista]],Base!A:A,Base!B:B),""))</f>
        <v>RZD</v>
      </c>
      <c r="N71" s="20" t="str">
        <f t="shared" si="1"/>
        <v>Aguardando Entrada</v>
      </c>
      <c r="O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1" s="4">
        <v>0.4513888888888889</v>
      </c>
      <c r="Q71" s="4"/>
      <c r="R71" s="23"/>
      <c r="S71" s="16"/>
      <c r="T71" s="14" t="str">
        <f>IF(OR(Tabela1[[#This Row],[Entrada]]="",Tabela1[[#This Row],[Saída]]=""), "", Tabela1[[#This Row],[Saída]]-Tabela1[[#This Row],[Entrada]])</f>
        <v/>
      </c>
      <c r="U71" s="15" t="str">
        <f>IF(OR('Controle de CT'!$R71= "", 'Controle de CT'!$P71= ""), "", 'Controle de CT'!$R71-'Controle de CT'!$P71)</f>
        <v/>
      </c>
      <c r="V71" s="1"/>
      <c r="W71" s="2"/>
      <c r="X71" s="2"/>
    </row>
    <row r="72" spans="11:24" ht="15" hidden="1" customHeight="1">
      <c r="K72" s="5">
        <v>46065</v>
      </c>
      <c r="L72" s="8" t="s">
        <v>46</v>
      </c>
      <c r="M72" s="9" t="str">
        <f>IF(Tabela1[[#This Row],[Motorista]]="","",IFERROR(_xlfn.XLOOKUP(Tabela1[[#This Row],[Motorista]],Base!A:A,Base!B:B),""))</f>
        <v>CIF</v>
      </c>
      <c r="N72" s="20" t="str">
        <f t="shared" si="1"/>
        <v>Fila de Carregamento</v>
      </c>
      <c r="O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2" s="4">
        <v>0.55138888888888893</v>
      </c>
      <c r="Q72" s="4">
        <v>0.52777777777777779</v>
      </c>
      <c r="R72" s="23"/>
      <c r="S72" s="16"/>
      <c r="T72" s="14" t="str">
        <f>IF(OR(Tabela1[[#This Row],[Entrada]]="",Tabela1[[#This Row],[Saída]]=""), "", Tabela1[[#This Row],[Saída]]-Tabela1[[#This Row],[Entrada]])</f>
        <v/>
      </c>
      <c r="U72" s="15" t="str">
        <f>IF(OR('Controle de CT'!$R72= "", 'Controle de CT'!$P72= ""), "", 'Controle de CT'!$R72-'Controle de CT'!$P72)</f>
        <v/>
      </c>
      <c r="V72" s="1"/>
      <c r="W72" s="2"/>
      <c r="X72" s="2"/>
    </row>
    <row r="73" spans="11:24" ht="15" hidden="1" customHeight="1">
      <c r="K73" s="5">
        <v>46065</v>
      </c>
      <c r="L73" s="8" t="s">
        <v>58</v>
      </c>
      <c r="M73" s="9" t="str">
        <f>IF(Tabela1[[#This Row],[Motorista]]="","",IFERROR(_xlfn.XLOOKUP(Tabela1[[#This Row],[Motorista]],Base!A:A,Base!B:B),""))</f>
        <v xml:space="preserve">CIF </v>
      </c>
      <c r="N73" s="20" t="str">
        <f t="shared" ref="N73:N102" si="2">IF(R73&lt;&gt;"","Finalizado", IF(Q73&lt;&gt;"","Fila de Carregamento", IF(P73&lt;&gt;"","Aguardando Entrada","")))</f>
        <v>Finalizado</v>
      </c>
      <c r="O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3" s="4">
        <v>0.52430555555555558</v>
      </c>
      <c r="Q73" s="4"/>
      <c r="R73" s="23">
        <v>0.68333333333333335</v>
      </c>
      <c r="S73" s="16"/>
      <c r="T73" s="14" t="str">
        <f>IF(OR(Tabela1[[#This Row],[Entrada]]="",Tabela1[[#This Row],[Saída]]=""), "", Tabela1[[#This Row],[Saída]]-Tabela1[[#This Row],[Entrada]])</f>
        <v/>
      </c>
      <c r="U73" s="15">
        <f>IF(OR('Controle de CT'!$R73= "", 'Controle de CT'!$P73= ""), "", 'Controle de CT'!$R73-'Controle de CT'!$P73)</f>
        <v>0.15902777777777777</v>
      </c>
      <c r="V73" s="1"/>
      <c r="W73" s="2"/>
      <c r="X73" s="2"/>
    </row>
    <row r="74" spans="11:24" ht="15" hidden="1" customHeight="1">
      <c r="K74" s="5">
        <v>46065</v>
      </c>
      <c r="L74" s="8" t="s">
        <v>48</v>
      </c>
      <c r="M74" s="9" t="str">
        <f>IF(Tabela1[[#This Row],[Motorista]]="","",IFERROR(_xlfn.XLOOKUP(Tabela1[[#This Row],[Motorista]],Base!A:A,Base!B:B),""))</f>
        <v>CIF</v>
      </c>
      <c r="N74" s="20" t="str">
        <f t="shared" si="2"/>
        <v>Aguardando Entrada</v>
      </c>
      <c r="O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4" s="4">
        <v>0.53333333333333333</v>
      </c>
      <c r="Q74" s="4"/>
      <c r="R74" s="23"/>
      <c r="S74" s="16"/>
      <c r="T74" s="14" t="str">
        <f>IF(OR(Tabela1[[#This Row],[Entrada]]="",Tabela1[[#This Row],[Saída]]=""), "", Tabela1[[#This Row],[Saída]]-Tabela1[[#This Row],[Entrada]])</f>
        <v/>
      </c>
      <c r="U74" s="15" t="str">
        <f>IF(OR('Controle de CT'!$R74= "", 'Controle de CT'!$P74= ""), "", 'Controle de CT'!$R74-'Controle de CT'!$P74)</f>
        <v/>
      </c>
      <c r="V74" s="1"/>
      <c r="W74" s="2"/>
      <c r="X74" s="2"/>
    </row>
    <row r="75" spans="11:24" ht="15" hidden="1" customHeight="1">
      <c r="K75" s="5">
        <v>46065</v>
      </c>
      <c r="L75" s="8" t="s">
        <v>86</v>
      </c>
      <c r="M75" s="9" t="str">
        <f>IF(Tabela1[[#This Row],[Motorista]]="","",IFERROR(_xlfn.XLOOKUP(Tabela1[[#This Row],[Motorista]],Base!A:A,Base!B:B),""))</f>
        <v>FOB</v>
      </c>
      <c r="N75" s="20" t="str">
        <f t="shared" si="2"/>
        <v>Fila de Carregamento</v>
      </c>
      <c r="O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5" s="4">
        <v>0.56180555555555556</v>
      </c>
      <c r="Q75" s="4">
        <v>0.65277777777777779</v>
      </c>
      <c r="R75" s="23"/>
      <c r="S75" s="16" t="s">
        <v>97</v>
      </c>
      <c r="T75" s="14" t="str">
        <f>IF(OR(Tabela1[[#This Row],[Entrada]]="",Tabela1[[#This Row],[Saída]]=""), "", Tabela1[[#This Row],[Saída]]-Tabela1[[#This Row],[Entrada]])</f>
        <v/>
      </c>
      <c r="U75" s="15" t="str">
        <f>IF(OR('Controle de CT'!$R75= "", 'Controle de CT'!$P75= ""), "", 'Controle de CT'!$R75-'Controle de CT'!$P75)</f>
        <v/>
      </c>
      <c r="V75" s="1"/>
      <c r="W75" s="2"/>
      <c r="X75" s="2"/>
    </row>
    <row r="76" spans="11:24" ht="15" hidden="1" customHeight="1">
      <c r="K76" s="5">
        <v>46066</v>
      </c>
      <c r="L76" s="8" t="s">
        <v>108</v>
      </c>
      <c r="M76" s="9" t="str">
        <f>IF(Tabela1[[#This Row],[Motorista]]="","",IFERROR(_xlfn.XLOOKUP(Tabela1[[#This Row],[Motorista]],Base!A:A,Base!B:B),""))</f>
        <v>Transferência</v>
      </c>
      <c r="N76" s="20" t="str">
        <f t="shared" si="2"/>
        <v>Finalizado</v>
      </c>
      <c r="O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6" s="4">
        <v>0</v>
      </c>
      <c r="Q76" s="2">
        <v>0.26805555555555555</v>
      </c>
      <c r="R76" s="16">
        <v>0.33333333333333331</v>
      </c>
      <c r="S76" s="16" t="s">
        <v>85</v>
      </c>
      <c r="T76" s="14">
        <f>IF(OR(Tabela1[[#This Row],[Entrada]]="",Tabela1[[#This Row],[Saída]]=""), "", Tabela1[[#This Row],[Saída]]-Tabela1[[#This Row],[Entrada]])</f>
        <v>6.5277777777777768E-2</v>
      </c>
      <c r="U76" s="15">
        <f>IF(OR('Controle de CT'!$R76= "", 'Controle de CT'!$P76= ""), "", 'Controle de CT'!$R76-'Controle de CT'!$P76)</f>
        <v>0.33333333333333331</v>
      </c>
      <c r="V76" s="1"/>
      <c r="W76" s="2"/>
      <c r="X76" s="2"/>
    </row>
    <row r="77" spans="11:24" ht="15" hidden="1" customHeight="1">
      <c r="K77" s="5">
        <v>46066</v>
      </c>
      <c r="L77" s="8" t="s">
        <v>109</v>
      </c>
      <c r="M77" s="9" t="str">
        <f>IF(Tabela1[[#This Row],[Motorista]]="","",IFERROR(_xlfn.XLOOKUP(Tabela1[[#This Row],[Motorista]],Base!A:A,Base!B:B),""))</f>
        <v>Transferência</v>
      </c>
      <c r="N77" s="20" t="str">
        <f t="shared" si="2"/>
        <v>Finalizado</v>
      </c>
      <c r="O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" s="4">
        <v>0</v>
      </c>
      <c r="Q77" s="2">
        <v>0.29166666666666669</v>
      </c>
      <c r="R77" s="16">
        <v>0.35416666666666669</v>
      </c>
      <c r="S77" s="16" t="s">
        <v>85</v>
      </c>
      <c r="T77" s="14">
        <f>IF(OR(Tabela1[[#This Row],[Entrada]]="",Tabela1[[#This Row],[Saída]]=""), "", Tabela1[[#This Row],[Saída]]-Tabela1[[#This Row],[Entrada]])</f>
        <v>6.25E-2</v>
      </c>
      <c r="U77" s="15">
        <f>IF(OR('Controle de CT'!$R77= "", 'Controle de CT'!$P77= ""), "", 'Controle de CT'!$R77-'Controle de CT'!$P77)</f>
        <v>0.35416666666666669</v>
      </c>
      <c r="V77" s="1"/>
      <c r="W77" s="2"/>
      <c r="X77" s="2"/>
    </row>
    <row r="78" spans="11:24" ht="15" hidden="1" customHeight="1">
      <c r="K78" s="5">
        <v>46066</v>
      </c>
      <c r="L78" s="8" t="s">
        <v>87</v>
      </c>
      <c r="M78" s="9" t="str">
        <f>IF(Tabela1[[#This Row],[Motorista]]="","",IFERROR(_xlfn.XLOOKUP(Tabela1[[#This Row],[Motorista]],Base!A:A,Base!B:B),""))</f>
        <v>FOB</v>
      </c>
      <c r="N78" s="20" t="str">
        <f t="shared" si="2"/>
        <v>Finalizado</v>
      </c>
      <c r="O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" s="4">
        <v>0.24027777777777778</v>
      </c>
      <c r="Q78" s="2">
        <v>0.3576388888888889</v>
      </c>
      <c r="R78" s="16">
        <v>0.41388888888888886</v>
      </c>
      <c r="S78" s="16" t="s">
        <v>85</v>
      </c>
      <c r="T78" s="14">
        <f>IF(OR(Tabela1[[#This Row],[Entrada]]="",Tabela1[[#This Row],[Saída]]=""), "", Tabela1[[#This Row],[Saída]]-Tabela1[[#This Row],[Entrada]])</f>
        <v>5.6249999999999967E-2</v>
      </c>
      <c r="U78" s="15">
        <f>IF(OR('Controle de CT'!$R78= "", 'Controle de CT'!$P78= ""), "", 'Controle de CT'!$R78-'Controle de CT'!$P78)</f>
        <v>0.17361111111111108</v>
      </c>
      <c r="V78" s="1"/>
      <c r="W78" s="2"/>
      <c r="X78" s="2"/>
    </row>
    <row r="79" spans="11:24" ht="15" hidden="1" customHeight="1">
      <c r="K79" s="5">
        <v>46066</v>
      </c>
      <c r="L79" s="8" t="s">
        <v>90</v>
      </c>
      <c r="M79" s="9" t="str">
        <f>IF(Tabela1[[#This Row],[Motorista]]="","",IFERROR(_xlfn.XLOOKUP(Tabela1[[#This Row],[Motorista]],Base!A:A,Base!B:B),""))</f>
        <v>FOB</v>
      </c>
      <c r="N79" s="20" t="str">
        <f t="shared" si="2"/>
        <v>Finalizado</v>
      </c>
      <c r="O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" s="4">
        <v>0.24166666666666667</v>
      </c>
      <c r="Q79" s="2">
        <v>0.36736111111111114</v>
      </c>
      <c r="R79" s="16">
        <v>0.4152777777777778</v>
      </c>
      <c r="S79" s="16" t="s">
        <v>85</v>
      </c>
      <c r="T79" s="14">
        <f>IF(OR(Tabela1[[#This Row],[Entrada]]="",Tabela1[[#This Row],[Saída]]=""), "", Tabela1[[#This Row],[Saída]]-Tabela1[[#This Row],[Entrada]])</f>
        <v>4.7916666666666663E-2</v>
      </c>
      <c r="U79" s="15">
        <f>IF(OR('Controle de CT'!$R79= "", 'Controle de CT'!$P79= ""), "", 'Controle de CT'!$R79-'Controle de CT'!$P79)</f>
        <v>0.17361111111111113</v>
      </c>
      <c r="V79" s="1"/>
      <c r="W79" s="2"/>
      <c r="X79" s="2"/>
    </row>
    <row r="80" spans="11:24" ht="15" hidden="1" customHeight="1">
      <c r="K80" s="5">
        <v>46066</v>
      </c>
      <c r="L80" s="8" t="s">
        <v>49</v>
      </c>
      <c r="M80" s="9" t="str">
        <f>IF(Tabela1[[#This Row],[Motorista]]="","",IFERROR(_xlfn.XLOOKUP(Tabela1[[#This Row],[Motorista]],Base!A:A,Base!B:B),""))</f>
        <v>CIF</v>
      </c>
      <c r="N80" s="20" t="str">
        <f t="shared" si="2"/>
        <v>Finalizado</v>
      </c>
      <c r="O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0" s="4">
        <v>0.26597222222222222</v>
      </c>
      <c r="Q80" s="2">
        <v>0.27916666666666667</v>
      </c>
      <c r="R80" s="16">
        <v>0.33750000000000002</v>
      </c>
      <c r="S80" s="16" t="s">
        <v>85</v>
      </c>
      <c r="T80" s="14">
        <f>IF(OR(Tabela1[[#This Row],[Entrada]]="",Tabela1[[#This Row],[Saída]]=""), "", Tabela1[[#This Row],[Saída]]-Tabela1[[#This Row],[Entrada]])</f>
        <v>5.8333333333333348E-2</v>
      </c>
      <c r="U80" s="15">
        <f>IF(OR('Controle de CT'!$R80= "", 'Controle de CT'!$P80= ""), "", 'Controle de CT'!$R80-'Controle de CT'!$P80)</f>
        <v>7.1527777777777801E-2</v>
      </c>
      <c r="V80" s="1"/>
      <c r="W80" s="2"/>
      <c r="X80" s="2"/>
    </row>
    <row r="81" spans="11:24" ht="15" hidden="1" customHeight="1">
      <c r="K81" s="5">
        <v>46066</v>
      </c>
      <c r="L81" s="8" t="s">
        <v>52</v>
      </c>
      <c r="M81" s="9" t="str">
        <f>IF(Tabela1[[#This Row],[Motorista]]="","",IFERROR(_xlfn.XLOOKUP(Tabela1[[#This Row],[Motorista]],Base!A:A,Base!B:B),""))</f>
        <v>CIF</v>
      </c>
      <c r="N81" s="20" t="str">
        <f t="shared" si="2"/>
        <v>Finalizado</v>
      </c>
      <c r="O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1" s="4">
        <v>0.26666666666666666</v>
      </c>
      <c r="Q81" s="2">
        <v>0.28611111111111109</v>
      </c>
      <c r="R81" s="16">
        <v>0.33194444444444443</v>
      </c>
      <c r="S81" s="16" t="s">
        <v>85</v>
      </c>
      <c r="T81" s="14">
        <f>IF(OR(Tabela1[[#This Row],[Entrada]]="",Tabela1[[#This Row],[Saída]]=""), "", Tabela1[[#This Row],[Saída]]-Tabela1[[#This Row],[Entrada]])</f>
        <v>4.5833333333333337E-2</v>
      </c>
      <c r="U81" s="15">
        <f>IF(OR('Controle de CT'!$R81= "", 'Controle de CT'!$P81= ""), "", 'Controle de CT'!$R81-'Controle de CT'!$P81)</f>
        <v>6.5277777777777768E-2</v>
      </c>
      <c r="V81" s="1"/>
      <c r="W81" s="2"/>
      <c r="X81" s="2"/>
    </row>
    <row r="82" spans="11:24" ht="15" hidden="1" customHeight="1">
      <c r="K82" s="5">
        <v>46066</v>
      </c>
      <c r="L82" s="8" t="s">
        <v>93</v>
      </c>
      <c r="M82" s="9" t="str">
        <f>IF(Tabela1[[#This Row],[Motorista]]="","",IFERROR(_xlfn.XLOOKUP(Tabela1[[#This Row],[Motorista]],Base!A:A,Base!B:B),""))</f>
        <v>FOB</v>
      </c>
      <c r="N82" s="20" t="str">
        <f t="shared" si="2"/>
        <v>Finalizado</v>
      </c>
      <c r="O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" s="4">
        <v>0.26944444444444443</v>
      </c>
      <c r="Q82" s="2">
        <v>0.32291666666666669</v>
      </c>
      <c r="R82" s="16">
        <v>0.39097222222222222</v>
      </c>
      <c r="S82" s="16" t="s">
        <v>85</v>
      </c>
      <c r="T82" s="14">
        <f>IF(OR(Tabela1[[#This Row],[Entrada]]="",Tabela1[[#This Row],[Saída]]=""), "", Tabela1[[#This Row],[Saída]]-Tabela1[[#This Row],[Entrada]])</f>
        <v>6.8055555555555536E-2</v>
      </c>
      <c r="U82" s="15">
        <f>IF(OR('Controle de CT'!$R82= "", 'Controle de CT'!$P82= ""), "", 'Controle de CT'!$R82-'Controle de CT'!$P82)</f>
        <v>0.12152777777777779</v>
      </c>
      <c r="V82" s="1"/>
      <c r="W82" s="2"/>
      <c r="X82" s="2"/>
    </row>
    <row r="83" spans="11:24" ht="15" hidden="1" customHeight="1">
      <c r="K83" s="5">
        <v>46066</v>
      </c>
      <c r="L83" s="8" t="s">
        <v>95</v>
      </c>
      <c r="M83" s="9" t="str">
        <f>IF(Tabela1[[#This Row],[Motorista]]="","",IFERROR(_xlfn.XLOOKUP(Tabela1[[#This Row],[Motorista]],Base!A:A,Base!B:B),""))</f>
        <v>FOB</v>
      </c>
      <c r="N83" s="20" t="str">
        <f t="shared" si="2"/>
        <v>Finalizado</v>
      </c>
      <c r="O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" s="4">
        <v>0.35625000000000001</v>
      </c>
      <c r="Q83" s="2">
        <v>0.45</v>
      </c>
      <c r="R83" s="16">
        <v>0.47916666666666669</v>
      </c>
      <c r="S83" s="16" t="s">
        <v>85</v>
      </c>
      <c r="T83" s="14">
        <f>IF(OR(Tabela1[[#This Row],[Entrada]]="",Tabela1[[#This Row],[Saída]]=""), "", Tabela1[[#This Row],[Saída]]-Tabela1[[#This Row],[Entrada]])</f>
        <v>2.9166666666666674E-2</v>
      </c>
      <c r="U83" s="15">
        <f>IF(OR('Controle de CT'!$R83= "", 'Controle de CT'!$P83= ""), "", 'Controle de CT'!$R83-'Controle de CT'!$P83)</f>
        <v>0.12291666666666667</v>
      </c>
      <c r="V83" s="1"/>
      <c r="W83" s="2"/>
      <c r="X83" s="2"/>
    </row>
    <row r="84" spans="11:24" ht="15" hidden="1" customHeight="1">
      <c r="K84" s="5">
        <v>46066</v>
      </c>
      <c r="L84" s="25" t="s">
        <v>110</v>
      </c>
      <c r="M84" s="9" t="str">
        <f>IF(Tabela1[[#This Row],[Motorista]]="","",IFERROR(_xlfn.XLOOKUP(Tabela1[[#This Row],[Motorista]],Base!A:A,Base!B:B),""))</f>
        <v>FOB</v>
      </c>
      <c r="N84" s="20" t="str">
        <f t="shared" si="2"/>
        <v>Finalizado</v>
      </c>
      <c r="O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" s="4">
        <v>0.29166666666666669</v>
      </c>
      <c r="Q84" s="2">
        <v>0.37291666666666667</v>
      </c>
      <c r="R84" s="16">
        <v>0.47708333333333336</v>
      </c>
      <c r="S84" s="16" t="s">
        <v>85</v>
      </c>
      <c r="T84" s="14">
        <f>IF(OR(Tabela1[[#This Row],[Entrada]]="",Tabela1[[#This Row],[Saída]]=""), "", Tabela1[[#This Row],[Saída]]-Tabela1[[#This Row],[Entrada]])</f>
        <v>0.10416666666666669</v>
      </c>
      <c r="U84" s="15">
        <f>IF(OR('Controle de CT'!$R84= "", 'Controle de CT'!$P84= ""), "", 'Controle de CT'!$R84-'Controle de CT'!$P84)</f>
        <v>0.18541666666666667</v>
      </c>
      <c r="V84" s="1"/>
      <c r="W84" s="2"/>
      <c r="X84" s="2"/>
    </row>
    <row r="85" spans="11:24" ht="15" hidden="1" customHeight="1">
      <c r="K85" s="5">
        <v>46066</v>
      </c>
      <c r="L85" s="8" t="s">
        <v>48</v>
      </c>
      <c r="M85" s="9" t="str">
        <f>IF(Tabela1[[#This Row],[Motorista]]="","",IFERROR(_xlfn.XLOOKUP(Tabela1[[#This Row],[Motorista]],Base!A:A,Base!B:B),""))</f>
        <v>CIF</v>
      </c>
      <c r="N85" s="20" t="str">
        <f t="shared" si="2"/>
        <v>Finalizado</v>
      </c>
      <c r="O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5" s="4">
        <v>0.28541666666666665</v>
      </c>
      <c r="Q85" s="2">
        <v>0.30625000000000002</v>
      </c>
      <c r="R85" s="16">
        <v>0.36458333333333331</v>
      </c>
      <c r="S85" s="16" t="s">
        <v>85</v>
      </c>
      <c r="T85" s="14">
        <f>IF(OR(Tabela1[[#This Row],[Entrada]]="",Tabela1[[#This Row],[Saída]]=""), "", Tabela1[[#This Row],[Saída]]-Tabela1[[#This Row],[Entrada]])</f>
        <v>5.8333333333333293E-2</v>
      </c>
      <c r="U85" s="15">
        <f>IF(OR('Controle de CT'!$R85= "", 'Controle de CT'!$P85= ""), "", 'Controle de CT'!$R85-'Controle de CT'!$P85)</f>
        <v>7.9166666666666663E-2</v>
      </c>
      <c r="V85" s="1"/>
      <c r="W85" s="2"/>
      <c r="X85" s="2"/>
    </row>
    <row r="86" spans="11:24" ht="15" hidden="1" customHeight="1">
      <c r="K86" s="5">
        <v>46066</v>
      </c>
      <c r="L86" s="8" t="s">
        <v>46</v>
      </c>
      <c r="M86" s="9" t="str">
        <f>IF(Tabela1[[#This Row],[Motorista]]="","",IFERROR(_xlfn.XLOOKUP(Tabela1[[#This Row],[Motorista]],Base!A:A,Base!B:B),""))</f>
        <v>CIF</v>
      </c>
      <c r="N86" s="20" t="str">
        <f t="shared" si="2"/>
        <v>Finalizado</v>
      </c>
      <c r="O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6" s="4">
        <v>0.29166666666666669</v>
      </c>
      <c r="Q86" s="2">
        <v>0.31041666666666667</v>
      </c>
      <c r="R86" s="16">
        <v>0.37361111111111112</v>
      </c>
      <c r="S86" s="16" t="s">
        <v>85</v>
      </c>
      <c r="T86" s="14">
        <f>IF(OR(Tabela1[[#This Row],[Entrada]]="",Tabela1[[#This Row],[Saída]]=""), "", Tabela1[[#This Row],[Saída]]-Tabela1[[#This Row],[Entrada]])</f>
        <v>6.3194444444444442E-2</v>
      </c>
      <c r="U86" s="15">
        <f>IF(OR('Controle de CT'!$R86= "", 'Controle de CT'!$P86= ""), "", 'Controle de CT'!$R86-'Controle de CT'!$P86)</f>
        <v>8.1944444444444431E-2</v>
      </c>
      <c r="V86" s="1"/>
      <c r="W86" s="2"/>
      <c r="X86" s="2"/>
    </row>
    <row r="87" spans="11:24" ht="15" hidden="1" customHeight="1">
      <c r="K87" s="5">
        <v>46066</v>
      </c>
      <c r="L87" s="8" t="s">
        <v>92</v>
      </c>
      <c r="M87" s="9" t="str">
        <f>IF(Tabela1[[#This Row],[Motorista]]="","",IFERROR(_xlfn.XLOOKUP(Tabela1[[#This Row],[Motorista]],Base!A:A,Base!B:B),""))</f>
        <v>FOB</v>
      </c>
      <c r="N87" s="20" t="str">
        <f t="shared" si="2"/>
        <v>Finalizado</v>
      </c>
      <c r="O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7" s="4">
        <v>0.32777777777777778</v>
      </c>
      <c r="Q87" s="2">
        <v>0.38611111111111113</v>
      </c>
      <c r="R87" s="16">
        <v>0.42430555555555555</v>
      </c>
      <c r="S87" s="16" t="s">
        <v>85</v>
      </c>
      <c r="T87" s="14">
        <f>IF(OR(Tabela1[[#This Row],[Entrada]]="",Tabela1[[#This Row],[Saída]]=""), "", Tabela1[[#This Row],[Saída]]-Tabela1[[#This Row],[Entrada]])</f>
        <v>3.819444444444442E-2</v>
      </c>
      <c r="U87" s="15">
        <f>IF(OR('Controle de CT'!$R87= "", 'Controle de CT'!$P87= ""), "", 'Controle de CT'!$R87-'Controle de CT'!$P87)</f>
        <v>9.6527777777777768E-2</v>
      </c>
      <c r="V87" s="1"/>
      <c r="W87" s="2"/>
      <c r="X87" s="2"/>
    </row>
    <row r="88" spans="11:24" ht="15" hidden="1" customHeight="1">
      <c r="K88" s="5">
        <v>46066</v>
      </c>
      <c r="L88" s="8" t="s">
        <v>58</v>
      </c>
      <c r="M88" s="9" t="str">
        <f>IF(Tabela1[[#This Row],[Motorista]]="","",IFERROR(_xlfn.XLOOKUP(Tabela1[[#This Row],[Motorista]],Base!A:A,Base!B:B),""))</f>
        <v xml:space="preserve">CIF </v>
      </c>
      <c r="N88" s="20" t="str">
        <f t="shared" si="2"/>
        <v>Finalizado</v>
      </c>
      <c r="O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" s="4">
        <v>0.36388888888888887</v>
      </c>
      <c r="Q88" s="2">
        <v>0.37152777777777779</v>
      </c>
      <c r="R88" s="16">
        <v>0.45</v>
      </c>
      <c r="S88" s="16" t="s">
        <v>85</v>
      </c>
      <c r="T88" s="14">
        <f>IF(OR(Tabela1[[#This Row],[Entrada]]="",Tabela1[[#This Row],[Saída]]=""), "", Tabela1[[#This Row],[Saída]]-Tabela1[[#This Row],[Entrada]])</f>
        <v>7.8472222222222221E-2</v>
      </c>
      <c r="U88" s="15">
        <f>IF(OR('Controle de CT'!$R88= "", 'Controle de CT'!$P88= ""), "", 'Controle de CT'!$R88-'Controle de CT'!$P88)</f>
        <v>8.6111111111111138E-2</v>
      </c>
      <c r="V88" s="1"/>
      <c r="W88" s="2"/>
      <c r="X88" s="2"/>
    </row>
    <row r="89" spans="11:24" ht="15" hidden="1" customHeight="1">
      <c r="K89" s="5">
        <v>46066</v>
      </c>
      <c r="L89" s="8" t="s">
        <v>45</v>
      </c>
      <c r="M89" s="9" t="str">
        <f>IF(Tabela1[[#This Row],[Motorista]]="","",IFERROR(_xlfn.XLOOKUP(Tabela1[[#This Row],[Motorista]],Base!A:A,Base!B:B),""))</f>
        <v>CIF</v>
      </c>
      <c r="N89" s="20" t="str">
        <f t="shared" si="2"/>
        <v>Finalizado</v>
      </c>
      <c r="O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" s="4">
        <v>0.38124999999999998</v>
      </c>
      <c r="Q89" s="2">
        <v>0.3923611111111111</v>
      </c>
      <c r="R89" s="16">
        <v>0.44930555555555557</v>
      </c>
      <c r="S89" s="16" t="s">
        <v>85</v>
      </c>
      <c r="T89" s="14">
        <f>IF(OR(Tabela1[[#This Row],[Entrada]]="",Tabela1[[#This Row],[Saída]]=""), "", Tabela1[[#This Row],[Saída]]-Tabela1[[#This Row],[Entrada]])</f>
        <v>5.6944444444444464E-2</v>
      </c>
      <c r="U89" s="15">
        <f>IF(OR('Controle de CT'!$R89= "", 'Controle de CT'!$P89= ""), "", 'Controle de CT'!$R89-'Controle de CT'!$P89)</f>
        <v>6.8055555555555591E-2</v>
      </c>
      <c r="V89" s="1"/>
      <c r="W89" s="2"/>
      <c r="X89" s="2"/>
    </row>
    <row r="90" spans="11:24" ht="15" hidden="1" customHeight="1">
      <c r="K90" s="5">
        <v>46066</v>
      </c>
      <c r="L90" s="8" t="s">
        <v>111</v>
      </c>
      <c r="M90" s="9" t="str">
        <f>IF(Tabela1[[#This Row],[Motorista]]="","",IFERROR(_xlfn.XLOOKUP(Tabela1[[#This Row],[Motorista]],Base!A:A,Base!B:B),""))</f>
        <v>FOB</v>
      </c>
      <c r="N90" s="20" t="str">
        <f t="shared" si="2"/>
        <v>Fila de Carregamento</v>
      </c>
      <c r="O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0" s="4">
        <v>0.41249999999999998</v>
      </c>
      <c r="Q90" s="2">
        <v>0.46527777777777779</v>
      </c>
      <c r="R90" s="16"/>
      <c r="S90" s="16"/>
      <c r="T90" s="14" t="str">
        <f>IF(OR(Tabela1[[#This Row],[Entrada]]="",Tabela1[[#This Row],[Saída]]=""), "", Tabela1[[#This Row],[Saída]]-Tabela1[[#This Row],[Entrada]])</f>
        <v/>
      </c>
      <c r="U90" s="15" t="str">
        <f>IF(OR('Controle de CT'!$R90= "", 'Controle de CT'!$P90= ""), "", 'Controle de CT'!$R90-'Controle de CT'!$P90)</f>
        <v/>
      </c>
      <c r="V90" s="1"/>
      <c r="W90" s="2"/>
      <c r="X90" s="2"/>
    </row>
    <row r="91" spans="11:24" ht="15" hidden="1" customHeight="1">
      <c r="K91" s="5">
        <v>46066</v>
      </c>
      <c r="L91" s="8" t="s">
        <v>86</v>
      </c>
      <c r="M91" s="9" t="str">
        <f>IF(Tabela1[[#This Row],[Motorista]]="","",IFERROR(_xlfn.XLOOKUP(Tabela1[[#This Row],[Motorista]],Base!A:A,Base!B:B),""))</f>
        <v>FOB</v>
      </c>
      <c r="N91" s="20" t="str">
        <f t="shared" si="2"/>
        <v>Finalizado</v>
      </c>
      <c r="O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" s="4">
        <v>0.43680555555555556</v>
      </c>
      <c r="Q91" s="2">
        <v>0.46388888888888891</v>
      </c>
      <c r="R91" s="16">
        <v>0.52777777777777779</v>
      </c>
      <c r="S91" s="16" t="s">
        <v>85</v>
      </c>
      <c r="T91" s="14">
        <f>IF(OR(Tabela1[[#This Row],[Entrada]]="",Tabela1[[#This Row],[Saída]]=""), "", Tabela1[[#This Row],[Saída]]-Tabela1[[#This Row],[Entrada]])</f>
        <v>6.3888888888888884E-2</v>
      </c>
      <c r="U91" s="15">
        <f>IF(OR('Controle de CT'!$R91= "", 'Controle de CT'!$P91= ""), "", 'Controle de CT'!$R91-'Controle de CT'!$P91)</f>
        <v>9.0972222222222232E-2</v>
      </c>
      <c r="V91" s="1"/>
      <c r="W91" s="2"/>
      <c r="X91" s="2"/>
    </row>
    <row r="92" spans="11:24" ht="15" hidden="1" customHeight="1">
      <c r="K92" s="5">
        <v>46066</v>
      </c>
      <c r="L92" s="8" t="s">
        <v>49</v>
      </c>
      <c r="M92" s="9" t="str">
        <f>IF(Tabela1[[#This Row],[Motorista]]="","",IFERROR(_xlfn.XLOOKUP(Tabela1[[#This Row],[Motorista]],Base!A:A,Base!B:B),""))</f>
        <v>CIF</v>
      </c>
      <c r="N92" s="20" t="str">
        <f t="shared" si="2"/>
        <v>Finalizado</v>
      </c>
      <c r="O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2" s="4">
        <v>0.43819444444444444</v>
      </c>
      <c r="Q92" s="2">
        <v>0.46180555555555558</v>
      </c>
      <c r="R92" s="16">
        <v>0.56736111111111109</v>
      </c>
      <c r="S92" s="16" t="s">
        <v>85</v>
      </c>
      <c r="T92" s="14">
        <f>IF(OR(Tabela1[[#This Row],[Entrada]]="",Tabela1[[#This Row],[Saída]]=""), "", Tabela1[[#This Row],[Saída]]-Tabela1[[#This Row],[Entrada]])</f>
        <v>0.10555555555555551</v>
      </c>
      <c r="U92" s="15">
        <f>IF(OR('Controle de CT'!$R92= "", 'Controle de CT'!$P92= ""), "", 'Controle de CT'!$R92-'Controle de CT'!$P92)</f>
        <v>0.12916666666666665</v>
      </c>
      <c r="V92" s="1"/>
      <c r="W92" s="2"/>
      <c r="X92" s="2"/>
    </row>
    <row r="93" spans="11:24" ht="15" hidden="1" customHeight="1">
      <c r="K93" s="5">
        <v>46066</v>
      </c>
      <c r="L93" s="8" t="s">
        <v>98</v>
      </c>
      <c r="M93" s="9" t="str">
        <f>IF(Tabela1[[#This Row],[Motorista]]="","",IFERROR(_xlfn.XLOOKUP(Tabela1[[#This Row],[Motorista]],Base!A:A,Base!B:B),""))</f>
        <v>FOB</v>
      </c>
      <c r="N93" s="20" t="str">
        <f t="shared" si="2"/>
        <v>Fila de Carregamento</v>
      </c>
      <c r="O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" s="4">
        <v>0.44444444444444442</v>
      </c>
      <c r="Q93" s="2">
        <v>0.47847222222222224</v>
      </c>
      <c r="R93" s="16"/>
      <c r="S93" s="16"/>
      <c r="T93" s="14" t="str">
        <f>IF(OR(Tabela1[[#This Row],[Entrada]]="",Tabela1[[#This Row],[Saída]]=""), "", Tabela1[[#This Row],[Saída]]-Tabela1[[#This Row],[Entrada]])</f>
        <v/>
      </c>
      <c r="U93" s="15" t="str">
        <f>IF(OR('Controle de CT'!$R93= "", 'Controle de CT'!$P93= ""), "", 'Controle de CT'!$R93-'Controle de CT'!$P93)</f>
        <v/>
      </c>
      <c r="V93" s="1"/>
      <c r="W93" s="2"/>
      <c r="X93" s="2"/>
    </row>
    <row r="94" spans="11:24" ht="15" hidden="1" customHeight="1">
      <c r="K94" s="5">
        <v>46066</v>
      </c>
      <c r="L94" s="8" t="s">
        <v>112</v>
      </c>
      <c r="M94" s="9" t="str">
        <f>IF(Tabela1[[#This Row],[Motorista]]="","",IFERROR(_xlfn.XLOOKUP(Tabela1[[#This Row],[Motorista]],Base!A:A,Base!B:B),""))</f>
        <v>FOB</v>
      </c>
      <c r="N94" s="20" t="str">
        <f t="shared" si="2"/>
        <v>Aguardando Entrada</v>
      </c>
      <c r="O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" s="4">
        <v>0.45069444444444445</v>
      </c>
      <c r="R94" s="16"/>
      <c r="S94" s="16"/>
      <c r="T94" s="14" t="str">
        <f>IF(OR(Tabela1[[#This Row],[Entrada]]="",Tabela1[[#This Row],[Saída]]=""), "", Tabela1[[#This Row],[Saída]]-Tabela1[[#This Row],[Entrada]])</f>
        <v/>
      </c>
      <c r="U94" s="15" t="str">
        <f>IF(OR('Controle de CT'!$R94= "", 'Controle de CT'!$P94= ""), "", 'Controle de CT'!$R94-'Controle de CT'!$P94)</f>
        <v/>
      </c>
      <c r="V94" s="1"/>
      <c r="W94" s="2"/>
      <c r="X94" s="2"/>
    </row>
    <row r="95" spans="11:24" ht="15" hidden="1" customHeight="1">
      <c r="K95" s="5">
        <v>46066</v>
      </c>
      <c r="L95" s="8" t="s">
        <v>88</v>
      </c>
      <c r="M95" s="9" t="str">
        <f>IF(Tabela1[[#This Row],[Motorista]]="","",IFERROR(_xlfn.XLOOKUP(Tabela1[[#This Row],[Motorista]],Base!A:A,Base!B:B),""))</f>
        <v>RZD</v>
      </c>
      <c r="N95" s="20" t="str">
        <f t="shared" si="2"/>
        <v>Aguardando Entrada</v>
      </c>
      <c r="O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5" s="2">
        <v>0.38194444444444442</v>
      </c>
      <c r="R95" s="16"/>
      <c r="S95" s="16"/>
      <c r="T95" s="14" t="str">
        <f>IF(OR(Tabela1[[#This Row],[Entrada]]="",Tabela1[[#This Row],[Saída]]=""), "", Tabela1[[#This Row],[Saída]]-Tabela1[[#This Row],[Entrada]])</f>
        <v/>
      </c>
      <c r="U95" s="15" t="str">
        <f>IF(OR('Controle de CT'!$R95= "", 'Controle de CT'!$P95= ""), "", 'Controle de CT'!$R95-'Controle de CT'!$P95)</f>
        <v/>
      </c>
      <c r="V95" s="1"/>
      <c r="W95" s="2"/>
      <c r="X95" s="2"/>
    </row>
    <row r="96" spans="11:24" ht="15" hidden="1" customHeight="1">
      <c r="K96" s="5">
        <v>46066</v>
      </c>
      <c r="L96" s="8" t="s">
        <v>113</v>
      </c>
      <c r="M96" s="9" t="str">
        <f>IF(Tabela1[[#This Row],[Motorista]]="","",IFERROR(_xlfn.XLOOKUP(Tabela1[[#This Row],[Motorista]],Base!A:A,Base!B:B),""))</f>
        <v>Transferência</v>
      </c>
      <c r="N96" s="20" t="str">
        <f t="shared" si="2"/>
        <v>Aguardando Entrada</v>
      </c>
      <c r="O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6" s="2">
        <v>0.45694444444444443</v>
      </c>
      <c r="R96" s="16"/>
      <c r="S96" s="16"/>
      <c r="T96" s="14" t="str">
        <f>IF(OR(Tabela1[[#This Row],[Entrada]]="",Tabela1[[#This Row],[Saída]]=""), "", Tabela1[[#This Row],[Saída]]-Tabela1[[#This Row],[Entrada]])</f>
        <v/>
      </c>
      <c r="U96" s="15" t="str">
        <f>IF(OR('Controle de CT'!$R96= "", 'Controle de CT'!$P96= ""), "", 'Controle de CT'!$R96-'Controle de CT'!$P96)</f>
        <v/>
      </c>
      <c r="V96" s="1"/>
      <c r="W96" s="2"/>
      <c r="X96" s="2"/>
    </row>
    <row r="97" spans="11:24" ht="15" hidden="1" customHeight="1">
      <c r="K97" s="5">
        <v>46066</v>
      </c>
      <c r="L97" s="8" t="s">
        <v>57</v>
      </c>
      <c r="M97" s="9" t="str">
        <f>IF(Tabela1[[#This Row],[Motorista]]="","",IFERROR(_xlfn.XLOOKUP(Tabela1[[#This Row],[Motorista]],Base!A:A,Base!B:B),""))</f>
        <v>CIF</v>
      </c>
      <c r="N97" s="20" t="str">
        <f t="shared" si="2"/>
        <v>Finalizado</v>
      </c>
      <c r="O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" s="2">
        <v>0.46805555555555556</v>
      </c>
      <c r="Q97" s="2">
        <v>0.47569444444444442</v>
      </c>
      <c r="R97" s="16">
        <v>0.52083333333333337</v>
      </c>
      <c r="S97" s="16" t="s">
        <v>85</v>
      </c>
      <c r="T97" s="14">
        <f>IF(OR(Tabela1[[#This Row],[Entrada]]="",Tabela1[[#This Row],[Saída]]=""), "", Tabela1[[#This Row],[Saída]]-Tabela1[[#This Row],[Entrada]])</f>
        <v>4.5138888888888951E-2</v>
      </c>
      <c r="U97" s="15">
        <f>IF(OR('Controle de CT'!$R97= "", 'Controle de CT'!$P97= ""), "", 'Controle de CT'!$R97-'Controle de CT'!$P97)</f>
        <v>5.2777777777777812E-2</v>
      </c>
      <c r="V97" s="1"/>
      <c r="W97" s="2"/>
      <c r="X97" s="2"/>
    </row>
    <row r="98" spans="11:24" ht="15" hidden="1" customHeight="1">
      <c r="K98" s="5">
        <v>46066</v>
      </c>
      <c r="L98" s="8" t="s">
        <v>52</v>
      </c>
      <c r="M98" s="9" t="str">
        <f>IF(Tabela1[[#This Row],[Motorista]]="","",IFERROR(_xlfn.XLOOKUP(Tabela1[[#This Row],[Motorista]],Base!A:A,Base!B:B),""))</f>
        <v>CIF</v>
      </c>
      <c r="N98" s="20" t="str">
        <f t="shared" si="2"/>
        <v>Fila de Carregamento</v>
      </c>
      <c r="O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" s="4"/>
      <c r="Q98" s="4">
        <v>0.56180555555555556</v>
      </c>
      <c r="R98" s="23"/>
      <c r="S98" s="16" t="s">
        <v>85</v>
      </c>
      <c r="T98" s="14" t="str">
        <f>IF(OR(Tabela1[[#This Row],[Entrada]]="",Tabela1[[#This Row],[Saída]]=""), "", Tabela1[[#This Row],[Saída]]-Tabela1[[#This Row],[Entrada]])</f>
        <v/>
      </c>
      <c r="U98" s="15" t="str">
        <f>IF(OR('Controle de CT'!$R98= "", 'Controle de CT'!$P98= ""), "", 'Controle de CT'!$R98-'Controle de CT'!$P98)</f>
        <v/>
      </c>
      <c r="V98" s="1"/>
      <c r="W98" s="2"/>
      <c r="X98" s="2"/>
    </row>
    <row r="99" spans="11:24" ht="15" hidden="1" customHeight="1">
      <c r="K99" s="5">
        <v>46066</v>
      </c>
      <c r="L99" s="8" t="s">
        <v>46</v>
      </c>
      <c r="M99" s="9" t="str">
        <f>IF(Tabela1[[#This Row],[Motorista]]="","",IFERROR(_xlfn.XLOOKUP(Tabela1[[#This Row],[Motorista]],Base!A:A,Base!B:B),""))</f>
        <v>CIF</v>
      </c>
      <c r="N99" s="20" t="str">
        <f t="shared" si="2"/>
        <v>Fila de Carregamento</v>
      </c>
      <c r="O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9" s="4"/>
      <c r="Q99" s="4">
        <v>0.56180555555555556</v>
      </c>
      <c r="R99" s="23"/>
      <c r="S99" s="16" t="s">
        <v>85</v>
      </c>
      <c r="T99" s="14" t="str">
        <f>IF(OR(Tabela1[[#This Row],[Entrada]]="",Tabela1[[#This Row],[Saída]]=""), "", Tabela1[[#This Row],[Saída]]-Tabela1[[#This Row],[Entrada]])</f>
        <v/>
      </c>
      <c r="U99" s="15" t="str">
        <f>IF(OR('Controle de CT'!$R99= "", 'Controle de CT'!$P99= ""), "", 'Controle de CT'!$R99-'Controle de CT'!$P99)</f>
        <v/>
      </c>
      <c r="V99" s="1"/>
      <c r="W99" s="2"/>
      <c r="X99" s="2"/>
    </row>
    <row r="100" spans="11:24" ht="15" hidden="1" customHeight="1">
      <c r="K100" s="5">
        <v>46066</v>
      </c>
      <c r="L100" s="8" t="s">
        <v>114</v>
      </c>
      <c r="M100" s="9" t="str">
        <f>IF(Tabela1[[#This Row],[Motorista]]="","",IFERROR(_xlfn.XLOOKUP(Tabela1[[#This Row],[Motorista]],Base!A:A,Base!B:B),""))</f>
        <v>FOB</v>
      </c>
      <c r="N100" s="20" t="str">
        <f t="shared" si="2"/>
        <v>Fila de Carregamento</v>
      </c>
      <c r="O1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0" s="4">
        <v>0.33333333333333331</v>
      </c>
      <c r="Q100" s="4">
        <v>0.64583333333333337</v>
      </c>
      <c r="R100" s="23"/>
      <c r="S100" s="16" t="s">
        <v>85</v>
      </c>
      <c r="T100" s="14" t="str">
        <f>IF(OR(Tabela1[[#This Row],[Entrada]]="",Tabela1[[#This Row],[Saída]]=""), "", Tabela1[[#This Row],[Saída]]-Tabela1[[#This Row],[Entrada]])</f>
        <v/>
      </c>
      <c r="U100" s="15" t="str">
        <f>IF(OR('Controle de CT'!$R100= "", 'Controle de CT'!$P100= ""), "", 'Controle de CT'!$R100-'Controle de CT'!$P100)</f>
        <v/>
      </c>
      <c r="V100" s="1"/>
      <c r="W100" s="2"/>
      <c r="X100" s="2"/>
    </row>
    <row r="101" spans="11:24" ht="15" hidden="1" customHeight="1">
      <c r="K101" s="5">
        <v>46066</v>
      </c>
      <c r="L101" s="8" t="s">
        <v>92</v>
      </c>
      <c r="M101" s="9" t="str">
        <f>IF(Tabela1[[#This Row],[Motorista]]="","",IFERROR(_xlfn.XLOOKUP(Tabela1[[#This Row],[Motorista]],Base!A:A,Base!B:B),""))</f>
        <v>FOB</v>
      </c>
      <c r="N101" s="20" t="str">
        <f t="shared" si="2"/>
        <v>Fila de Carregamento</v>
      </c>
      <c r="O1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1" s="4">
        <v>0.50624999999999998</v>
      </c>
      <c r="Q101" s="4">
        <v>0.63541666666666663</v>
      </c>
      <c r="R101" s="23"/>
      <c r="S101" s="16" t="s">
        <v>85</v>
      </c>
      <c r="T101" s="14" t="str">
        <f>IF(OR(Tabela1[[#This Row],[Entrada]]="",Tabela1[[#This Row],[Saída]]=""), "", Tabela1[[#This Row],[Saída]]-Tabela1[[#This Row],[Entrada]])</f>
        <v/>
      </c>
      <c r="U101" s="15" t="str">
        <f>IF(OR('Controle de CT'!$R101= "", 'Controle de CT'!$P101= ""), "", 'Controle de CT'!$R101-'Controle de CT'!$P101)</f>
        <v/>
      </c>
      <c r="V101" s="1"/>
      <c r="W101" s="2"/>
      <c r="X101" s="2"/>
    </row>
    <row r="102" spans="11:24" ht="15" hidden="1" customHeight="1">
      <c r="K102" s="5">
        <v>46066</v>
      </c>
      <c r="L102" s="8" t="s">
        <v>89</v>
      </c>
      <c r="M102" s="9" t="str">
        <f>IF(Tabela1[[#This Row],[Motorista]]="","",IFERROR(_xlfn.XLOOKUP(Tabela1[[#This Row],[Motorista]],Base!A:A,Base!B:B),""))</f>
        <v>FOB</v>
      </c>
      <c r="N102" s="20" t="str">
        <f t="shared" si="2"/>
        <v>Aguardando Entrada</v>
      </c>
      <c r="O1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" s="4">
        <v>0.57708333333333328</v>
      </c>
      <c r="Q102" s="4"/>
      <c r="R102" s="23"/>
      <c r="S102" s="16" t="s">
        <v>85</v>
      </c>
      <c r="T102" s="14" t="str">
        <f>IF(OR(Tabela1[[#This Row],[Entrada]]="",Tabela1[[#This Row],[Saída]]=""), "", Tabela1[[#This Row],[Saída]]-Tabela1[[#This Row],[Entrada]])</f>
        <v/>
      </c>
      <c r="U102" s="15" t="str">
        <f>IF(OR('Controle de CT'!$R102= "", 'Controle de CT'!$P102= ""), "", 'Controle de CT'!$R102-'Controle de CT'!$P102)</f>
        <v/>
      </c>
      <c r="V102" s="1"/>
      <c r="W102" s="2"/>
      <c r="X102" s="2"/>
    </row>
    <row r="103" spans="11:24" ht="15" hidden="1" customHeight="1">
      <c r="K103" s="5">
        <v>46066</v>
      </c>
      <c r="L103" s="8" t="s">
        <v>104</v>
      </c>
      <c r="M103" s="9" t="str">
        <f>IF(Tabela1[[#This Row],[Motorista]]="","",IFERROR(_xlfn.XLOOKUP(Tabela1[[#This Row],[Motorista]],Base!A:A,Base!B:B),""))</f>
        <v>RZD</v>
      </c>
      <c r="N103" s="20"/>
      <c r="O1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" s="2">
        <v>0.54166666666666663</v>
      </c>
      <c r="Q103" s="2">
        <v>0.62430555555555556</v>
      </c>
      <c r="R103" s="16"/>
      <c r="S103" s="16" t="s">
        <v>85</v>
      </c>
      <c r="T103" s="14" t="str">
        <f>IF(OR(Tabela1[[#This Row],[Entrada]]="",Tabela1[[#This Row],[Saída]]=""), "", Tabela1[[#This Row],[Saída]]-Tabela1[[#This Row],[Entrada]])</f>
        <v/>
      </c>
      <c r="U103" s="15" t="str">
        <f>IF(OR('Controle de CT'!$R103= "", 'Controle de CT'!$P103= ""), "", 'Controle de CT'!$R103-'Controle de CT'!$P103)</f>
        <v/>
      </c>
      <c r="V103" s="1"/>
      <c r="W103" s="2"/>
      <c r="X103" s="2"/>
    </row>
    <row r="104" spans="11:24" ht="15" hidden="1" customHeight="1">
      <c r="K104" s="5">
        <v>46066</v>
      </c>
      <c r="L104" s="8" t="s">
        <v>115</v>
      </c>
      <c r="M104" s="9" t="str">
        <f>IF(Tabela1[[#This Row],[Motorista]]="","",IFERROR(_xlfn.XLOOKUP(Tabela1[[#This Row],[Motorista]],Base!A:A,Base!B:B),""))</f>
        <v>CIF</v>
      </c>
      <c r="N104" s="20" t="str">
        <f t="shared" ref="N104:N167" si="3">IF(R104&lt;&gt;"","Finalizado", IF(Q104&lt;&gt;"","Fila de Carregamento", IF(P104&lt;&gt;"","Aguardando Entrada","")))</f>
        <v>Aguardando Entrada</v>
      </c>
      <c r="O1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" s="2">
        <v>0.57708333333333328</v>
      </c>
      <c r="R104" s="16"/>
      <c r="S104" s="16" t="s">
        <v>85</v>
      </c>
      <c r="T104" s="14" t="str">
        <f>IF(OR(Tabela1[[#This Row],[Entrada]]="",Tabela1[[#This Row],[Saída]]=""), "", Tabela1[[#This Row],[Saída]]-Tabela1[[#This Row],[Entrada]])</f>
        <v/>
      </c>
      <c r="U104" s="15" t="str">
        <f>IF(OR('Controle de CT'!$R104= "", 'Controle de CT'!$P104= ""), "", 'Controle de CT'!$R104-'Controle de CT'!$P104)</f>
        <v/>
      </c>
      <c r="V104" s="1"/>
      <c r="W104" s="2"/>
      <c r="X104" s="2"/>
    </row>
    <row r="105" spans="11:24" ht="15" hidden="1" customHeight="1">
      <c r="K105" s="5">
        <v>46066</v>
      </c>
      <c r="L105" s="8" t="s">
        <v>116</v>
      </c>
      <c r="M105" s="9" t="str">
        <f>IF(Tabela1[[#This Row],[Motorista]]="","",IFERROR(_xlfn.XLOOKUP(Tabela1[[#This Row],[Motorista]],Base!A:A,Base!B:B),""))</f>
        <v xml:space="preserve">CIF </v>
      </c>
      <c r="N105" s="20" t="str">
        <f t="shared" si="3"/>
        <v>Aguardando Entrada</v>
      </c>
      <c r="O1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" s="2">
        <v>0.60347222222222219</v>
      </c>
      <c r="R105" s="16"/>
      <c r="S105" s="16" t="s">
        <v>85</v>
      </c>
      <c r="T105" s="14" t="str">
        <f>IF(OR(Tabela1[[#This Row],[Entrada]]="",Tabela1[[#This Row],[Saída]]=""), "", Tabela1[[#This Row],[Saída]]-Tabela1[[#This Row],[Entrada]])</f>
        <v/>
      </c>
      <c r="U105" s="15" t="str">
        <f>IF(OR('Controle de CT'!$R105= "", 'Controle de CT'!$P105= ""), "", 'Controle de CT'!$R105-'Controle de CT'!$P105)</f>
        <v/>
      </c>
      <c r="V105" s="1"/>
      <c r="W105" s="2"/>
      <c r="X105" s="2"/>
    </row>
    <row r="106" spans="11:24" ht="15" hidden="1" customHeight="1">
      <c r="K106" s="5">
        <v>46066</v>
      </c>
      <c r="L106" s="8" t="s">
        <v>58</v>
      </c>
      <c r="M106" s="9" t="str">
        <f>IF(Tabela1[[#This Row],[Motorista]]="","",IFERROR(_xlfn.XLOOKUP(Tabela1[[#This Row],[Motorista]],Base!A:A,Base!B:B),""))</f>
        <v xml:space="preserve">CIF </v>
      </c>
      <c r="N106" s="20" t="str">
        <f t="shared" si="3"/>
        <v>Fila de Carregamento</v>
      </c>
      <c r="O1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6" s="2">
        <v>0.6</v>
      </c>
      <c r="Q106" s="2">
        <v>0.62430555555555556</v>
      </c>
      <c r="R106" s="16"/>
      <c r="S106" s="16" t="s">
        <v>85</v>
      </c>
      <c r="T106" s="14" t="str">
        <f>IF(OR(Tabela1[[#This Row],[Entrada]]="",Tabela1[[#This Row],[Saída]]=""), "", Tabela1[[#This Row],[Saída]]-Tabela1[[#This Row],[Entrada]])</f>
        <v/>
      </c>
      <c r="U106" s="15" t="str">
        <f>IF(OR('Controle de CT'!$R106= "", 'Controle de CT'!$P106= ""), "", 'Controle de CT'!$R106-'Controle de CT'!$P106)</f>
        <v/>
      </c>
      <c r="V106" s="1"/>
      <c r="W106" s="2"/>
      <c r="X106" s="2"/>
    </row>
    <row r="107" spans="11:24" ht="15" hidden="1" customHeight="1">
      <c r="K107" s="5">
        <v>46067</v>
      </c>
      <c r="L107" s="8" t="s">
        <v>45</v>
      </c>
      <c r="M107" s="9" t="str">
        <f>IF(Tabela1[[#This Row],[Motorista]]="","",IFERROR(_xlfn.XLOOKUP(Tabela1[[#This Row],[Motorista]],Base!A:A,Base!B:B),""))</f>
        <v>CIF</v>
      </c>
      <c r="N107" s="20" t="str">
        <f t="shared" si="3"/>
        <v>Finalizado</v>
      </c>
      <c r="O1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" s="2">
        <v>0.21597222222222223</v>
      </c>
      <c r="Q107" s="2">
        <v>0.37847222222222221</v>
      </c>
      <c r="R107" s="16">
        <v>0.44166666666666665</v>
      </c>
      <c r="S107" s="16" t="s">
        <v>85</v>
      </c>
      <c r="T107" s="14">
        <f>IF(OR(Tabela1[[#This Row],[Entrada]]="",Tabela1[[#This Row],[Saída]]=""), "", Tabela1[[#This Row],[Saída]]-Tabela1[[#This Row],[Entrada]])</f>
        <v>6.3194444444444442E-2</v>
      </c>
      <c r="U107" s="15">
        <f>IF(OR('Controle de CT'!$R107= "", 'Controle de CT'!$P107= ""), "", 'Controle de CT'!$R107-'Controle de CT'!$P107)</f>
        <v>0.22569444444444442</v>
      </c>
      <c r="V107" s="1"/>
      <c r="W107" s="2"/>
      <c r="X107" s="2"/>
    </row>
    <row r="108" spans="11:24" ht="15" hidden="1" customHeight="1">
      <c r="K108" s="5">
        <v>46067</v>
      </c>
      <c r="L108" s="8" t="s">
        <v>101</v>
      </c>
      <c r="M108" s="9" t="str">
        <f>IF(Tabela1[[#This Row],[Motorista]]="","",IFERROR(_xlfn.XLOOKUP(Tabela1[[#This Row],[Motorista]],Base!A:A,Base!B:B),""))</f>
        <v>FOB</v>
      </c>
      <c r="N108" s="20" t="str">
        <f t="shared" si="3"/>
        <v>Finalizado</v>
      </c>
      <c r="O1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" s="2">
        <v>0.22500000000000001</v>
      </c>
      <c r="Q108" s="2">
        <v>0.2722222222222222</v>
      </c>
      <c r="R108" s="16">
        <v>0.28472222222222221</v>
      </c>
      <c r="S108" s="16" t="s">
        <v>85</v>
      </c>
      <c r="T108" s="14">
        <f>IF(OR(Tabela1[[#This Row],[Entrada]]="",Tabela1[[#This Row],[Saída]]=""), "", Tabela1[[#This Row],[Saída]]-Tabela1[[#This Row],[Entrada]])</f>
        <v>1.2500000000000011E-2</v>
      </c>
      <c r="U108" s="15">
        <f>IF(OR('Controle de CT'!$R108= "", 'Controle de CT'!$P108= ""), "", 'Controle de CT'!$R108-'Controle de CT'!$P108)</f>
        <v>5.9722222222222204E-2</v>
      </c>
      <c r="V108" s="1"/>
      <c r="W108" s="2"/>
      <c r="X108" s="2"/>
    </row>
    <row r="109" spans="11:24" ht="15" hidden="1" customHeight="1">
      <c r="K109" s="5">
        <v>46067</v>
      </c>
      <c r="L109" s="8" t="s">
        <v>117</v>
      </c>
      <c r="M109" s="9" t="str">
        <f>IF(Tabela1[[#This Row],[Motorista]]="","",IFERROR(_xlfn.XLOOKUP(Tabela1[[#This Row],[Motorista]],Base!A:A,Base!B:B),""))</f>
        <v>FOB</v>
      </c>
      <c r="N109" s="20" t="str">
        <f t="shared" si="3"/>
        <v>Finalizado</v>
      </c>
      <c r="O1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" s="2">
        <v>0.23541666666666666</v>
      </c>
      <c r="Q109" s="2">
        <v>0.37986111111111109</v>
      </c>
      <c r="R109" s="16">
        <v>0.41666666666666669</v>
      </c>
      <c r="S109" s="16" t="s">
        <v>85</v>
      </c>
      <c r="T109" s="14">
        <f>IF(OR(Tabela1[[#This Row],[Entrada]]="",Tabela1[[#This Row],[Saída]]=""), "", Tabela1[[#This Row],[Saída]]-Tabela1[[#This Row],[Entrada]])</f>
        <v>3.6805555555555591E-2</v>
      </c>
      <c r="U109" s="15">
        <f>IF(OR('Controle de CT'!$R109= "", 'Controle de CT'!$P109= ""), "", 'Controle de CT'!$R109-'Controle de CT'!$P109)</f>
        <v>0.18125000000000002</v>
      </c>
      <c r="V109" s="1"/>
      <c r="W109" s="2"/>
      <c r="X109" s="2"/>
    </row>
    <row r="110" spans="11:24" ht="15" hidden="1" customHeight="1">
      <c r="K110" s="5">
        <v>46067</v>
      </c>
      <c r="L110" s="8" t="s">
        <v>86</v>
      </c>
      <c r="M110" s="9" t="str">
        <f>IF(Tabela1[[#This Row],[Motorista]]="","",IFERROR(_xlfn.XLOOKUP(Tabela1[[#This Row],[Motorista]],Base!A:A,Base!B:B),""))</f>
        <v>FOB</v>
      </c>
      <c r="N110" s="20" t="str">
        <f t="shared" si="3"/>
        <v>Finalizado</v>
      </c>
      <c r="O1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" s="4">
        <v>0.2722222222222222</v>
      </c>
      <c r="Q110" s="4">
        <v>0.3263888888888889</v>
      </c>
      <c r="R110" s="23">
        <v>0.42083333333333334</v>
      </c>
      <c r="S110" s="16" t="s">
        <v>85</v>
      </c>
      <c r="T110" s="14">
        <f>IF(OR(Tabela1[[#This Row],[Entrada]]="",Tabela1[[#This Row],[Saída]]=""), "", Tabela1[[#This Row],[Saída]]-Tabela1[[#This Row],[Entrada]])</f>
        <v>9.4444444444444442E-2</v>
      </c>
      <c r="U110" s="15">
        <f>IF(OR('Controle de CT'!$R110= "", 'Controle de CT'!$P110= ""), "", 'Controle de CT'!$R110-'Controle de CT'!$P110)</f>
        <v>0.14861111111111114</v>
      </c>
      <c r="V110" s="1"/>
      <c r="W110" s="2"/>
      <c r="X110" s="2"/>
    </row>
    <row r="111" spans="11:24" ht="15" hidden="1" customHeight="1">
      <c r="K111" s="5">
        <v>46036</v>
      </c>
      <c r="L111" s="8" t="s">
        <v>87</v>
      </c>
      <c r="M111" s="9" t="str">
        <f>IF(Tabela1[[#This Row],[Motorista]]="","",IFERROR(_xlfn.XLOOKUP(Tabela1[[#This Row],[Motorista]],Base!A:A,Base!B:B),""))</f>
        <v>FOB</v>
      </c>
      <c r="N111" s="20" t="str">
        <f t="shared" si="3"/>
        <v>Finalizado</v>
      </c>
      <c r="O1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" s="4">
        <v>0.32777777777777778</v>
      </c>
      <c r="Q111" s="4">
        <v>0.39861111111111114</v>
      </c>
      <c r="R111" s="23">
        <v>0.45</v>
      </c>
      <c r="S111" s="16" t="s">
        <v>85</v>
      </c>
      <c r="T111" s="14">
        <f>IF(OR(Tabela1[[#This Row],[Entrada]]="",Tabela1[[#This Row],[Saída]]=""), "", Tabela1[[#This Row],[Saída]]-Tabela1[[#This Row],[Entrada]])</f>
        <v>5.1388888888888873E-2</v>
      </c>
      <c r="U111" s="15">
        <f>IF(OR('Controle de CT'!$R111= "", 'Controle de CT'!$P111= ""), "", 'Controle de CT'!$R111-'Controle de CT'!$P111)</f>
        <v>0.12222222222222223</v>
      </c>
      <c r="V111" s="1"/>
      <c r="W111" s="2"/>
      <c r="X111" s="2"/>
    </row>
    <row r="112" spans="11:24" ht="15" hidden="1" customHeight="1">
      <c r="K112" s="5">
        <v>46036</v>
      </c>
      <c r="L112" s="8" t="s">
        <v>92</v>
      </c>
      <c r="M112" s="9" t="str">
        <f>IF(Tabela1[[#This Row],[Motorista]]="","",IFERROR(_xlfn.XLOOKUP(Tabela1[[#This Row],[Motorista]],Base!A:A,Base!B:B),""))</f>
        <v>FOB</v>
      </c>
      <c r="N112" s="20" t="str">
        <f t="shared" si="3"/>
        <v>Finalizado</v>
      </c>
      <c r="O1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" s="4">
        <v>0.26527777777777778</v>
      </c>
      <c r="Q112" s="4">
        <v>0.40972222222222221</v>
      </c>
      <c r="R112" s="23">
        <v>0.44861111111111113</v>
      </c>
      <c r="S112" s="16" t="s">
        <v>85</v>
      </c>
      <c r="T112" s="14">
        <f>IF(OR(Tabela1[[#This Row],[Entrada]]="",Tabela1[[#This Row],[Saída]]=""), "", Tabela1[[#This Row],[Saída]]-Tabela1[[#This Row],[Entrada]])</f>
        <v>3.8888888888888917E-2</v>
      </c>
      <c r="U112" s="15">
        <f>IF(OR('Controle de CT'!$R112= "", 'Controle de CT'!$P112= ""), "", 'Controle de CT'!$R112-'Controle de CT'!$P112)</f>
        <v>0.18333333333333335</v>
      </c>
      <c r="V112" s="1"/>
      <c r="W112" s="2"/>
      <c r="X112" s="2"/>
    </row>
    <row r="113" spans="11:24" ht="15" hidden="1" customHeight="1">
      <c r="K113" s="5">
        <v>46067</v>
      </c>
      <c r="L113" s="8" t="s">
        <v>42</v>
      </c>
      <c r="M113" s="9" t="str">
        <f>IF(Tabela1[[#This Row],[Motorista]]="","",IFERROR(_xlfn.XLOOKUP(Tabela1[[#This Row],[Motorista]],Base!A:A,Base!B:B),""))</f>
        <v>CIF</v>
      </c>
      <c r="N113" s="20" t="str">
        <f t="shared" si="3"/>
        <v>Finalizado</v>
      </c>
      <c r="O1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3" s="4">
        <v>0.25</v>
      </c>
      <c r="Q113" s="4">
        <v>0.28055555555555556</v>
      </c>
      <c r="R113" s="23">
        <v>0.34375</v>
      </c>
      <c r="S113" s="16" t="s">
        <v>85</v>
      </c>
      <c r="T113" s="14">
        <f>IF(OR(Tabela1[[#This Row],[Entrada]]="",Tabela1[[#This Row],[Saída]]=""), "", Tabela1[[#This Row],[Saída]]-Tabela1[[#This Row],[Entrada]])</f>
        <v>6.3194444444444442E-2</v>
      </c>
      <c r="U113" s="15">
        <f>IF(OR('Controle de CT'!$R113= "", 'Controle de CT'!$P113= ""), "", 'Controle de CT'!$R113-'Controle de CT'!$P113)</f>
        <v>9.375E-2</v>
      </c>
      <c r="V113" s="1"/>
      <c r="W113" s="2"/>
      <c r="X113" s="2"/>
    </row>
    <row r="114" spans="11:24" ht="15" hidden="1" customHeight="1">
      <c r="K114" s="5">
        <v>46067</v>
      </c>
      <c r="L114" s="8" t="s">
        <v>53</v>
      </c>
      <c r="M114" s="9" t="str">
        <f>IF(Tabela1[[#This Row],[Motorista]]="","",IFERROR(_xlfn.XLOOKUP(Tabela1[[#This Row],[Motorista]],Base!A:A,Base!B:B),""))</f>
        <v>CIF</v>
      </c>
      <c r="N114" s="20" t="str">
        <f t="shared" si="3"/>
        <v>Finalizado</v>
      </c>
      <c r="O1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" s="4">
        <v>0.27083333333333331</v>
      </c>
      <c r="Q114" s="4">
        <v>0.28680555555555554</v>
      </c>
      <c r="R114" s="23">
        <v>0.43055555555555558</v>
      </c>
      <c r="S114" s="16" t="s">
        <v>85</v>
      </c>
      <c r="T114" s="14">
        <f>IF(OR(Tabela1[[#This Row],[Entrada]]="",Tabela1[[#This Row],[Saída]]=""), "", Tabela1[[#This Row],[Saída]]-Tabela1[[#This Row],[Entrada]])</f>
        <v>0.14375000000000004</v>
      </c>
      <c r="U114" s="15">
        <f>IF(OR('Controle de CT'!$R114= "", 'Controle de CT'!$P114= ""), "", 'Controle de CT'!$R114-'Controle de CT'!$P114)</f>
        <v>0.15972222222222227</v>
      </c>
      <c r="V114" s="1"/>
      <c r="W114" s="2"/>
      <c r="X114" s="2"/>
    </row>
    <row r="115" spans="11:24" ht="15" hidden="1" customHeight="1">
      <c r="K115" s="5">
        <v>46067</v>
      </c>
      <c r="L115" s="8" t="s">
        <v>48</v>
      </c>
      <c r="M115" s="9" t="str">
        <f>IF(Tabela1[[#This Row],[Motorista]]="","",IFERROR(_xlfn.XLOOKUP(Tabela1[[#This Row],[Motorista]],Base!A:A,Base!B:B),""))</f>
        <v>CIF</v>
      </c>
      <c r="N115" s="20" t="str">
        <f t="shared" si="3"/>
        <v>Finalizado</v>
      </c>
      <c r="O1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" s="4">
        <v>0.29166666666666669</v>
      </c>
      <c r="Q115" s="4">
        <v>0.31805555555555554</v>
      </c>
      <c r="R115" s="23">
        <v>0.39374999999999999</v>
      </c>
      <c r="S115" s="16" t="s">
        <v>85</v>
      </c>
      <c r="T115" s="14">
        <f>IF(OR(Tabela1[[#This Row],[Entrada]]="",Tabela1[[#This Row],[Saída]]=""), "", Tabela1[[#This Row],[Saída]]-Tabela1[[#This Row],[Entrada]])</f>
        <v>7.5694444444444453E-2</v>
      </c>
      <c r="U115" s="15">
        <f>IF(OR('Controle de CT'!$R115= "", 'Controle de CT'!$P115= ""), "", 'Controle de CT'!$R115-'Controle de CT'!$P115)</f>
        <v>0.1020833333333333</v>
      </c>
      <c r="V115" s="1"/>
      <c r="W115" s="2"/>
      <c r="X115" s="2"/>
    </row>
    <row r="116" spans="11:24" ht="15" hidden="1" customHeight="1">
      <c r="K116" s="5">
        <v>46067</v>
      </c>
      <c r="L116" s="8" t="s">
        <v>57</v>
      </c>
      <c r="M116" s="9" t="str">
        <f>IF(Tabela1[[#This Row],[Motorista]]="","",IFERROR(_xlfn.XLOOKUP(Tabela1[[#This Row],[Motorista]],Base!A:A,Base!B:B),""))</f>
        <v>CIF</v>
      </c>
      <c r="N116" s="20" t="str">
        <f t="shared" si="3"/>
        <v>Finalizado</v>
      </c>
      <c r="O1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" s="4">
        <v>0.3125</v>
      </c>
      <c r="Q116" s="4">
        <v>0.31944444444444442</v>
      </c>
      <c r="R116" s="23">
        <v>0.4236111111111111</v>
      </c>
      <c r="S116" s="16" t="s">
        <v>85</v>
      </c>
      <c r="T116" s="14">
        <f>IF(OR(Tabela1[[#This Row],[Entrada]]="",Tabela1[[#This Row],[Saída]]=""), "", Tabela1[[#This Row],[Saída]]-Tabela1[[#This Row],[Entrada]])</f>
        <v>0.10416666666666669</v>
      </c>
      <c r="U116" s="15">
        <f>IF(OR('Controle de CT'!$R116= "", 'Controle de CT'!$P116= ""), "", 'Controle de CT'!$R116-'Controle de CT'!$P116)</f>
        <v>0.1111111111111111</v>
      </c>
      <c r="V116" s="1"/>
      <c r="W116" s="2"/>
      <c r="X116" s="2"/>
    </row>
    <row r="117" spans="11:24" ht="15" hidden="1" customHeight="1">
      <c r="K117" s="5">
        <v>46067</v>
      </c>
      <c r="L117" s="8" t="s">
        <v>93</v>
      </c>
      <c r="M117" s="9" t="str">
        <f>IF(Tabela1[[#This Row],[Motorista]]="","",IFERROR(_xlfn.XLOOKUP(Tabela1[[#This Row],[Motorista]],Base!A:A,Base!B:B),""))</f>
        <v>FOB</v>
      </c>
      <c r="N117" s="20" t="str">
        <f t="shared" si="3"/>
        <v>Finalizado</v>
      </c>
      <c r="O1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7" s="4">
        <v>0.35486111111111113</v>
      </c>
      <c r="Q117" s="4">
        <v>0.39305555555555555</v>
      </c>
      <c r="R117" s="23">
        <v>0.4861111111111111</v>
      </c>
      <c r="S117" s="16" t="s">
        <v>85</v>
      </c>
      <c r="T117" s="14">
        <f>IF(OR(Tabela1[[#This Row],[Entrada]]="",Tabela1[[#This Row],[Saída]]=""), "", Tabela1[[#This Row],[Saída]]-Tabela1[[#This Row],[Entrada]])</f>
        <v>9.3055555555555558E-2</v>
      </c>
      <c r="U117" s="15">
        <f>IF(OR('Controle de CT'!$R117= "", 'Controle de CT'!$P117= ""), "", 'Controle de CT'!$R117-'Controle de CT'!$P117)</f>
        <v>0.13124999999999998</v>
      </c>
      <c r="V117" s="1"/>
      <c r="W117" s="2"/>
      <c r="X117" s="2"/>
    </row>
    <row r="118" spans="11:24" ht="15" hidden="1" customHeight="1">
      <c r="K118" s="5">
        <v>46067</v>
      </c>
      <c r="L118" s="8" t="s">
        <v>58</v>
      </c>
      <c r="M118" s="9" t="str">
        <f>IF(Tabela1[[#This Row],[Motorista]]="","",IFERROR(_xlfn.XLOOKUP(Tabela1[[#This Row],[Motorista]],Base!A:A,Base!B:B),""))</f>
        <v xml:space="preserve">CIF </v>
      </c>
      <c r="N118" s="20" t="str">
        <f t="shared" si="3"/>
        <v>Finalizado</v>
      </c>
      <c r="O1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" s="4">
        <v>0.2902777777777778</v>
      </c>
      <c r="Q118" s="4">
        <v>0.31805555555555554</v>
      </c>
      <c r="R118" s="23">
        <v>0.37638888888888888</v>
      </c>
      <c r="S118" s="16" t="s">
        <v>85</v>
      </c>
      <c r="T118" s="14">
        <f>IF(OR(Tabela1[[#This Row],[Entrada]]="",Tabela1[[#This Row],[Saída]]=""), "", Tabela1[[#This Row],[Saída]]-Tabela1[[#This Row],[Entrada]])</f>
        <v>5.8333333333333348E-2</v>
      </c>
      <c r="U118" s="15">
        <f>IF(OR('Controle de CT'!$R118= "", 'Controle de CT'!$P118= ""), "", 'Controle de CT'!$R118-'Controle de CT'!$P118)</f>
        <v>8.6111111111111083E-2</v>
      </c>
      <c r="V118" s="1"/>
      <c r="W118" s="2"/>
      <c r="X118" s="2"/>
    </row>
    <row r="119" spans="11:24" ht="15" hidden="1" customHeight="1">
      <c r="K119" s="5">
        <v>46067</v>
      </c>
      <c r="L119" s="8" t="s">
        <v>49</v>
      </c>
      <c r="M119" s="9" t="str">
        <f>IF(Tabela1[[#This Row],[Motorista]]="","",IFERROR(_xlfn.XLOOKUP(Tabela1[[#This Row],[Motorista]],Base!A:A,Base!B:B),""))</f>
        <v>CIF</v>
      </c>
      <c r="N119" s="20" t="str">
        <f t="shared" si="3"/>
        <v>Finalizado</v>
      </c>
      <c r="O1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" s="4">
        <v>0.27361111111111114</v>
      </c>
      <c r="Q119" s="4">
        <v>0.30902777777777779</v>
      </c>
      <c r="R119" s="23">
        <v>0.38541666666666669</v>
      </c>
      <c r="S119" s="16" t="s">
        <v>85</v>
      </c>
      <c r="T119" s="14">
        <f>IF(OR(Tabela1[[#This Row],[Entrada]]="",Tabela1[[#This Row],[Saída]]=""), "", Tabela1[[#This Row],[Saída]]-Tabela1[[#This Row],[Entrada]])</f>
        <v>7.6388888888888895E-2</v>
      </c>
      <c r="U119" s="15">
        <f>IF(OR('Controle de CT'!$R119= "", 'Controle de CT'!$P119= ""), "", 'Controle de CT'!$R119-'Controle de CT'!$P119)</f>
        <v>0.11180555555555555</v>
      </c>
      <c r="V119" s="1"/>
      <c r="W119" s="2"/>
      <c r="X119" s="2"/>
    </row>
    <row r="120" spans="11:24" ht="15" hidden="1" customHeight="1">
      <c r="K120" s="5">
        <v>46067</v>
      </c>
      <c r="L120" s="8" t="s">
        <v>89</v>
      </c>
      <c r="M120" s="9" t="str">
        <f>IF(Tabela1[[#This Row],[Motorista]]="","",IFERROR(_xlfn.XLOOKUP(Tabela1[[#This Row],[Motorista]],Base!A:A,Base!B:B),""))</f>
        <v>FOB</v>
      </c>
      <c r="N120" s="20" t="str">
        <f t="shared" si="3"/>
        <v>Finalizado</v>
      </c>
      <c r="O1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" s="4">
        <v>0.32847222222222222</v>
      </c>
      <c r="Q120" s="4">
        <v>0.42638888888888887</v>
      </c>
      <c r="R120" s="23">
        <v>0.48194444444444445</v>
      </c>
      <c r="S120" s="16" t="s">
        <v>85</v>
      </c>
      <c r="T120" s="14">
        <f>IF(OR(Tabela1[[#This Row],[Entrada]]="",Tabela1[[#This Row],[Saída]]=""), "", Tabela1[[#This Row],[Saída]]-Tabela1[[#This Row],[Entrada]])</f>
        <v>5.555555555555558E-2</v>
      </c>
      <c r="U120" s="15">
        <f>IF(OR('Controle de CT'!$R120= "", 'Controle de CT'!$P120= ""), "", 'Controle de CT'!$R120-'Controle de CT'!$P120)</f>
        <v>0.15347222222222223</v>
      </c>
      <c r="V120" s="1"/>
      <c r="W120" s="2"/>
      <c r="X120" s="2"/>
    </row>
    <row r="121" spans="11:24" ht="15" hidden="1" customHeight="1">
      <c r="K121" s="5">
        <v>46067</v>
      </c>
      <c r="L121" s="8" t="s">
        <v>47</v>
      </c>
      <c r="M121" s="9" t="str">
        <f>IF(Tabela1[[#This Row],[Motorista]]="","",IFERROR(_xlfn.XLOOKUP(Tabela1[[#This Row],[Motorista]],Base!A:A,Base!B:B),""))</f>
        <v>CIF</v>
      </c>
      <c r="N121" s="20" t="str">
        <f t="shared" si="3"/>
        <v>Finalizado</v>
      </c>
      <c r="O1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" s="4">
        <v>0.30555555555555558</v>
      </c>
      <c r="Q121" s="4">
        <v>0.3215277777777778</v>
      </c>
      <c r="R121" s="23">
        <v>0.39930555555555558</v>
      </c>
      <c r="S121" s="16" t="s">
        <v>85</v>
      </c>
      <c r="T121" s="14">
        <f>IF(OR(Tabela1[[#This Row],[Entrada]]="",Tabela1[[#This Row],[Saída]]=""), "", Tabela1[[#This Row],[Saída]]-Tabela1[[#This Row],[Entrada]])</f>
        <v>7.7777777777777779E-2</v>
      </c>
      <c r="U121" s="15">
        <f>IF(OR('Controle de CT'!$R121= "", 'Controle de CT'!$P121= ""), "", 'Controle de CT'!$R121-'Controle de CT'!$P121)</f>
        <v>9.375E-2</v>
      </c>
      <c r="V121" s="1"/>
      <c r="W121" s="2"/>
      <c r="X121" s="2"/>
    </row>
    <row r="122" spans="11:24" ht="15" hidden="1" customHeight="1">
      <c r="K122" s="5">
        <v>46067</v>
      </c>
      <c r="L122" s="8" t="s">
        <v>42</v>
      </c>
      <c r="M122" s="9" t="str">
        <f>IF(Tabela1[[#This Row],[Motorista]]="","",IFERROR(_xlfn.XLOOKUP(Tabela1[[#This Row],[Motorista]],Base!A:A,Base!B:B),""))</f>
        <v>CIF</v>
      </c>
      <c r="N122" s="20" t="str">
        <f t="shared" si="3"/>
        <v>Finalizado</v>
      </c>
      <c r="O1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" s="4">
        <v>0.44513888888888886</v>
      </c>
      <c r="Q122" s="4">
        <v>0.45624999999999999</v>
      </c>
      <c r="R122" s="23">
        <v>0.52986111111111112</v>
      </c>
      <c r="S122" s="16" t="s">
        <v>85</v>
      </c>
      <c r="T122" s="14">
        <f>IF(OR(Tabela1[[#This Row],[Entrada]]="",Tabela1[[#This Row],[Saída]]=""), "", Tabela1[[#This Row],[Saída]]-Tabela1[[#This Row],[Entrada]])</f>
        <v>7.3611111111111127E-2</v>
      </c>
      <c r="U122" s="15">
        <f>IF(OR('Controle de CT'!$R122= "", 'Controle de CT'!$P122= ""), "", 'Controle de CT'!$R122-'Controle de CT'!$P122)</f>
        <v>8.4722222222222254E-2</v>
      </c>
      <c r="V122" s="1"/>
      <c r="W122" s="2"/>
      <c r="X122" s="2"/>
    </row>
    <row r="123" spans="11:24" ht="15" hidden="1" customHeight="1">
      <c r="K123" s="5">
        <v>46067</v>
      </c>
      <c r="L123" s="8" t="s">
        <v>118</v>
      </c>
      <c r="M123" s="9" t="str">
        <f>IF(Tabela1[[#This Row],[Motorista]]="","",IFERROR(_xlfn.XLOOKUP(Tabela1[[#This Row],[Motorista]],Base!A:A,Base!B:B),""))</f>
        <v>FOB</v>
      </c>
      <c r="N123" s="20" t="str">
        <f t="shared" si="3"/>
        <v>Fila de Carregamento</v>
      </c>
      <c r="O1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" s="4">
        <v>0.32777777777777778</v>
      </c>
      <c r="Q123" s="4">
        <v>0.44444444444444442</v>
      </c>
      <c r="R123" s="23"/>
      <c r="S123" s="16" t="s">
        <v>85</v>
      </c>
      <c r="T123" s="14" t="str">
        <f>IF(OR(Tabela1[[#This Row],[Entrada]]="",Tabela1[[#This Row],[Saída]]=""), "", Tabela1[[#This Row],[Saída]]-Tabela1[[#This Row],[Entrada]])</f>
        <v/>
      </c>
      <c r="U123" s="15" t="str">
        <f>IF(OR('Controle de CT'!$R123= "", 'Controle de CT'!$P123= ""), "", 'Controle de CT'!$R123-'Controle de CT'!$P123)</f>
        <v/>
      </c>
      <c r="V123" s="1"/>
      <c r="W123" s="2"/>
      <c r="X123" s="2"/>
    </row>
    <row r="124" spans="11:24" ht="15" hidden="1" customHeight="1">
      <c r="K124" s="5">
        <v>46067</v>
      </c>
      <c r="L124" s="8" t="s">
        <v>93</v>
      </c>
      <c r="M124" s="9" t="str">
        <f>IF(Tabela1[[#This Row],[Motorista]]="","",IFERROR(_xlfn.XLOOKUP(Tabela1[[#This Row],[Motorista]],Base!A:A,Base!B:B),""))</f>
        <v>FOB</v>
      </c>
      <c r="N124" s="20" t="str">
        <f t="shared" si="3"/>
        <v>Finalizado</v>
      </c>
      <c r="O1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" s="4">
        <v>0.54166666666666663</v>
      </c>
      <c r="Q124" s="4">
        <v>0.55208333333333337</v>
      </c>
      <c r="R124" s="23">
        <v>0.58333333333333337</v>
      </c>
      <c r="S124" s="16" t="s">
        <v>85</v>
      </c>
      <c r="T124" s="14">
        <f>IF(OR(Tabela1[[#This Row],[Entrada]]="",Tabela1[[#This Row],[Saída]]=""), "", Tabela1[[#This Row],[Saída]]-Tabela1[[#This Row],[Entrada]])</f>
        <v>3.125E-2</v>
      </c>
      <c r="U124" s="15">
        <f>IF(OR('Controle de CT'!$R124= "", 'Controle de CT'!$P124= ""), "", 'Controle de CT'!$R124-'Controle de CT'!$P124)</f>
        <v>4.1666666666666741E-2</v>
      </c>
      <c r="V124" s="1"/>
      <c r="W124" s="2"/>
      <c r="X124" s="2"/>
    </row>
    <row r="125" spans="11:24" ht="15" hidden="1" customHeight="1">
      <c r="K125" s="5">
        <v>46069</v>
      </c>
      <c r="L125" s="8" t="s">
        <v>101</v>
      </c>
      <c r="M125" s="9" t="str">
        <f>IF(Tabela1[[#This Row],[Motorista]]="","",IFERROR(_xlfn.XLOOKUP(Tabela1[[#This Row],[Motorista]],Base!A:A,Base!B:B),""))</f>
        <v>FOB</v>
      </c>
      <c r="N125" s="20" t="str">
        <f t="shared" si="3"/>
        <v>Finalizado</v>
      </c>
      <c r="O1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" s="4">
        <v>0.2361111111111111</v>
      </c>
      <c r="Q125" s="4">
        <v>0.27777777777777779</v>
      </c>
      <c r="R125" s="23">
        <v>0.35347222222222224</v>
      </c>
      <c r="S125" s="16" t="s">
        <v>85</v>
      </c>
      <c r="T125" s="14">
        <f>IF(OR(Tabela1[[#This Row],[Entrada]]="",Tabela1[[#This Row],[Saída]]=""), "", Tabela1[[#This Row],[Saída]]-Tabela1[[#This Row],[Entrada]])</f>
        <v>7.5694444444444453E-2</v>
      </c>
      <c r="U125" s="15">
        <f>IF(OR('Controle de CT'!$R125= "", 'Controle de CT'!$P125= ""), "", 'Controle de CT'!$R125-'Controle de CT'!$P125)</f>
        <v>0.11736111111111114</v>
      </c>
      <c r="V125" s="1"/>
      <c r="W125" s="2"/>
      <c r="X125" s="2"/>
    </row>
    <row r="126" spans="11:24" ht="15" hidden="1" customHeight="1">
      <c r="K126" s="5">
        <v>46069</v>
      </c>
      <c r="L126" s="8" t="s">
        <v>86</v>
      </c>
      <c r="M126" s="9" t="str">
        <f>IF(Tabela1[[#This Row],[Motorista]]="","",IFERROR(_xlfn.XLOOKUP(Tabela1[[#This Row],[Motorista]],Base!A:A,Base!B:B),""))</f>
        <v>FOB</v>
      </c>
      <c r="N126" s="20" t="str">
        <f t="shared" si="3"/>
        <v>Finalizado</v>
      </c>
      <c r="O1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" s="4">
        <v>0.21388888888888888</v>
      </c>
      <c r="Q126" s="4">
        <v>0.27986111111111112</v>
      </c>
      <c r="R126" s="23">
        <v>0.32847222222222222</v>
      </c>
      <c r="S126" s="16" t="s">
        <v>85</v>
      </c>
      <c r="T126" s="14">
        <f>IF(OR(Tabela1[[#This Row],[Entrada]]="",Tabela1[[#This Row],[Saída]]=""), "", Tabela1[[#This Row],[Saída]]-Tabela1[[#This Row],[Entrada]])</f>
        <v>4.8611111111111105E-2</v>
      </c>
      <c r="U126" s="15">
        <f>IF(OR('Controle de CT'!$R126= "", 'Controle de CT'!$P126= ""), "", 'Controle de CT'!$R126-'Controle de CT'!$P126)</f>
        <v>0.11458333333333334</v>
      </c>
      <c r="V126" s="1"/>
      <c r="W126" s="2"/>
      <c r="X126" s="2"/>
    </row>
    <row r="127" spans="11:24" ht="15" hidden="1" customHeight="1">
      <c r="K127" s="5">
        <v>46069</v>
      </c>
      <c r="L127" s="8" t="s">
        <v>114</v>
      </c>
      <c r="M127" s="9" t="str">
        <f>IF(Tabela1[[#This Row],[Motorista]]="","",IFERROR(_xlfn.XLOOKUP(Tabela1[[#This Row],[Motorista]],Base!A:A,Base!B:B),""))</f>
        <v>FOB</v>
      </c>
      <c r="N127" s="20" t="str">
        <f t="shared" si="3"/>
        <v>Aguardando Entrada</v>
      </c>
      <c r="O1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7" s="4">
        <v>0.26319444444444445</v>
      </c>
      <c r="Q127" s="4"/>
      <c r="R127" s="23"/>
      <c r="S127" s="16"/>
      <c r="T127" s="14" t="str">
        <f>IF(OR(Tabela1[[#This Row],[Entrada]]="",Tabela1[[#This Row],[Saída]]=""), "", Tabela1[[#This Row],[Saída]]-Tabela1[[#This Row],[Entrada]])</f>
        <v/>
      </c>
      <c r="U127" s="15" t="str">
        <f>IF(OR('Controle de CT'!$R127= "", 'Controle de CT'!$P127= ""), "", 'Controle de CT'!$R127-'Controle de CT'!$P127)</f>
        <v/>
      </c>
      <c r="V127" s="1"/>
      <c r="W127" s="2"/>
      <c r="X127" s="2"/>
    </row>
    <row r="128" spans="11:24" ht="15" hidden="1" customHeight="1">
      <c r="K128" s="5">
        <v>46069</v>
      </c>
      <c r="L128" s="8" t="s">
        <v>87</v>
      </c>
      <c r="M128" s="9" t="str">
        <f>IF(Tabela1[[#This Row],[Motorista]]="","",IFERROR(_xlfn.XLOOKUP(Tabela1[[#This Row],[Motorista]],Base!A:A,Base!B:B),""))</f>
        <v>FOB</v>
      </c>
      <c r="N128" s="20" t="str">
        <f t="shared" si="3"/>
        <v>Finalizado</v>
      </c>
      <c r="O1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8" s="4">
        <v>0.32500000000000001</v>
      </c>
      <c r="Q128" s="4">
        <v>0.40694444444444444</v>
      </c>
      <c r="R128" s="23">
        <v>0.42777777777777776</v>
      </c>
      <c r="S128" s="16" t="s">
        <v>85</v>
      </c>
      <c r="T128" s="14">
        <f>IF(OR(Tabela1[[#This Row],[Entrada]]="",Tabela1[[#This Row],[Saída]]=""), "", Tabela1[[#This Row],[Saída]]-Tabela1[[#This Row],[Entrada]])</f>
        <v>2.0833333333333315E-2</v>
      </c>
      <c r="U128" s="15">
        <f>IF(OR('Controle de CT'!$R128= "", 'Controle de CT'!$P128= ""), "", 'Controle de CT'!$R128-'Controle de CT'!$P128)</f>
        <v>0.10277777777777775</v>
      </c>
      <c r="V128" s="1"/>
      <c r="W128" s="2"/>
      <c r="X128" s="2"/>
    </row>
    <row r="129" spans="11:24" ht="15" hidden="1" customHeight="1">
      <c r="K129" s="5">
        <v>46069</v>
      </c>
      <c r="L129" s="8" t="s">
        <v>92</v>
      </c>
      <c r="M129" s="9" t="str">
        <f>IF(Tabela1[[#This Row],[Motorista]]="","",IFERROR(_xlfn.XLOOKUP(Tabela1[[#This Row],[Motorista]],Base!A:A,Base!B:B),""))</f>
        <v>FOB</v>
      </c>
      <c r="N129" s="20" t="str">
        <f t="shared" si="3"/>
        <v>Finalizado</v>
      </c>
      <c r="O1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9" s="4">
        <v>0.27500000000000002</v>
      </c>
      <c r="Q129" s="4">
        <v>0.29236111111111113</v>
      </c>
      <c r="R129" s="23">
        <v>0.33263888888888887</v>
      </c>
      <c r="S129" s="16" t="s">
        <v>85</v>
      </c>
      <c r="T129" s="14">
        <f>IF(OR(Tabela1[[#This Row],[Entrada]]="",Tabela1[[#This Row],[Saída]]=""), "", Tabela1[[#This Row],[Saída]]-Tabela1[[#This Row],[Entrada]])</f>
        <v>4.0277777777777746E-2</v>
      </c>
      <c r="U129" s="15">
        <f>IF(OR('Controle de CT'!$R129= "", 'Controle de CT'!$P129= ""), "", 'Controle de CT'!$R129-'Controle de CT'!$P129)</f>
        <v>5.7638888888888851E-2</v>
      </c>
      <c r="V129" s="1"/>
      <c r="W129" s="2"/>
      <c r="X129" s="2"/>
    </row>
    <row r="130" spans="11:24" ht="15" hidden="1" customHeight="1">
      <c r="K130" s="5">
        <v>46069</v>
      </c>
      <c r="L130" s="8" t="s">
        <v>52</v>
      </c>
      <c r="M130" s="9" t="str">
        <f>IF(Tabela1[[#This Row],[Motorista]]="","",IFERROR(_xlfn.XLOOKUP(Tabela1[[#This Row],[Motorista]],Base!A:A,Base!B:B),""))</f>
        <v>CIF</v>
      </c>
      <c r="N130" s="20" t="str">
        <f t="shared" si="3"/>
        <v>Finalizado</v>
      </c>
      <c r="O1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30" s="4">
        <v>0.28541666666666665</v>
      </c>
      <c r="Q130" s="4">
        <v>0.29375000000000001</v>
      </c>
      <c r="R130" s="23">
        <v>0.34930555555555554</v>
      </c>
      <c r="S130" s="16" t="s">
        <v>85</v>
      </c>
      <c r="T130" s="14">
        <f>IF(OR(Tabela1[[#This Row],[Entrada]]="",Tabela1[[#This Row],[Saída]]=""), "", Tabela1[[#This Row],[Saída]]-Tabela1[[#This Row],[Entrada]])</f>
        <v>5.5555555555555525E-2</v>
      </c>
      <c r="U130" s="15">
        <f>IF(OR('Controle de CT'!$R130= "", 'Controle de CT'!$P130= ""), "", 'Controle de CT'!$R130-'Controle de CT'!$P130)</f>
        <v>6.3888888888888884E-2</v>
      </c>
      <c r="V130" s="1"/>
      <c r="W130" s="2"/>
      <c r="X130" s="2"/>
    </row>
    <row r="131" spans="11:24" ht="15" hidden="1" customHeight="1">
      <c r="K131" s="5">
        <v>46069</v>
      </c>
      <c r="L131" s="8" t="s">
        <v>58</v>
      </c>
      <c r="M131" s="9" t="str">
        <f>IF(Tabela1[[#This Row],[Motorista]]="","",IFERROR(_xlfn.XLOOKUP(Tabela1[[#This Row],[Motorista]],Base!A:A,Base!B:B),""))</f>
        <v xml:space="preserve">CIF </v>
      </c>
      <c r="N131" s="20" t="str">
        <f t="shared" si="3"/>
        <v>Finalizado</v>
      </c>
      <c r="O1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" s="4">
        <v>0.28680555555555554</v>
      </c>
      <c r="Q131" s="4">
        <v>0.29375000000000001</v>
      </c>
      <c r="R131" s="23">
        <v>0.36944444444444446</v>
      </c>
      <c r="S131" s="16" t="s">
        <v>85</v>
      </c>
      <c r="T131" s="14">
        <f>IF(OR(Tabela1[[#This Row],[Entrada]]="",Tabela1[[#This Row],[Saída]]=""), "", Tabela1[[#This Row],[Saída]]-Tabela1[[#This Row],[Entrada]])</f>
        <v>7.5694444444444453E-2</v>
      </c>
      <c r="U131" s="15">
        <f>IF(OR('Controle de CT'!$R131= "", 'Controle de CT'!$P131= ""), "", 'Controle de CT'!$R131-'Controle de CT'!$P131)</f>
        <v>8.2638888888888928E-2</v>
      </c>
      <c r="V131" s="1"/>
      <c r="W131" s="2"/>
      <c r="X131" s="2"/>
    </row>
    <row r="132" spans="11:24" ht="15" hidden="1" customHeight="1">
      <c r="K132" s="5">
        <v>46069</v>
      </c>
      <c r="L132" s="8" t="s">
        <v>90</v>
      </c>
      <c r="M132" s="9" t="str">
        <f>IF(Tabela1[[#This Row],[Motorista]]="","",IFERROR(_xlfn.XLOOKUP(Tabela1[[#This Row],[Motorista]],Base!A:A,Base!B:B),""))</f>
        <v>FOB</v>
      </c>
      <c r="N132" s="20" t="str">
        <f t="shared" si="3"/>
        <v>Finalizado</v>
      </c>
      <c r="O1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2" s="4">
        <v>0.375</v>
      </c>
      <c r="Q132" s="4">
        <v>0.4</v>
      </c>
      <c r="R132" s="23">
        <v>0.46666666666666667</v>
      </c>
      <c r="S132" s="16" t="s">
        <v>85</v>
      </c>
      <c r="T132" s="14">
        <f>IF(OR(Tabela1[[#This Row],[Entrada]]="",Tabela1[[#This Row],[Saída]]=""), "", Tabela1[[#This Row],[Saída]]-Tabela1[[#This Row],[Entrada]])</f>
        <v>6.6666666666666652E-2</v>
      </c>
      <c r="U132" s="15">
        <f>IF(OR('Controle de CT'!$R132= "", 'Controle de CT'!$P132= ""), "", 'Controle de CT'!$R132-'Controle de CT'!$P132)</f>
        <v>9.1666666666666674E-2</v>
      </c>
      <c r="V132" s="1"/>
      <c r="W132" s="2"/>
      <c r="X132" s="2"/>
    </row>
    <row r="133" spans="11:24" ht="15" hidden="1" customHeight="1">
      <c r="K133" s="5">
        <v>46069</v>
      </c>
      <c r="L133" s="8" t="s">
        <v>56</v>
      </c>
      <c r="M133" s="9" t="str">
        <f>IF(Tabela1[[#This Row],[Motorista]]="","",IFERROR(_xlfn.XLOOKUP(Tabela1[[#This Row],[Motorista]],Base!A:A,Base!B:B),""))</f>
        <v/>
      </c>
      <c r="N133" s="20" t="str">
        <f t="shared" si="3"/>
        <v>Finalizado</v>
      </c>
      <c r="O1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" s="4">
        <v>0.29722222222222222</v>
      </c>
      <c r="Q133" s="4">
        <v>0.30902777777777779</v>
      </c>
      <c r="R133" s="23">
        <v>0.39166666666666666</v>
      </c>
      <c r="S133" s="16" t="s">
        <v>85</v>
      </c>
      <c r="T133" s="14">
        <f>IF(OR(Tabela1[[#This Row],[Entrada]]="",Tabela1[[#This Row],[Saída]]=""), "", Tabela1[[#This Row],[Saída]]-Tabela1[[#This Row],[Entrada]])</f>
        <v>8.2638888888888873E-2</v>
      </c>
      <c r="U133" s="15">
        <f>IF(OR('Controle de CT'!$R133= "", 'Controle de CT'!$P133= ""), "", 'Controle de CT'!$R133-'Controle de CT'!$P133)</f>
        <v>9.4444444444444442E-2</v>
      </c>
      <c r="V133" s="1"/>
      <c r="W133" s="2"/>
      <c r="X133" s="2"/>
    </row>
    <row r="134" spans="11:24" ht="15" hidden="1" customHeight="1">
      <c r="K134" s="5">
        <v>46069</v>
      </c>
      <c r="L134" s="8" t="s">
        <v>57</v>
      </c>
      <c r="M134" s="9" t="str">
        <f>IF(Tabela1[[#This Row],[Motorista]]="","",IFERROR(_xlfn.XLOOKUP(Tabela1[[#This Row],[Motorista]],Base!A:A,Base!B:B),""))</f>
        <v>CIF</v>
      </c>
      <c r="N134" s="20" t="str">
        <f t="shared" si="3"/>
        <v>Finalizado</v>
      </c>
      <c r="O1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4" s="4">
        <v>0.31388888888888888</v>
      </c>
      <c r="Q134" s="4">
        <v>0.32847222222222222</v>
      </c>
      <c r="R134" s="23">
        <v>0.41180555555555554</v>
      </c>
      <c r="S134" s="16" t="s">
        <v>85</v>
      </c>
      <c r="T134" s="14">
        <f>IF(OR(Tabela1[[#This Row],[Entrada]]="",Tabela1[[#This Row],[Saída]]=""), "", Tabela1[[#This Row],[Saída]]-Tabela1[[#This Row],[Entrada]])</f>
        <v>8.3333333333333315E-2</v>
      </c>
      <c r="U134" s="15">
        <f>IF(OR('Controle de CT'!$R134= "", 'Controle de CT'!$P134= ""), "", 'Controle de CT'!$R134-'Controle de CT'!$P134)</f>
        <v>9.7916666666666652E-2</v>
      </c>
      <c r="V134" s="1"/>
      <c r="W134" s="2"/>
      <c r="X134" s="2"/>
    </row>
    <row r="135" spans="11:24" ht="15" hidden="1" customHeight="1">
      <c r="K135" s="5">
        <v>46069</v>
      </c>
      <c r="L135" s="8" t="s">
        <v>47</v>
      </c>
      <c r="M135" s="9" t="str">
        <f>IF(Tabela1[[#This Row],[Motorista]]="","",IFERROR(_xlfn.XLOOKUP(Tabela1[[#This Row],[Motorista]],Base!A:A,Base!B:B),""))</f>
        <v>CIF</v>
      </c>
      <c r="N135" s="20" t="str">
        <f t="shared" si="3"/>
        <v>Finalizado</v>
      </c>
      <c r="O1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5" s="4">
        <v>0.31319444444444444</v>
      </c>
      <c r="Q135" s="4">
        <v>0.3215277777777778</v>
      </c>
      <c r="R135" s="23">
        <v>0.37847222222222221</v>
      </c>
      <c r="S135" s="16" t="s">
        <v>85</v>
      </c>
      <c r="T135" s="14">
        <f>IF(OR(Tabela1[[#This Row],[Entrada]]="",Tabela1[[#This Row],[Saída]]=""), "", Tabela1[[#This Row],[Saída]]-Tabela1[[#This Row],[Entrada]])</f>
        <v>5.6944444444444409E-2</v>
      </c>
      <c r="U135" s="15">
        <f>IF(OR('Controle de CT'!$R135= "", 'Controle de CT'!$P135= ""), "", 'Controle de CT'!$R135-'Controle de CT'!$P135)</f>
        <v>6.5277777777777768E-2</v>
      </c>
      <c r="V135" s="1"/>
      <c r="W135" s="2"/>
      <c r="X135" s="2"/>
    </row>
    <row r="136" spans="11:24" ht="15" hidden="1" customHeight="1">
      <c r="K136" s="5">
        <v>46069</v>
      </c>
      <c r="L136" s="8" t="s">
        <v>119</v>
      </c>
      <c r="M136" s="9" t="str">
        <f>IF(Tabela1[[#This Row],[Motorista]]="","",IFERROR(_xlfn.XLOOKUP(Tabela1[[#This Row],[Motorista]],Base!A:A,Base!B:B),""))</f>
        <v>RZD</v>
      </c>
      <c r="N136" s="20" t="str">
        <f t="shared" si="3"/>
        <v/>
      </c>
      <c r="O1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" s="4"/>
      <c r="Q136" s="4"/>
      <c r="R136" s="23"/>
      <c r="S136" s="16"/>
      <c r="T136" s="14" t="str">
        <f>IF(OR(Tabela1[[#This Row],[Entrada]]="",Tabela1[[#This Row],[Saída]]=""), "", Tabela1[[#This Row],[Saída]]-Tabela1[[#This Row],[Entrada]])</f>
        <v/>
      </c>
      <c r="U136" s="15" t="str">
        <f>IF(OR('Controle de CT'!$R136= "", 'Controle de CT'!$P136= ""), "", 'Controle de CT'!$R136-'Controle de CT'!$P136)</f>
        <v/>
      </c>
      <c r="V136" s="1"/>
      <c r="W136" s="2"/>
      <c r="X136" s="2"/>
    </row>
    <row r="137" spans="11:24" ht="15" hidden="1" customHeight="1">
      <c r="K137" s="5">
        <v>46069</v>
      </c>
      <c r="L137" s="8" t="s">
        <v>120</v>
      </c>
      <c r="M137" s="9" t="str">
        <f>IF(Tabela1[[#This Row],[Motorista]]="","",IFERROR(_xlfn.XLOOKUP(Tabela1[[#This Row],[Motorista]],Base!A:A,Base!B:B),""))</f>
        <v>RZD</v>
      </c>
      <c r="N137" s="20" t="str">
        <f t="shared" si="3"/>
        <v/>
      </c>
      <c r="O1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" s="4"/>
      <c r="Q137" s="4"/>
      <c r="R137" s="23"/>
      <c r="S137" s="16"/>
      <c r="T137" s="14" t="str">
        <f>IF(OR(Tabela1[[#This Row],[Entrada]]="",Tabela1[[#This Row],[Saída]]=""), "", Tabela1[[#This Row],[Saída]]-Tabela1[[#This Row],[Entrada]])</f>
        <v/>
      </c>
      <c r="U137" s="15" t="str">
        <f>IF(OR('Controle de CT'!$R137= "", 'Controle de CT'!$P137= ""), "", 'Controle de CT'!$R137-'Controle de CT'!$P137)</f>
        <v/>
      </c>
      <c r="V137" s="1"/>
      <c r="W137" s="2"/>
      <c r="X137" s="2"/>
    </row>
    <row r="138" spans="11:24" ht="15" hidden="1" customHeight="1">
      <c r="K138" s="5">
        <v>46069</v>
      </c>
      <c r="L138" s="8" t="s">
        <v>99</v>
      </c>
      <c r="M138" s="9" t="str">
        <f>IF(Tabela1[[#This Row],[Motorista]]="","",IFERROR(_xlfn.XLOOKUP(Tabela1[[#This Row],[Motorista]],Base!A:A,Base!B:B),""))</f>
        <v>RZD</v>
      </c>
      <c r="N138" s="20" t="str">
        <f t="shared" si="3"/>
        <v/>
      </c>
      <c r="O1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" s="4"/>
      <c r="Q138" s="4"/>
      <c r="R138" s="23"/>
      <c r="S138" s="16"/>
      <c r="T138" s="14" t="str">
        <f>IF(OR(Tabela1[[#This Row],[Entrada]]="",Tabela1[[#This Row],[Saída]]=""), "", Tabela1[[#This Row],[Saída]]-Tabela1[[#This Row],[Entrada]])</f>
        <v/>
      </c>
      <c r="U138" s="15" t="str">
        <f>IF(OR('Controle de CT'!$R138= "", 'Controle de CT'!$P138= ""), "", 'Controle de CT'!$R138-'Controle de CT'!$P138)</f>
        <v/>
      </c>
      <c r="V138" s="1"/>
      <c r="W138" s="2"/>
      <c r="X138" s="2"/>
    </row>
    <row r="139" spans="11:24" ht="15" hidden="1" customHeight="1">
      <c r="K139" s="5">
        <v>46069</v>
      </c>
      <c r="L139" s="8" t="s">
        <v>121</v>
      </c>
      <c r="M139" s="9" t="str">
        <f>IF(Tabela1[[#This Row],[Motorista]]="","",IFERROR(_xlfn.XLOOKUP(Tabela1[[#This Row],[Motorista]],Base!A:A,Base!B:B),""))</f>
        <v>CIF</v>
      </c>
      <c r="N139" s="20" t="str">
        <f t="shared" si="3"/>
        <v>Finalizado</v>
      </c>
      <c r="O1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" s="4">
        <v>0.32708333333333334</v>
      </c>
      <c r="Q139" s="4">
        <v>0.37083333333333335</v>
      </c>
      <c r="R139" s="23">
        <v>0.50208333333333333</v>
      </c>
      <c r="S139" s="16" t="s">
        <v>85</v>
      </c>
      <c r="T139" s="14">
        <f>IF(OR(Tabela1[[#This Row],[Entrada]]="",Tabela1[[#This Row],[Saída]]=""), "", Tabela1[[#This Row],[Saída]]-Tabela1[[#This Row],[Entrada]])</f>
        <v>0.13124999999999998</v>
      </c>
      <c r="U139" s="15">
        <f>IF(OR('Controle de CT'!$R139= "", 'Controle de CT'!$P139= ""), "", 'Controle de CT'!$R139-'Controle de CT'!$P139)</f>
        <v>0.17499999999999999</v>
      </c>
      <c r="V139" s="1"/>
      <c r="W139" s="2"/>
      <c r="X139" s="2"/>
    </row>
    <row r="140" spans="11:24" ht="15" hidden="1" customHeight="1">
      <c r="K140" s="5">
        <v>46069</v>
      </c>
      <c r="L140" s="8" t="s">
        <v>122</v>
      </c>
      <c r="M140" s="9" t="str">
        <f>IF(Tabela1[[#This Row],[Motorista]]="","",IFERROR(_xlfn.XLOOKUP(Tabela1[[#This Row],[Motorista]],Base!A:A,Base!B:B),""))</f>
        <v>FOB</v>
      </c>
      <c r="N140" s="20" t="str">
        <f t="shared" si="3"/>
        <v>Fila de Carregamento</v>
      </c>
      <c r="O1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" s="4">
        <v>0.40694444444444444</v>
      </c>
      <c r="Q140" s="4">
        <v>0.43194444444444446</v>
      </c>
      <c r="R140" s="23"/>
      <c r="S140" s="16" t="s">
        <v>85</v>
      </c>
      <c r="T140" s="14" t="str">
        <f>IF(OR(Tabela1[[#This Row],[Entrada]]="",Tabela1[[#This Row],[Saída]]=""), "", Tabela1[[#This Row],[Saída]]-Tabela1[[#This Row],[Entrada]])</f>
        <v/>
      </c>
      <c r="U140" s="15" t="str">
        <f>IF(OR('Controle de CT'!$R140= "", 'Controle de CT'!$P140= ""), "", 'Controle de CT'!$R140-'Controle de CT'!$P140)</f>
        <v/>
      </c>
      <c r="V140" s="1"/>
      <c r="W140" s="2"/>
      <c r="X140" s="2"/>
    </row>
    <row r="141" spans="11:24" ht="15" hidden="1" customHeight="1">
      <c r="K141" s="5">
        <v>46069</v>
      </c>
      <c r="L141" s="8" t="s">
        <v>45</v>
      </c>
      <c r="M141" s="9" t="str">
        <f>IF(Tabela1[[#This Row],[Motorista]]="","",IFERROR(_xlfn.XLOOKUP(Tabela1[[#This Row],[Motorista]],Base!A:A,Base!B:B),""))</f>
        <v>CIF</v>
      </c>
      <c r="N141" s="20" t="str">
        <f t="shared" si="3"/>
        <v>Finalizado</v>
      </c>
      <c r="O1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" s="4">
        <v>0.36527777777777776</v>
      </c>
      <c r="Q141" s="4">
        <v>0.375</v>
      </c>
      <c r="R141" s="23">
        <v>0.42569444444444443</v>
      </c>
      <c r="S141" s="16" t="s">
        <v>85</v>
      </c>
      <c r="T141" s="14">
        <f>IF(OR(Tabela1[[#This Row],[Entrada]]="",Tabela1[[#This Row],[Saída]]=""), "", Tabela1[[#This Row],[Saída]]-Tabela1[[#This Row],[Entrada]])</f>
        <v>5.0694444444444431E-2</v>
      </c>
      <c r="U141" s="15">
        <f>IF(OR('Controle de CT'!$R141= "", 'Controle de CT'!$P141= ""), "", 'Controle de CT'!$R141-'Controle de CT'!$P141)</f>
        <v>6.0416666666666674E-2</v>
      </c>
      <c r="V141" s="1"/>
      <c r="W141" s="2"/>
      <c r="X141" s="2"/>
    </row>
    <row r="142" spans="11:24" ht="15" hidden="1" customHeight="1">
      <c r="K142" s="5">
        <v>46069</v>
      </c>
      <c r="L142" s="8" t="s">
        <v>92</v>
      </c>
      <c r="M142" s="9" t="str">
        <f>IF(Tabela1[[#This Row],[Motorista]]="","",IFERROR(_xlfn.XLOOKUP(Tabela1[[#This Row],[Motorista]],Base!A:A,Base!B:B),""))</f>
        <v>FOB</v>
      </c>
      <c r="N142" s="20" t="str">
        <f t="shared" si="3"/>
        <v>Fila de Carregamento</v>
      </c>
      <c r="O1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2" s="4">
        <v>0.42430555555555555</v>
      </c>
      <c r="Q142" s="4">
        <v>0.44097222222222221</v>
      </c>
      <c r="R142" s="23"/>
      <c r="S142" s="16" t="s">
        <v>85</v>
      </c>
      <c r="T142" s="14" t="str">
        <f>IF(OR(Tabela1[[#This Row],[Entrada]]="",Tabela1[[#This Row],[Saída]]=""), "", Tabela1[[#This Row],[Saída]]-Tabela1[[#This Row],[Entrada]])</f>
        <v/>
      </c>
      <c r="U142" s="15" t="str">
        <f>IF(OR('Controle de CT'!$R142= "", 'Controle de CT'!$P142= ""), "", 'Controle de CT'!$R142-'Controle de CT'!$P142)</f>
        <v/>
      </c>
      <c r="V142" s="1"/>
      <c r="W142" s="2"/>
      <c r="X142" s="2"/>
    </row>
    <row r="143" spans="11:24" ht="15" hidden="1" customHeight="1">
      <c r="K143" s="5">
        <v>46069</v>
      </c>
      <c r="L143" s="8" t="s">
        <v>123</v>
      </c>
      <c r="M143" s="9" t="str">
        <f>IF(Tabela1[[#This Row],[Motorista]]="","",IFERROR(_xlfn.XLOOKUP(Tabela1[[#This Row],[Motorista]],Base!A:A,Base!B:B),""))</f>
        <v>RZD</v>
      </c>
      <c r="N143" s="20" t="str">
        <f t="shared" si="3"/>
        <v/>
      </c>
      <c r="O1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3" s="4"/>
      <c r="Q143" s="4"/>
      <c r="R143" s="23"/>
      <c r="S143" s="16"/>
      <c r="T143" s="14" t="str">
        <f>IF(OR(Tabela1[[#This Row],[Entrada]]="",Tabela1[[#This Row],[Saída]]=""), "", Tabela1[[#This Row],[Saída]]-Tabela1[[#This Row],[Entrada]])</f>
        <v/>
      </c>
      <c r="U143" s="15" t="str">
        <f>IF(OR('Controle de CT'!$R143= "", 'Controle de CT'!$P143= ""), "", 'Controle de CT'!$R143-'Controle de CT'!$P143)</f>
        <v/>
      </c>
      <c r="V143" s="1"/>
      <c r="W143" s="2"/>
      <c r="X143" s="2"/>
    </row>
    <row r="144" spans="11:24" ht="15" hidden="1" customHeight="1">
      <c r="K144" s="5">
        <v>46069</v>
      </c>
      <c r="L144" s="8" t="s">
        <v>52</v>
      </c>
      <c r="M144" s="9" t="str">
        <f>IF(Tabela1[[#This Row],[Motorista]]="","",IFERROR(_xlfn.XLOOKUP(Tabela1[[#This Row],[Motorista]],Base!A:A,Base!B:B),""))</f>
        <v>CIF</v>
      </c>
      <c r="N144" s="20" t="str">
        <f t="shared" si="3"/>
        <v>Fila de Carregamento</v>
      </c>
      <c r="O1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4" s="4">
        <v>0.47847222222222224</v>
      </c>
      <c r="Q144" s="4">
        <v>0.48749999999999999</v>
      </c>
      <c r="R144" s="23"/>
      <c r="S144" s="16" t="s">
        <v>85</v>
      </c>
      <c r="T144" s="14" t="str">
        <f>IF(OR(Tabela1[[#This Row],[Entrada]]="",Tabela1[[#This Row],[Saída]]=""), "", Tabela1[[#This Row],[Saída]]-Tabela1[[#This Row],[Entrada]])</f>
        <v/>
      </c>
      <c r="U144" s="15" t="str">
        <f>IF(OR('Controle de CT'!$R144= "", 'Controle de CT'!$P144= ""), "", 'Controle de CT'!$R144-'Controle de CT'!$P144)</f>
        <v/>
      </c>
      <c r="V144" s="1"/>
      <c r="W144" s="2"/>
      <c r="X144" s="2"/>
    </row>
    <row r="145" spans="11:24" ht="15" hidden="1" customHeight="1">
      <c r="K145" s="5">
        <v>46069</v>
      </c>
      <c r="L145" s="8" t="s">
        <v>46</v>
      </c>
      <c r="M145" s="9" t="str">
        <f>IF(Tabela1[[#This Row],[Motorista]]="","",IFERROR(_xlfn.XLOOKUP(Tabela1[[#This Row],[Motorista]],Base!A:A,Base!B:B),""))</f>
        <v>CIF</v>
      </c>
      <c r="N145" s="20" t="str">
        <f t="shared" si="3"/>
        <v>Finalizado</v>
      </c>
      <c r="O1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" s="4">
        <v>0.46875</v>
      </c>
      <c r="Q145" s="4">
        <v>0.48472222222222222</v>
      </c>
      <c r="R145" s="23">
        <v>0.55625000000000002</v>
      </c>
      <c r="S145" s="16" t="s">
        <v>85</v>
      </c>
      <c r="T145" s="14">
        <f>IF(OR(Tabela1[[#This Row],[Entrada]]="",Tabela1[[#This Row],[Saída]]=""), "", Tabela1[[#This Row],[Saída]]-Tabela1[[#This Row],[Entrada]])</f>
        <v>7.1527777777777801E-2</v>
      </c>
      <c r="U145" s="15">
        <f>IF(OR('Controle de CT'!$R145= "", 'Controle de CT'!$P145= ""), "", 'Controle de CT'!$R145-'Controle de CT'!$P145)</f>
        <v>8.7500000000000022E-2</v>
      </c>
      <c r="V145" s="1"/>
      <c r="W145" s="2"/>
      <c r="X145" s="2"/>
    </row>
    <row r="146" spans="11:24" ht="15" hidden="1" customHeight="1">
      <c r="K146" s="5">
        <v>46069</v>
      </c>
      <c r="L146" s="8" t="s">
        <v>47</v>
      </c>
      <c r="M146" s="9" t="str">
        <f>IF(Tabela1[[#This Row],[Motorista]]="","",IFERROR(_xlfn.XLOOKUP(Tabela1[[#This Row],[Motorista]],Base!A:A,Base!B:B),""))</f>
        <v>CIF</v>
      </c>
      <c r="N146" s="20" t="str">
        <f t="shared" si="3"/>
        <v>Fila de Carregamento</v>
      </c>
      <c r="O1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6" s="4">
        <v>0.49375000000000002</v>
      </c>
      <c r="Q146" s="4">
        <v>0.50069444444444444</v>
      </c>
      <c r="R146" s="23"/>
      <c r="S146" s="16" t="s">
        <v>85</v>
      </c>
      <c r="T146" s="14" t="str">
        <f>IF(OR(Tabela1[[#This Row],[Entrada]]="",Tabela1[[#This Row],[Saída]]=""), "", Tabela1[[#This Row],[Saída]]-Tabela1[[#This Row],[Entrada]])</f>
        <v/>
      </c>
      <c r="U146" s="15" t="str">
        <f>IF(OR('Controle de CT'!$R146= "", 'Controle de CT'!$P146= ""), "", 'Controle de CT'!$R146-'Controle de CT'!$P146)</f>
        <v/>
      </c>
      <c r="V146" s="1"/>
      <c r="W146" s="2"/>
      <c r="X146" s="2"/>
    </row>
    <row r="147" spans="11:24" ht="15" hidden="1" customHeight="1">
      <c r="K147" s="5">
        <v>46069</v>
      </c>
      <c r="L147" s="8" t="s">
        <v>58</v>
      </c>
      <c r="M147" s="9" t="str">
        <f>IF(Tabela1[[#This Row],[Motorista]]="","",IFERROR(_xlfn.XLOOKUP(Tabela1[[#This Row],[Motorista]],Base!A:A,Base!B:B),""))</f>
        <v xml:space="preserve">CIF </v>
      </c>
      <c r="N147" s="20" t="str">
        <f t="shared" si="3"/>
        <v>Fila de Carregamento</v>
      </c>
      <c r="O1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7" s="4">
        <v>0.51111111111111107</v>
      </c>
      <c r="Q147" s="4">
        <v>0.52083333333333337</v>
      </c>
      <c r="R147" s="23"/>
      <c r="S147" s="16" t="s">
        <v>85</v>
      </c>
      <c r="T147" s="14" t="str">
        <f>IF(OR(Tabela1[[#This Row],[Entrada]]="",Tabela1[[#This Row],[Saída]]=""), "", Tabela1[[#This Row],[Saída]]-Tabela1[[#This Row],[Entrada]])</f>
        <v/>
      </c>
      <c r="U147" s="15" t="str">
        <f>IF(OR('Controle de CT'!$R147= "", 'Controle de CT'!$P147= ""), "", 'Controle de CT'!$R147-'Controle de CT'!$P147)</f>
        <v/>
      </c>
      <c r="V147" s="1"/>
      <c r="W147" s="2"/>
      <c r="X147" s="2"/>
    </row>
    <row r="148" spans="11:24" ht="15" hidden="1" customHeight="1">
      <c r="K148" s="5">
        <v>46069</v>
      </c>
      <c r="L148" s="8" t="s">
        <v>56</v>
      </c>
      <c r="M148" s="9" t="str">
        <f>IF(Tabela1[[#This Row],[Motorista]]="","",IFERROR(_xlfn.XLOOKUP(Tabela1[[#This Row],[Motorista]],Base!A:A,Base!B:B),""))</f>
        <v/>
      </c>
      <c r="N148" s="20" t="str">
        <f t="shared" si="3"/>
        <v>Fila de Carregamento</v>
      </c>
      <c r="O1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8" s="4">
        <v>0.52777777777777779</v>
      </c>
      <c r="Q148" s="4">
        <v>0.54583333333333328</v>
      </c>
      <c r="R148" s="23"/>
      <c r="S148" s="16"/>
      <c r="T148" s="14" t="str">
        <f>IF(OR(Tabela1[[#This Row],[Entrada]]="",Tabela1[[#This Row],[Saída]]=""), "", Tabela1[[#This Row],[Saída]]-Tabela1[[#This Row],[Entrada]])</f>
        <v/>
      </c>
      <c r="U148" s="15" t="str">
        <f>IF(OR('Controle de CT'!$R148= "", 'Controle de CT'!$P148= ""), "", 'Controle de CT'!$R148-'Controle de CT'!$P148)</f>
        <v/>
      </c>
      <c r="V148" s="1"/>
      <c r="W148" s="2"/>
      <c r="X148" s="2"/>
    </row>
    <row r="149" spans="11:24" ht="15" hidden="1" customHeight="1">
      <c r="K149" s="5">
        <v>46069</v>
      </c>
      <c r="L149" s="8" t="s">
        <v>57</v>
      </c>
      <c r="M149" s="9" t="str">
        <f>IF(Tabela1[[#This Row],[Motorista]]="","",IFERROR(_xlfn.XLOOKUP(Tabela1[[#This Row],[Motorista]],Base!A:A,Base!B:B),""))</f>
        <v>CIF</v>
      </c>
      <c r="N149" s="20" t="str">
        <f t="shared" si="3"/>
        <v>Fila de Carregamento</v>
      </c>
      <c r="O1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9" s="4">
        <v>0.53194444444444444</v>
      </c>
      <c r="Q149" s="4">
        <v>0.54861111111111116</v>
      </c>
      <c r="R149" s="23"/>
      <c r="S149" s="16"/>
      <c r="T149" s="14" t="str">
        <f>IF(OR(Tabela1[[#This Row],[Entrada]]="",Tabela1[[#This Row],[Saída]]=""), "", Tabela1[[#This Row],[Saída]]-Tabela1[[#This Row],[Entrada]])</f>
        <v/>
      </c>
      <c r="U149" s="15" t="str">
        <f>IF(OR('Controle de CT'!$R149= "", 'Controle de CT'!$P149= ""), "", 'Controle de CT'!$R149-'Controle de CT'!$P149)</f>
        <v/>
      </c>
      <c r="V149" s="1"/>
      <c r="W149" s="2"/>
      <c r="X149" s="2"/>
    </row>
    <row r="150" spans="11:24" ht="15" hidden="1" customHeight="1">
      <c r="K150" s="5">
        <v>46069</v>
      </c>
      <c r="L150" s="8" t="s">
        <v>124</v>
      </c>
      <c r="M150" s="9" t="str">
        <f>IF(Tabela1[[#This Row],[Motorista]]="","",IFERROR(_xlfn.XLOOKUP(Tabela1[[#This Row],[Motorista]],Base!A:A,Base!B:B),""))</f>
        <v>Transferência</v>
      </c>
      <c r="N150" s="20" t="str">
        <f t="shared" si="3"/>
        <v>Fila de Carregamento</v>
      </c>
      <c r="O1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0" s="4">
        <v>0.53125</v>
      </c>
      <c r="Q150" s="4">
        <v>0.54861111111111116</v>
      </c>
      <c r="R150" s="23"/>
      <c r="S150" s="16" t="s">
        <v>85</v>
      </c>
      <c r="T150" s="14" t="str">
        <f>IF(OR(Tabela1[[#This Row],[Entrada]]="",Tabela1[[#This Row],[Saída]]=""), "", Tabela1[[#This Row],[Saída]]-Tabela1[[#This Row],[Entrada]])</f>
        <v/>
      </c>
      <c r="U150" s="15" t="str">
        <f>IF(OR('Controle de CT'!$R150= "", 'Controle de CT'!$P150= ""), "", 'Controle de CT'!$R150-'Controle de CT'!$P150)</f>
        <v/>
      </c>
      <c r="V150" s="1"/>
      <c r="W150" s="2"/>
      <c r="X150" s="2"/>
    </row>
    <row r="151" spans="11:24" ht="15" hidden="1" customHeight="1">
      <c r="K151" s="5">
        <v>46069</v>
      </c>
      <c r="L151" s="8" t="s">
        <v>125</v>
      </c>
      <c r="M151" s="9" t="str">
        <f>IF(Tabela1[[#This Row],[Motorista]]="","",IFERROR(_xlfn.XLOOKUP(Tabela1[[#This Row],[Motorista]],Base!A:A,Base!B:B),""))</f>
        <v>FOB</v>
      </c>
      <c r="N151" s="20" t="str">
        <f t="shared" si="3"/>
        <v>Fila de Carregamento</v>
      </c>
      <c r="O1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" s="4">
        <v>0.56180555555555556</v>
      </c>
      <c r="Q151" s="4">
        <v>0.63888888888888884</v>
      </c>
      <c r="R151" s="23"/>
      <c r="S151" s="16" t="s">
        <v>85</v>
      </c>
      <c r="T151" s="14" t="str">
        <f>IF(OR(Tabela1[[#This Row],[Entrada]]="",Tabela1[[#This Row],[Saída]]=""), "", Tabela1[[#This Row],[Saída]]-Tabela1[[#This Row],[Entrada]])</f>
        <v/>
      </c>
      <c r="U151" s="15" t="str">
        <f>IF(OR('Controle de CT'!$R151= "", 'Controle de CT'!$P151= ""), "", 'Controle de CT'!$R151-'Controle de CT'!$P151)</f>
        <v/>
      </c>
      <c r="V151" s="1"/>
      <c r="W151" s="2"/>
      <c r="X151" s="2"/>
    </row>
    <row r="152" spans="11:24" ht="15" hidden="1" customHeight="1">
      <c r="K152" s="5">
        <v>46069</v>
      </c>
      <c r="L152" s="8" t="s">
        <v>87</v>
      </c>
      <c r="M152" s="9" t="str">
        <f>IF(Tabela1[[#This Row],[Motorista]]="","",IFERROR(_xlfn.XLOOKUP(Tabela1[[#This Row],[Motorista]],Base!A:A,Base!B:B),""))</f>
        <v>FOB</v>
      </c>
      <c r="N152" s="20" t="str">
        <f t="shared" si="3"/>
        <v>Aguardando Entrada</v>
      </c>
      <c r="O1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2" s="4">
        <v>0.55902777777777779</v>
      </c>
      <c r="Q152" s="4"/>
      <c r="R152" s="23"/>
      <c r="S152" s="16"/>
      <c r="T152" s="14" t="str">
        <f>IF(OR(Tabela1[[#This Row],[Entrada]]="",Tabela1[[#This Row],[Saída]]=""), "", Tabela1[[#This Row],[Saída]]-Tabela1[[#This Row],[Entrada]])</f>
        <v/>
      </c>
      <c r="U152" s="15" t="str">
        <f>IF(OR('Controle de CT'!$R152= "", 'Controle de CT'!$P152= ""), "", 'Controle de CT'!$R152-'Controle de CT'!$P152)</f>
        <v/>
      </c>
      <c r="V152" s="1"/>
      <c r="W152" s="2"/>
      <c r="X152" s="2"/>
    </row>
    <row r="153" spans="11:24" ht="15" hidden="1" customHeight="1">
      <c r="K153" s="5">
        <v>46069</v>
      </c>
      <c r="L153" s="8" t="s">
        <v>90</v>
      </c>
      <c r="M153" s="9" t="str">
        <f>IF(Tabela1[[#This Row],[Motorista]]="","",IFERROR(_xlfn.XLOOKUP(Tabela1[[#This Row],[Motorista]],Base!A:A,Base!B:B),""))</f>
        <v>FOB</v>
      </c>
      <c r="N153" s="20" t="str">
        <f t="shared" si="3"/>
        <v>Fila de Carregamento</v>
      </c>
      <c r="O1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" s="4">
        <v>0.59722222222222221</v>
      </c>
      <c r="Q153" s="4">
        <v>0.64375000000000004</v>
      </c>
      <c r="R153" s="23"/>
      <c r="S153" s="16" t="s">
        <v>85</v>
      </c>
      <c r="T153" s="14" t="str">
        <f>IF(OR(Tabela1[[#This Row],[Entrada]]="",Tabela1[[#This Row],[Saída]]=""), "", Tabela1[[#This Row],[Saída]]-Tabela1[[#This Row],[Entrada]])</f>
        <v/>
      </c>
      <c r="U153" s="15" t="str">
        <f>IF(OR('Controle de CT'!$R153= "", 'Controle de CT'!$P153= ""), "", 'Controle de CT'!$R153-'Controle de CT'!$P153)</f>
        <v/>
      </c>
      <c r="V153" s="1"/>
      <c r="W153" s="2">
        <v>615769</v>
      </c>
      <c r="X153" s="2"/>
    </row>
    <row r="154" spans="11:24" ht="15" hidden="1" customHeight="1">
      <c r="K154" s="5">
        <v>46069</v>
      </c>
      <c r="L154" s="8" t="s">
        <v>116</v>
      </c>
      <c r="M154" s="9" t="str">
        <f>IF(Tabela1[[#This Row],[Motorista]]="","",IFERROR(_xlfn.XLOOKUP(Tabela1[[#This Row],[Motorista]],Base!A:A,Base!B:B),""))</f>
        <v xml:space="preserve">CIF </v>
      </c>
      <c r="N154" s="20" t="str">
        <f t="shared" si="3"/>
        <v>Fila de Carregamento</v>
      </c>
      <c r="O1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4" s="4">
        <v>0.61597222222222225</v>
      </c>
      <c r="Q154" s="4">
        <v>0.67361111111111116</v>
      </c>
      <c r="R154" s="23"/>
      <c r="S154" s="16" t="s">
        <v>85</v>
      </c>
      <c r="T154" s="14" t="str">
        <f>IF(OR(Tabela1[[#This Row],[Entrada]]="",Tabela1[[#This Row],[Saída]]=""), "", Tabela1[[#This Row],[Saída]]-Tabela1[[#This Row],[Entrada]])</f>
        <v/>
      </c>
      <c r="U154" s="15" t="str">
        <f>IF(OR('Controle de CT'!$R154= "", 'Controle de CT'!$P154= ""), "", 'Controle de CT'!$R154-'Controle de CT'!$P154)</f>
        <v/>
      </c>
      <c r="V154" s="1"/>
      <c r="W154" s="2"/>
      <c r="X154" s="2"/>
    </row>
    <row r="155" spans="11:24" ht="15" hidden="1" customHeight="1">
      <c r="K155" s="5">
        <v>46069</v>
      </c>
      <c r="L155" s="8" t="s">
        <v>52</v>
      </c>
      <c r="M155" s="9" t="str">
        <f>IF(Tabela1[[#This Row],[Motorista]]="","",IFERROR(_xlfn.XLOOKUP(Tabela1[[#This Row],[Motorista]],Base!A:A,Base!B:B),""))</f>
        <v>CIF</v>
      </c>
      <c r="N155" s="20" t="str">
        <f t="shared" si="3"/>
        <v>Finalizado</v>
      </c>
      <c r="O1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55" s="4">
        <v>0.62569444444444444</v>
      </c>
      <c r="Q155" s="4">
        <v>0.63263888888888886</v>
      </c>
      <c r="R155" s="23">
        <v>0.68958333333333333</v>
      </c>
      <c r="S155" s="16" t="s">
        <v>85</v>
      </c>
      <c r="T155" s="14">
        <f>IF(OR(Tabela1[[#This Row],[Entrada]]="",Tabela1[[#This Row],[Saída]]=""), "", Tabela1[[#This Row],[Saída]]-Tabela1[[#This Row],[Entrada]])</f>
        <v>5.6944444444444464E-2</v>
      </c>
      <c r="U155" s="15">
        <f>IF(OR('Controle de CT'!$R155= "", 'Controle de CT'!$P155= ""), "", 'Controle de CT'!$R155-'Controle de CT'!$P155)</f>
        <v>6.3888888888888884E-2</v>
      </c>
      <c r="V155" s="1"/>
      <c r="W155" s="2"/>
      <c r="X155" s="2"/>
    </row>
    <row r="156" spans="11:24" ht="15" hidden="1" customHeight="1">
      <c r="K156" s="5">
        <v>46069</v>
      </c>
      <c r="L156" s="8" t="s">
        <v>98</v>
      </c>
      <c r="M156" s="9" t="str">
        <f>IF(Tabela1[[#This Row],[Motorista]]="","",IFERROR(_xlfn.XLOOKUP(Tabela1[[#This Row],[Motorista]],Base!A:A,Base!B:B),""))</f>
        <v>FOB</v>
      </c>
      <c r="N156" s="20" t="str">
        <f t="shared" si="3"/>
        <v>Fila de Carregamento</v>
      </c>
      <c r="O1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6" s="4">
        <v>0.63402777777777775</v>
      </c>
      <c r="Q156" s="4">
        <v>0.6875</v>
      </c>
      <c r="R156" s="23"/>
      <c r="S156" s="16" t="s">
        <v>97</v>
      </c>
      <c r="T156" s="14" t="str">
        <f>IF(OR(Tabela1[[#This Row],[Entrada]]="",Tabela1[[#This Row],[Saída]]=""), "", Tabela1[[#This Row],[Saída]]-Tabela1[[#This Row],[Entrada]])</f>
        <v/>
      </c>
      <c r="U156" s="15" t="str">
        <f>IF(OR('Controle de CT'!$R156= "", 'Controle de CT'!$P156= ""), "", 'Controle de CT'!$R156-'Controle de CT'!$P156)</f>
        <v/>
      </c>
      <c r="V156" s="1"/>
      <c r="W156" s="2"/>
      <c r="X156" s="2"/>
    </row>
    <row r="157" spans="11:24" ht="15" hidden="1" customHeight="1">
      <c r="K157" s="5">
        <v>46069</v>
      </c>
      <c r="L157" s="8" t="s">
        <v>126</v>
      </c>
      <c r="M157" s="9" t="str">
        <f>IF(Tabela1[[#This Row],[Motorista]]="","",IFERROR(_xlfn.XLOOKUP(Tabela1[[#This Row],[Motorista]],Base!A:A,Base!B:B),""))</f>
        <v>Transferência</v>
      </c>
      <c r="N157" s="20" t="str">
        <f t="shared" si="3"/>
        <v>Aguardando Entrada</v>
      </c>
      <c r="O1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" s="4">
        <v>0.63124999999999998</v>
      </c>
      <c r="Q157" s="4"/>
      <c r="R157" s="23"/>
      <c r="S157" s="16" t="s">
        <v>97</v>
      </c>
      <c r="T157" s="14" t="str">
        <f>IF(OR(Tabela1[[#This Row],[Entrada]]="",Tabela1[[#This Row],[Saída]]=""), "", Tabela1[[#This Row],[Saída]]-Tabela1[[#This Row],[Entrada]])</f>
        <v/>
      </c>
      <c r="U157" s="15" t="str">
        <f>IF(OR('Controle de CT'!$R157= "", 'Controle de CT'!$P157= ""), "", 'Controle de CT'!$R157-'Controle de CT'!$P157)</f>
        <v/>
      </c>
      <c r="V157" s="1"/>
      <c r="W157" s="2"/>
      <c r="X157" s="2"/>
    </row>
    <row r="158" spans="11:24" ht="15" hidden="1" customHeight="1">
      <c r="K158" s="5">
        <v>46069</v>
      </c>
      <c r="L158" s="8" t="s">
        <v>89</v>
      </c>
      <c r="M158" s="9" t="str">
        <f>IF(Tabela1[[#This Row],[Motorista]]="","",IFERROR(_xlfn.XLOOKUP(Tabela1[[#This Row],[Motorista]],Base!A:A,Base!B:B),""))</f>
        <v>FOB</v>
      </c>
      <c r="N158" s="20" t="str">
        <f t="shared" si="3"/>
        <v>Aguardando Entrada</v>
      </c>
      <c r="O1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" s="4">
        <v>0.64375000000000004</v>
      </c>
      <c r="Q158" s="4"/>
      <c r="R158" s="23"/>
      <c r="S158" s="16" t="s">
        <v>97</v>
      </c>
      <c r="T158" s="14" t="str">
        <f>IF(OR(Tabela1[[#This Row],[Entrada]]="",Tabela1[[#This Row],[Saída]]=""), "", Tabela1[[#This Row],[Saída]]-Tabela1[[#This Row],[Entrada]])</f>
        <v/>
      </c>
      <c r="U158" s="15" t="str">
        <f>IF(OR('Controle de CT'!$R158= "", 'Controle de CT'!$P158= ""), "", 'Controle de CT'!$R158-'Controle de CT'!$P158)</f>
        <v/>
      </c>
      <c r="V158" s="1"/>
      <c r="W158" s="2"/>
      <c r="X158" s="2"/>
    </row>
    <row r="159" spans="11:24" ht="15" hidden="1" customHeight="1">
      <c r="K159" s="5">
        <v>46069</v>
      </c>
      <c r="L159" s="8" t="s">
        <v>93</v>
      </c>
      <c r="M159" s="9" t="str">
        <f>IF(Tabela1[[#This Row],[Motorista]]="","",IFERROR(_xlfn.XLOOKUP(Tabela1[[#This Row],[Motorista]],Base!A:A,Base!B:B),""))</f>
        <v>FOB</v>
      </c>
      <c r="N159" s="20" t="str">
        <f t="shared" si="3"/>
        <v>Aguardando Entrada</v>
      </c>
      <c r="O1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" s="4">
        <v>0.64652777777777781</v>
      </c>
      <c r="Q159" s="4"/>
      <c r="R159" s="23"/>
      <c r="S159" s="16" t="s">
        <v>97</v>
      </c>
      <c r="T159" s="14" t="str">
        <f>IF(OR(Tabela1[[#This Row],[Entrada]]="",Tabela1[[#This Row],[Saída]]=""), "", Tabela1[[#This Row],[Saída]]-Tabela1[[#This Row],[Entrada]])</f>
        <v/>
      </c>
      <c r="U159" s="15" t="str">
        <f>IF(OR('Controle de CT'!$R159= "", 'Controle de CT'!$P159= ""), "", 'Controle de CT'!$R159-'Controle de CT'!$P159)</f>
        <v/>
      </c>
      <c r="V159" s="1"/>
      <c r="W159" s="2"/>
      <c r="X159" s="2"/>
    </row>
    <row r="160" spans="11:24" ht="15" hidden="1" customHeight="1">
      <c r="K160" s="5">
        <v>46069</v>
      </c>
      <c r="L160" s="8" t="s">
        <v>91</v>
      </c>
      <c r="M160" s="9" t="str">
        <f>IF(Tabela1[[#This Row],[Motorista]]="","",IFERROR(_xlfn.XLOOKUP(Tabela1[[#This Row],[Motorista]],Base!A:A,Base!B:B),""))</f>
        <v>FOB</v>
      </c>
      <c r="N160" s="20" t="str">
        <f t="shared" si="3"/>
        <v>Aguardando Entrada</v>
      </c>
      <c r="O1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" s="4">
        <v>0.65208333333333335</v>
      </c>
      <c r="Q160" s="4"/>
      <c r="R160" s="23"/>
      <c r="S160" s="16" t="s">
        <v>97</v>
      </c>
      <c r="T160" s="14" t="str">
        <f>IF(OR(Tabela1[[#This Row],[Entrada]]="",Tabela1[[#This Row],[Saída]]=""), "", Tabela1[[#This Row],[Saída]]-Tabela1[[#This Row],[Entrada]])</f>
        <v/>
      </c>
      <c r="U160" s="15" t="str">
        <f>IF(OR('Controle de CT'!$R160= "", 'Controle de CT'!$P160= ""), "", 'Controle de CT'!$R160-'Controle de CT'!$P160)</f>
        <v/>
      </c>
      <c r="V160" s="1"/>
      <c r="W160" s="2"/>
      <c r="X160" s="2"/>
    </row>
    <row r="161" spans="11:24" ht="15" hidden="1" customHeight="1">
      <c r="K161" s="5">
        <v>46069</v>
      </c>
      <c r="L161" s="8" t="s">
        <v>127</v>
      </c>
      <c r="M161" s="9" t="str">
        <f>IF(Tabela1[[#This Row],[Motorista]]="","",IFERROR(_xlfn.XLOOKUP(Tabela1[[#This Row],[Motorista]],Base!A:A,Base!B:B),""))</f>
        <v>Transferência</v>
      </c>
      <c r="N161" s="20" t="str">
        <f t="shared" si="3"/>
        <v>Aguardando Entrada</v>
      </c>
      <c r="O1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1" s="4">
        <v>0.65555555555555556</v>
      </c>
      <c r="Q161" s="4"/>
      <c r="R161" s="23"/>
      <c r="S161" s="16" t="s">
        <v>97</v>
      </c>
      <c r="T161" s="14" t="str">
        <f>IF(OR(Tabela1[[#This Row],[Entrada]]="",Tabela1[[#This Row],[Saída]]=""), "", Tabela1[[#This Row],[Saída]]-Tabela1[[#This Row],[Entrada]])</f>
        <v/>
      </c>
      <c r="U161" s="15" t="str">
        <f>IF(OR('Controle de CT'!$R161= "", 'Controle de CT'!$P161= ""), "", 'Controle de CT'!$R161-'Controle de CT'!$P161)</f>
        <v/>
      </c>
      <c r="V161" s="1"/>
      <c r="W161" s="2"/>
      <c r="X161" s="2"/>
    </row>
    <row r="162" spans="11:24" ht="15" hidden="1" customHeight="1">
      <c r="K162" s="5">
        <v>46069</v>
      </c>
      <c r="L162" s="8" t="s">
        <v>95</v>
      </c>
      <c r="M162" s="9" t="str">
        <f>IF(Tabela1[[#This Row],[Motorista]]="","",IFERROR(_xlfn.XLOOKUP(Tabela1[[#This Row],[Motorista]],Base!A:A,Base!B:B),""))</f>
        <v>FOB</v>
      </c>
      <c r="N162" s="20" t="str">
        <f t="shared" si="3"/>
        <v>Aguardando Entrada</v>
      </c>
      <c r="O1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" s="4">
        <v>0.6694444444444444</v>
      </c>
      <c r="Q162" s="4"/>
      <c r="R162" s="23"/>
      <c r="S162" s="16" t="s">
        <v>97</v>
      </c>
      <c r="T162" s="14" t="str">
        <f>IF(OR(Tabela1[[#This Row],[Entrada]]="",Tabela1[[#This Row],[Saída]]=""), "", Tabela1[[#This Row],[Saída]]-Tabela1[[#This Row],[Entrada]])</f>
        <v/>
      </c>
      <c r="U162" s="15" t="str">
        <f>IF(OR('Controle de CT'!$R162= "", 'Controle de CT'!$P162= ""), "", 'Controle de CT'!$R162-'Controle de CT'!$P162)</f>
        <v/>
      </c>
      <c r="V162" s="1"/>
      <c r="W162" s="2"/>
      <c r="X162" s="2"/>
    </row>
    <row r="163" spans="11:24" ht="15" hidden="1" customHeight="1">
      <c r="K163" s="5">
        <v>46069</v>
      </c>
      <c r="L163" s="8" t="s">
        <v>128</v>
      </c>
      <c r="M163" s="9" t="str">
        <f>IF(Tabela1[[#This Row],[Motorista]]="","",IFERROR(_xlfn.XLOOKUP(Tabela1[[#This Row],[Motorista]],Base!A:A,Base!B:B),""))</f>
        <v>FOB</v>
      </c>
      <c r="N163" s="20" t="str">
        <f t="shared" si="3"/>
        <v/>
      </c>
      <c r="O1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" s="4"/>
      <c r="Q163" s="4"/>
      <c r="R163" s="23"/>
      <c r="S163" s="16" t="s">
        <v>97</v>
      </c>
      <c r="T163" s="14" t="str">
        <f>IF(OR(Tabela1[[#This Row],[Entrada]]="",Tabela1[[#This Row],[Saída]]=""), "", Tabela1[[#This Row],[Saída]]-Tabela1[[#This Row],[Entrada]])</f>
        <v/>
      </c>
      <c r="U163" s="15" t="str">
        <f>IF(OR('Controle de CT'!$R163= "", 'Controle de CT'!$P163= ""), "", 'Controle de CT'!$R163-'Controle de CT'!$P163)</f>
        <v/>
      </c>
      <c r="V163" s="1"/>
      <c r="W163" s="2"/>
      <c r="X163" s="2"/>
    </row>
    <row r="164" spans="11:24" ht="15" hidden="1" customHeight="1">
      <c r="K164" s="5">
        <v>46069</v>
      </c>
      <c r="L164" s="8" t="s">
        <v>108</v>
      </c>
      <c r="M164" s="9" t="str">
        <f>IF(Tabela1[[#This Row],[Motorista]]="","",IFERROR(_xlfn.XLOOKUP(Tabela1[[#This Row],[Motorista]],Base!A:A,Base!B:B),""))</f>
        <v>Transferência</v>
      </c>
      <c r="N164" s="20" t="str">
        <f t="shared" si="3"/>
        <v/>
      </c>
      <c r="O1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" s="4"/>
      <c r="Q164" s="4"/>
      <c r="R164" s="23"/>
      <c r="S164" s="16" t="s">
        <v>97</v>
      </c>
      <c r="T164" s="14" t="str">
        <f>IF(OR(Tabela1[[#This Row],[Entrada]]="",Tabela1[[#This Row],[Saída]]=""), "", Tabela1[[#This Row],[Saída]]-Tabela1[[#This Row],[Entrada]])</f>
        <v/>
      </c>
      <c r="U164" s="15" t="str">
        <f>IF(OR('Controle de CT'!$R164= "", 'Controle de CT'!$P164= ""), "", 'Controle de CT'!$R164-'Controle de CT'!$P164)</f>
        <v/>
      </c>
      <c r="V164" s="1"/>
      <c r="W164" s="2"/>
      <c r="X164" s="2"/>
    </row>
    <row r="165" spans="11:24" ht="15" hidden="1" customHeight="1">
      <c r="K165" s="5">
        <v>46071</v>
      </c>
      <c r="L165" s="8" t="s">
        <v>101</v>
      </c>
      <c r="M165" s="9" t="str">
        <f>IF(Tabela1[[#This Row],[Motorista]]="","",IFERROR(_xlfn.XLOOKUP(Tabela1[[#This Row],[Motorista]],Base!A:A,Base!B:B),""))</f>
        <v>FOB</v>
      </c>
      <c r="N165" s="20" t="str">
        <f t="shared" si="3"/>
        <v>Finalizado</v>
      </c>
      <c r="O1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" s="4">
        <v>0.25</v>
      </c>
      <c r="Q165" s="4">
        <v>0.54166666666666663</v>
      </c>
      <c r="R165" s="23">
        <v>0.59027777777777779</v>
      </c>
      <c r="S165" s="16" t="s">
        <v>85</v>
      </c>
      <c r="T165" s="14">
        <f>IF(OR(Tabela1[[#This Row],[Entrada]]="",Tabela1[[#This Row],[Saída]]=""), "", Tabela1[[#This Row],[Saída]]-Tabela1[[#This Row],[Entrada]])</f>
        <v>4.861111111111116E-2</v>
      </c>
      <c r="U165" s="15">
        <f>IF(OR('Controle de CT'!$R165= "", 'Controle de CT'!$P165= ""), "", 'Controle de CT'!$R165-'Controle de CT'!$P165)</f>
        <v>0.34027777777777779</v>
      </c>
      <c r="V165" s="1"/>
      <c r="W165" s="2"/>
      <c r="X165" s="2"/>
    </row>
    <row r="166" spans="11:24" ht="15" hidden="1" customHeight="1">
      <c r="K166" s="5">
        <v>46071</v>
      </c>
      <c r="L166" s="8" t="s">
        <v>95</v>
      </c>
      <c r="M166" s="9" t="str">
        <f>IF(Tabela1[[#This Row],[Motorista]]="","",IFERROR(_xlfn.XLOOKUP(Tabela1[[#This Row],[Motorista]],Base!A:A,Base!B:B),""))</f>
        <v>FOB</v>
      </c>
      <c r="N166" s="20" t="str">
        <f t="shared" si="3"/>
        <v>Aguardando Entrada</v>
      </c>
      <c r="O1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" s="4">
        <v>0.25</v>
      </c>
      <c r="Q166" s="4"/>
      <c r="R166" s="23"/>
      <c r="S166" s="16" t="s">
        <v>97</v>
      </c>
      <c r="T166" s="14" t="str">
        <f>IF(OR(Tabela1[[#This Row],[Entrada]]="",Tabela1[[#This Row],[Saída]]=""), "", Tabela1[[#This Row],[Saída]]-Tabela1[[#This Row],[Entrada]])</f>
        <v/>
      </c>
      <c r="U166" s="15" t="str">
        <f>IF(OR('Controle de CT'!$R170= "", 'Controle de CT'!$P170= ""), "", 'Controle de CT'!$R170-'Controle de CT'!$P170)</f>
        <v/>
      </c>
      <c r="V166" s="1"/>
      <c r="W166" s="2"/>
      <c r="X166" s="2"/>
    </row>
    <row r="167" spans="11:24" ht="15" hidden="1" customHeight="1">
      <c r="K167" s="5">
        <v>46071</v>
      </c>
      <c r="L167" s="8" t="s">
        <v>114</v>
      </c>
      <c r="M167" s="9" t="str">
        <f>IF(Tabela1[[#This Row],[Motorista]]="","",IFERROR(_xlfn.XLOOKUP(Tabela1[[#This Row],[Motorista]],Base!A:A,Base!B:B),""))</f>
        <v>FOB</v>
      </c>
      <c r="N167" s="20" t="str">
        <f t="shared" si="3"/>
        <v>Aguardando Entrada</v>
      </c>
      <c r="O1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" s="2">
        <v>0.25</v>
      </c>
      <c r="R167" s="16"/>
      <c r="S167" s="16" t="s">
        <v>97</v>
      </c>
      <c r="T167" s="14" t="str">
        <f>IF(OR(Tabela1[[#This Row],[Entrada]]="",Tabela1[[#This Row],[Saída]]=""), "", Tabela1[[#This Row],[Saída]]-Tabela1[[#This Row],[Entrada]])</f>
        <v/>
      </c>
      <c r="U167" s="15" t="str">
        <f>IF(OR('Controle de CT'!$R167= "", 'Controle de CT'!$P167= ""), "", 'Controle de CT'!$R167-'Controle de CT'!$P167)</f>
        <v/>
      </c>
      <c r="V167" s="1"/>
      <c r="W167" s="2"/>
      <c r="X167" s="2"/>
    </row>
    <row r="168" spans="11:24" ht="15" hidden="1" customHeight="1">
      <c r="K168" s="5">
        <v>46071</v>
      </c>
      <c r="L168" s="8" t="s">
        <v>109</v>
      </c>
      <c r="M168" s="9" t="str">
        <f>IF(Tabela1[[#This Row],[Motorista]]="","",IFERROR(_xlfn.XLOOKUP(Tabela1[[#This Row],[Motorista]],Base!A:A,Base!B:B),""))</f>
        <v>Transferência</v>
      </c>
      <c r="N168" s="20" t="str">
        <f t="shared" ref="N168:N231" si="4">IF(R168&lt;&gt;"","Finalizado", IF(Q168&lt;&gt;"","Fila de Carregamento", IF(P168&lt;&gt;"","Aguardando Entrada","")))</f>
        <v>Aguardando Entrada</v>
      </c>
      <c r="O1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" s="2">
        <v>0.29305555555555557</v>
      </c>
      <c r="R168" s="16"/>
      <c r="S168" s="16" t="s">
        <v>97</v>
      </c>
      <c r="T168" s="14" t="str">
        <f>IF(OR(Tabela1[[#This Row],[Entrada]]="",Tabela1[[#This Row],[Saída]]=""), "", Tabela1[[#This Row],[Saída]]-Tabela1[[#This Row],[Entrada]])</f>
        <v/>
      </c>
      <c r="U168" s="15" t="str">
        <f>IF(OR('Controle de CT'!$R168= "", 'Controle de CT'!$P168= ""), "", 'Controle de CT'!$R168-'Controle de CT'!$P168)</f>
        <v/>
      </c>
      <c r="V168" s="1"/>
      <c r="W168" s="2"/>
      <c r="X168" s="2"/>
    </row>
    <row r="169" spans="11:24" ht="15" hidden="1" customHeight="1">
      <c r="K169" s="5">
        <v>46071</v>
      </c>
      <c r="L169" s="8" t="s">
        <v>90</v>
      </c>
      <c r="M169" s="9" t="str">
        <f>IF(Tabela1[[#This Row],[Motorista]]="","",IFERROR(_xlfn.XLOOKUP(Tabela1[[#This Row],[Motorista]],Base!A:A,Base!B:B),""))</f>
        <v>FOB</v>
      </c>
      <c r="N169" s="20" t="str">
        <f t="shared" si="4"/>
        <v>Aguardando Entrada</v>
      </c>
      <c r="O1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9" s="2">
        <v>0.41944444444444445</v>
      </c>
      <c r="R169" s="16"/>
      <c r="S169" s="16" t="s">
        <v>97</v>
      </c>
      <c r="T169" s="14" t="str">
        <f>IF(OR(Tabela1[[#This Row],[Entrada]]="",Tabela1[[#This Row],[Saída]]=""), "", Tabela1[[#This Row],[Saída]]-Tabela1[[#This Row],[Entrada]])</f>
        <v/>
      </c>
      <c r="U169" s="15" t="str">
        <f>IF(OR('Controle de CT'!$R169= "", 'Controle de CT'!$P169= ""), "", 'Controle de CT'!$R169-'Controle de CT'!$P169)</f>
        <v/>
      </c>
      <c r="V169" s="1"/>
      <c r="W169" s="2"/>
      <c r="X169" s="2"/>
    </row>
    <row r="170" spans="11:24" ht="15" hidden="1" customHeight="1">
      <c r="K170" s="5">
        <v>46071</v>
      </c>
      <c r="L170" s="8" t="s">
        <v>92</v>
      </c>
      <c r="M170" s="9" t="str">
        <f>IF(Tabela1[[#This Row],[Motorista]]="","",IFERROR(_xlfn.XLOOKUP(Tabela1[[#This Row],[Motorista]],Base!A:A,Base!B:B),""))</f>
        <v>FOB</v>
      </c>
      <c r="N170" s="20" t="str">
        <f t="shared" si="4"/>
        <v>Fila de Carregamento</v>
      </c>
      <c r="O1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" s="2">
        <v>0.47083333333333333</v>
      </c>
      <c r="Q170" s="2">
        <v>0.55833333333333335</v>
      </c>
      <c r="R170" s="16"/>
      <c r="S170" s="16" t="s">
        <v>85</v>
      </c>
      <c r="T170" s="14" t="str">
        <f>IF(OR(Tabela1[[#This Row],[Entrada]]="",Tabela1[[#This Row],[Saída]]=""), "", Tabela1[[#This Row],[Saída]]-Tabela1[[#This Row],[Entrada]])</f>
        <v/>
      </c>
      <c r="U170" s="15" t="str">
        <f>IF(OR('Controle de CT'!$R166= "", 'Controle de CT'!$P166= ""), "", 'Controle de CT'!$R166-'Controle de CT'!$P166)</f>
        <v/>
      </c>
      <c r="V170" s="1"/>
      <c r="W170" s="2"/>
      <c r="X170" s="2"/>
    </row>
    <row r="171" spans="11:24" ht="15" hidden="1" customHeight="1">
      <c r="K171" s="5">
        <v>46071</v>
      </c>
      <c r="L171" s="8" t="s">
        <v>53</v>
      </c>
      <c r="M171" s="9" t="str">
        <f>IF(Tabela1[[#This Row],[Motorista]]="","",IFERROR(_xlfn.XLOOKUP(Tabela1[[#This Row],[Motorista]],Base!A:A,Base!B:B),""))</f>
        <v>CIF</v>
      </c>
      <c r="N171" s="20" t="str">
        <f t="shared" si="4"/>
        <v>Fila de Carregamento</v>
      </c>
      <c r="O1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" s="2">
        <v>0.5</v>
      </c>
      <c r="Q171" s="2">
        <v>0.55833333333333335</v>
      </c>
      <c r="R171" s="16"/>
      <c r="S171" s="16" t="s">
        <v>85</v>
      </c>
      <c r="T171" s="14" t="str">
        <f>IF(OR(Tabela1[[#This Row],[Entrada]]="",Tabela1[[#This Row],[Saída]]=""), "", Tabela1[[#This Row],[Saída]]-Tabela1[[#This Row],[Entrada]])</f>
        <v/>
      </c>
      <c r="U171" s="15" t="str">
        <f>IF(OR('Controle de CT'!$R171= "", 'Controle de CT'!$P171= ""), "", 'Controle de CT'!$R171-'Controle de CT'!$P171)</f>
        <v/>
      </c>
      <c r="V171" s="1"/>
      <c r="W171" s="2"/>
      <c r="X171" s="2"/>
    </row>
    <row r="172" spans="11:24" ht="15" hidden="1" customHeight="1">
      <c r="K172" s="5">
        <v>46071</v>
      </c>
      <c r="L172" s="8" t="s">
        <v>58</v>
      </c>
      <c r="M172" s="9" t="str">
        <f>IF(Tabela1[[#This Row],[Motorista]]="","",IFERROR(_xlfn.XLOOKUP(Tabela1[[#This Row],[Motorista]],Base!A:A,Base!B:B),""))</f>
        <v xml:space="preserve">CIF </v>
      </c>
      <c r="N172" s="20" t="str">
        <f t="shared" si="4"/>
        <v>Finalizado</v>
      </c>
      <c r="O1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" s="2">
        <v>0.50416666666666665</v>
      </c>
      <c r="Q172" s="2">
        <v>0.54166666666666663</v>
      </c>
      <c r="R172" s="16">
        <v>0.60624999999999996</v>
      </c>
      <c r="S172" s="16" t="s">
        <v>85</v>
      </c>
      <c r="T172" s="14">
        <f>IF(OR(Tabela1[[#This Row],[Entrada]]="",Tabela1[[#This Row],[Saída]]=""), "", Tabela1[[#This Row],[Saída]]-Tabela1[[#This Row],[Entrada]])</f>
        <v>6.4583333333333326E-2</v>
      </c>
      <c r="U172" s="15" t="str">
        <f>IF(OR('Controle de CT'!$R174= "", 'Controle de CT'!$P174= ""), "", 'Controle de CT'!$R174-'Controle de CT'!$P174)</f>
        <v/>
      </c>
      <c r="V172" s="1"/>
      <c r="W172" s="2"/>
      <c r="X172" s="2"/>
    </row>
    <row r="173" spans="11:24" ht="15" hidden="1" customHeight="1">
      <c r="K173" s="5">
        <v>46071</v>
      </c>
      <c r="L173" s="8" t="s">
        <v>54</v>
      </c>
      <c r="M173" s="9" t="str">
        <f>IF(Tabela1[[#This Row],[Motorista]]="","",IFERROR(_xlfn.XLOOKUP(Tabela1[[#This Row],[Motorista]],Base!A:A,Base!B:B),""))</f>
        <v>CIF</v>
      </c>
      <c r="N173" s="20" t="str">
        <f t="shared" si="4"/>
        <v>Finalizado</v>
      </c>
      <c r="O1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3" s="2">
        <v>0.51249999999999996</v>
      </c>
      <c r="Q173" s="2">
        <v>0.53055555555555556</v>
      </c>
      <c r="R173" s="16">
        <v>0.59583333333333333</v>
      </c>
      <c r="S173" s="16" t="s">
        <v>85</v>
      </c>
      <c r="T173" s="14">
        <f>IF(OR(Tabela1[[#This Row],[Entrada]]="",Tabela1[[#This Row],[Saída]]=""), "", Tabela1[[#This Row],[Saída]]-Tabela1[[#This Row],[Entrada]])</f>
        <v>6.5277777777777768E-2</v>
      </c>
      <c r="U173" s="15">
        <f>IF(OR('Controle de CT'!$R173= "", 'Controle de CT'!$P173= ""), "", 'Controle de CT'!$R173-'Controle de CT'!$P173)</f>
        <v>8.333333333333337E-2</v>
      </c>
      <c r="V173" s="1"/>
      <c r="W173" s="2"/>
      <c r="X173" s="2"/>
    </row>
    <row r="174" spans="11:24" ht="15" hidden="1" customHeight="1">
      <c r="K174" s="5">
        <v>46071</v>
      </c>
      <c r="L174" s="8" t="s">
        <v>56</v>
      </c>
      <c r="M174" s="9" t="str">
        <f>IF(Tabela1[[#This Row],[Motorista]]="","",IFERROR(_xlfn.XLOOKUP(Tabela1[[#This Row],[Motorista]],Base!A:A,Base!B:B),""))</f>
        <v/>
      </c>
      <c r="N174" s="20" t="str">
        <f t="shared" si="4"/>
        <v>Fila de Carregamento</v>
      </c>
      <c r="O1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4" s="2">
        <v>0.51388888888888884</v>
      </c>
      <c r="Q174" s="2">
        <v>0.56527777777777777</v>
      </c>
      <c r="R174" s="16"/>
      <c r="S174" s="16" t="s">
        <v>85</v>
      </c>
      <c r="T174" s="14" t="str">
        <f>IF(OR(Tabela1[[#This Row],[Entrada]]="",Tabela1[[#This Row],[Saída]]=""), "", Tabela1[[#This Row],[Saída]]-Tabela1[[#This Row],[Entrada]])</f>
        <v/>
      </c>
      <c r="U174" s="15" t="str">
        <f>IF(OR('Controle de CT'!$R176= "", 'Controle de CT'!$P176= ""), "", 'Controle de CT'!$R176-'Controle de CT'!$P176)</f>
        <v/>
      </c>
      <c r="V174" s="1"/>
      <c r="W174" s="2"/>
      <c r="X174" s="2"/>
    </row>
    <row r="175" spans="11:24" ht="15" hidden="1" customHeight="1">
      <c r="K175" s="5">
        <v>46071</v>
      </c>
      <c r="L175" s="8" t="s">
        <v>47</v>
      </c>
      <c r="M175" s="9" t="str">
        <f>IF(Tabela1[[#This Row],[Motorista]]="","",IFERROR(_xlfn.XLOOKUP(Tabela1[[#This Row],[Motorista]],Base!A:A,Base!B:B),""))</f>
        <v>CIF</v>
      </c>
      <c r="N175" s="20" t="str">
        <f t="shared" si="4"/>
        <v>Fila de Carregamento</v>
      </c>
      <c r="O1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5" s="2">
        <v>0.54166666666666663</v>
      </c>
      <c r="Q175" s="2">
        <v>0.54652777777777772</v>
      </c>
      <c r="R175" s="16"/>
      <c r="S175" s="16" t="s">
        <v>85</v>
      </c>
      <c r="T175" s="14" t="str">
        <f>IF(OR(Tabela1[[#This Row],[Entrada]]="",Tabela1[[#This Row],[Saída]]=""), "", Tabela1[[#This Row],[Saída]]-Tabela1[[#This Row],[Entrada]])</f>
        <v/>
      </c>
      <c r="U175" s="15">
        <f>IF(OR('Controle de CT'!$R172= "", 'Controle de CT'!$P172= ""), "", 'Controle de CT'!$R172-'Controle de CT'!$P172)</f>
        <v>0.1020833333333333</v>
      </c>
      <c r="V175" s="1"/>
      <c r="W175" s="2"/>
      <c r="X175" s="2"/>
    </row>
    <row r="176" spans="11:24" ht="15" hidden="1" customHeight="1">
      <c r="K176" s="5">
        <v>46071</v>
      </c>
      <c r="L176" s="8" t="s">
        <v>111</v>
      </c>
      <c r="M176" s="9" t="str">
        <f>IF(Tabela1[[#This Row],[Motorista]]="","",IFERROR(_xlfn.XLOOKUP(Tabela1[[#This Row],[Motorista]],Base!A:A,Base!B:B),""))</f>
        <v>FOB</v>
      </c>
      <c r="N176" s="20" t="str">
        <f t="shared" si="4"/>
        <v>Aguardando Entrada</v>
      </c>
      <c r="O1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" s="2">
        <v>0.54166666666666663</v>
      </c>
      <c r="R176" s="16"/>
      <c r="S176" s="16" t="s">
        <v>97</v>
      </c>
      <c r="T176" s="14" t="str">
        <f>IF(OR(Tabela1[[#This Row],[Entrada]]="",Tabela1[[#This Row],[Saída]]=""), "", Tabela1[[#This Row],[Saída]]-Tabela1[[#This Row],[Entrada]])</f>
        <v/>
      </c>
      <c r="U176" s="15" t="str">
        <f>IF(OR('Controle de CT'!$R177= "", 'Controle de CT'!$P177= ""), "", 'Controle de CT'!$R177-'Controle de CT'!$P177)</f>
        <v/>
      </c>
      <c r="V176" s="1"/>
      <c r="W176" s="2"/>
      <c r="X176" s="2"/>
    </row>
    <row r="177" spans="11:24" ht="15" hidden="1" customHeight="1">
      <c r="K177" s="5">
        <v>46071</v>
      </c>
      <c r="L177" s="8" t="s">
        <v>86</v>
      </c>
      <c r="M177" s="9" t="str">
        <f>IF(Tabela1[[#This Row],[Motorista]]="","",IFERROR(_xlfn.XLOOKUP(Tabela1[[#This Row],[Motorista]],Base!A:A,Base!B:B),""))</f>
        <v>FOB</v>
      </c>
      <c r="N177" s="20" t="str">
        <f t="shared" si="4"/>
        <v>Fila de Carregamento</v>
      </c>
      <c r="O1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" s="2">
        <v>0.55902777777777779</v>
      </c>
      <c r="Q177" s="2">
        <v>0.6430555555555556</v>
      </c>
      <c r="R177" s="16"/>
      <c r="S177" s="16" t="s">
        <v>85</v>
      </c>
      <c r="T177" s="14" t="str">
        <f>IF(OR(Tabela1[[#This Row],[Entrada]]="",Tabela1[[#This Row],[Saída]]=""), "", Tabela1[[#This Row],[Saída]]-Tabela1[[#This Row],[Entrada]])</f>
        <v/>
      </c>
      <c r="U177" s="15" t="str">
        <f>IF(OR('Controle de CT'!$R175= "", 'Controle de CT'!$P175= ""), "", 'Controle de CT'!$R175-'Controle de CT'!$P175)</f>
        <v/>
      </c>
      <c r="V177" s="1"/>
      <c r="W177" s="2"/>
      <c r="X177" s="2"/>
    </row>
    <row r="178" spans="11:24" ht="15" hidden="1" customHeight="1">
      <c r="K178" s="5">
        <v>46071</v>
      </c>
      <c r="L178" s="8" t="s">
        <v>129</v>
      </c>
      <c r="M178" s="9" t="str">
        <f>IF(Tabela1[[#This Row],[Motorista]]="","",IFERROR(_xlfn.XLOOKUP(Tabela1[[#This Row],[Motorista]],Base!A:A,Base!B:B),""))</f>
        <v>FOB</v>
      </c>
      <c r="N178" s="20" t="str">
        <f t="shared" si="4"/>
        <v>Aguardando Entrada</v>
      </c>
      <c r="O1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" s="2">
        <v>0.60624999999999996</v>
      </c>
      <c r="R178" s="16"/>
      <c r="S178" s="16" t="s">
        <v>97</v>
      </c>
      <c r="T178" s="14" t="str">
        <f>IF(OR(Tabela1[[#This Row],[Entrada]]="",Tabela1[[#This Row],[Saída]]=""), "", Tabela1[[#This Row],[Saída]]-Tabela1[[#This Row],[Entrada]])</f>
        <v/>
      </c>
      <c r="U178" s="15" t="str">
        <f>IF(OR('Controle de CT'!$R178= "", 'Controle de CT'!$P178= ""), "", 'Controle de CT'!$R178-'Controle de CT'!$P178)</f>
        <v/>
      </c>
      <c r="V178" s="1"/>
      <c r="W178" s="2"/>
      <c r="X178" s="2"/>
    </row>
    <row r="179" spans="11:24" ht="15" hidden="1" customHeight="1">
      <c r="K179" s="5">
        <v>46071</v>
      </c>
      <c r="L179" s="8" t="s">
        <v>57</v>
      </c>
      <c r="M179" s="9" t="str">
        <f>IF(Tabela1[[#This Row],[Motorista]]="","",IFERROR(_xlfn.XLOOKUP(Tabela1[[#This Row],[Motorista]],Base!A:A,Base!B:B),""))</f>
        <v>CIF</v>
      </c>
      <c r="N179" s="20" t="str">
        <f t="shared" si="4"/>
        <v>Finalizado</v>
      </c>
      <c r="O1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9" s="2">
        <v>0.54722222222222228</v>
      </c>
      <c r="Q179" s="2">
        <v>0.55208333333333337</v>
      </c>
      <c r="R179" s="16">
        <v>0.60277777777777775</v>
      </c>
      <c r="S179" s="16" t="s">
        <v>85</v>
      </c>
      <c r="T179" s="14">
        <f>IF(OR(Tabela1[[#This Row],[Entrada]]="",Tabela1[[#This Row],[Saída]]=""), "", Tabela1[[#This Row],[Saída]]-Tabela1[[#This Row],[Entrada]])</f>
        <v>5.0694444444444375E-2</v>
      </c>
      <c r="U179" s="15">
        <f>IF(OR('Controle de CT'!$R179= "", 'Controle de CT'!$P179= ""), "", 'Controle de CT'!$R179-'Controle de CT'!$P179)</f>
        <v>5.5555555555555469E-2</v>
      </c>
      <c r="V179" s="1"/>
      <c r="W179" s="2"/>
      <c r="X179" s="2"/>
    </row>
    <row r="180" spans="11:24" ht="15" hidden="1" customHeight="1">
      <c r="K180" s="5">
        <v>46071</v>
      </c>
      <c r="L180" s="8" t="s">
        <v>52</v>
      </c>
      <c r="M180" s="9" t="str">
        <f>IF(Tabela1[[#This Row],[Motorista]]="","",IFERROR(_xlfn.XLOOKUP(Tabela1[[#This Row],[Motorista]],Base!A:A,Base!B:B),""))</f>
        <v>CIF</v>
      </c>
      <c r="N180" s="20" t="str">
        <f t="shared" si="4"/>
        <v>Fila de Carregamento</v>
      </c>
      <c r="O1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0" s="2">
        <v>0.6</v>
      </c>
      <c r="Q180" s="2">
        <v>0.63194444444444442</v>
      </c>
      <c r="R180" s="16"/>
      <c r="S180" s="16"/>
      <c r="T180" s="14" t="str">
        <f>IF(OR(Tabela1[[#This Row],[Entrada]]="",Tabela1[[#This Row],[Saída]]=""), "", Tabela1[[#This Row],[Saída]]-Tabela1[[#This Row],[Entrada]])</f>
        <v/>
      </c>
      <c r="U180" s="15" t="str">
        <f>IF(OR('Controle de CT'!$R180= "", 'Controle de CT'!$P180= ""), "", 'Controle de CT'!$R180-'Controle de CT'!$P180)</f>
        <v/>
      </c>
      <c r="V180" s="1"/>
      <c r="W180" s="2"/>
      <c r="X180" s="2"/>
    </row>
    <row r="181" spans="11:24" ht="15" hidden="1" customHeight="1">
      <c r="K181" s="5">
        <v>46071</v>
      </c>
      <c r="L181" s="8" t="s">
        <v>116</v>
      </c>
      <c r="M181" s="9" t="str">
        <f>IF(Tabela1[[#This Row],[Motorista]]="","",IFERROR(_xlfn.XLOOKUP(Tabela1[[#This Row],[Motorista]],Base!A:A,Base!B:B),""))</f>
        <v xml:space="preserve">CIF </v>
      </c>
      <c r="N181" s="20" t="str">
        <f t="shared" si="4"/>
        <v>Fila de Carregamento</v>
      </c>
      <c r="O1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" s="2">
        <v>0.49861111111111112</v>
      </c>
      <c r="Q181" s="2">
        <v>0.64027777777777772</v>
      </c>
      <c r="R181" s="16"/>
      <c r="S181" s="16" t="s">
        <v>85</v>
      </c>
      <c r="T181" s="14" t="str">
        <f>IF(OR(Tabela1[[#This Row],[Entrada]]="",Tabela1[[#This Row],[Saída]]=""), "", Tabela1[[#This Row],[Saída]]-Tabela1[[#This Row],[Entrada]])</f>
        <v/>
      </c>
      <c r="U181" s="15" t="str">
        <f>IF(OR('Controle de CT'!$R181= "", 'Controle de CT'!$P181= ""), "", 'Controle de CT'!$R181-'Controle de CT'!$P181)</f>
        <v/>
      </c>
      <c r="V181" s="1"/>
      <c r="W181" s="2"/>
      <c r="X181" s="2"/>
    </row>
    <row r="182" spans="11:24" ht="15" hidden="1" customHeight="1">
      <c r="K182" s="5">
        <v>46072</v>
      </c>
      <c r="L182" s="8" t="s">
        <v>45</v>
      </c>
      <c r="M182" s="9" t="str">
        <f>IF(Tabela1[[#This Row],[Motorista]]="","",IFERROR(_xlfn.XLOOKUP(Tabela1[[#This Row],[Motorista]],Base!A:A,Base!B:B),""))</f>
        <v>CIF</v>
      </c>
      <c r="N182" s="20" t="str">
        <f t="shared" si="4"/>
        <v>Finalizado</v>
      </c>
      <c r="O1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" s="2">
        <v>0.21666666666666667</v>
      </c>
      <c r="Q182" s="2">
        <v>0.21944444444444444</v>
      </c>
      <c r="R182" s="16">
        <v>0.27638888888888891</v>
      </c>
      <c r="S182" s="16" t="s">
        <v>85</v>
      </c>
      <c r="T182" s="14">
        <f>IF(OR(Tabela1[[#This Row],[Entrada]]="",Tabela1[[#This Row],[Saída]]=""), "", Tabela1[[#This Row],[Saída]]-Tabela1[[#This Row],[Entrada]])</f>
        <v>5.6944444444444464E-2</v>
      </c>
      <c r="U182" s="15">
        <f>IF(OR('Controle de CT'!$R182= "", 'Controle de CT'!$P182= ""), "", 'Controle de CT'!$R182-'Controle de CT'!$P182)</f>
        <v>5.9722222222222232E-2</v>
      </c>
      <c r="V182" s="1"/>
      <c r="W182" s="2"/>
      <c r="X182" s="2"/>
    </row>
    <row r="183" spans="11:24" ht="15" hidden="1" customHeight="1">
      <c r="K183" s="5">
        <v>46072</v>
      </c>
      <c r="L183" s="8" t="s">
        <v>101</v>
      </c>
      <c r="M183" s="9" t="str">
        <f>IF(Tabela1[[#This Row],[Motorista]]="","",IFERROR(_xlfn.XLOOKUP(Tabela1[[#This Row],[Motorista]],Base!A:A,Base!B:B),""))</f>
        <v>FOB</v>
      </c>
      <c r="N183" s="20" t="str">
        <f t="shared" si="4"/>
        <v>Finalizado</v>
      </c>
      <c r="O1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" s="2">
        <v>0.22222222222222221</v>
      </c>
      <c r="Q183" s="2">
        <v>0.23958333333333334</v>
      </c>
      <c r="R183" s="16">
        <v>0.31874999999999998</v>
      </c>
      <c r="S183" s="16" t="s">
        <v>85</v>
      </c>
      <c r="T183" s="14">
        <f>IF(OR(Tabela1[[#This Row],[Entrada]]="",Tabela1[[#This Row],[Saída]]=""), "", Tabela1[[#This Row],[Saída]]-Tabela1[[#This Row],[Entrada]])</f>
        <v>7.9166666666666635E-2</v>
      </c>
      <c r="U183" s="15">
        <f>IF(OR('Controle de CT'!$R183= "", 'Controle de CT'!$P183= ""), "", 'Controle de CT'!$R183-'Controle de CT'!$P183)</f>
        <v>9.6527777777777768E-2</v>
      </c>
      <c r="V183" s="1"/>
      <c r="W183" s="2"/>
      <c r="X183" s="2"/>
    </row>
    <row r="184" spans="11:24" ht="15" hidden="1" customHeight="1">
      <c r="K184" s="5">
        <v>46072</v>
      </c>
      <c r="L184" s="8" t="s">
        <v>93</v>
      </c>
      <c r="M184" s="9" t="str">
        <f>IF(Tabela1[[#This Row],[Motorista]]="","",IFERROR(_xlfn.XLOOKUP(Tabela1[[#This Row],[Motorista]],Base!A:A,Base!B:B),""))</f>
        <v>FOB</v>
      </c>
      <c r="N184" s="20" t="str">
        <f t="shared" si="4"/>
        <v>Finalizado</v>
      </c>
      <c r="O1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" s="2">
        <v>0.27013888888888887</v>
      </c>
      <c r="Q184" s="2">
        <v>0.34027777777777779</v>
      </c>
      <c r="R184" s="16">
        <v>0.40486111111111112</v>
      </c>
      <c r="S184" s="16" t="s">
        <v>85</v>
      </c>
      <c r="T184" s="14">
        <f>IF(OR(Tabela1[[#This Row],[Entrada]]="",Tabela1[[#This Row],[Saída]]=""), "", Tabela1[[#This Row],[Saída]]-Tabela1[[#This Row],[Entrada]])</f>
        <v>6.4583333333333326E-2</v>
      </c>
      <c r="U184" s="15">
        <f>IF(OR('Controle de CT'!$R184= "", 'Controle de CT'!$P184= ""), "", 'Controle de CT'!$R184-'Controle de CT'!$P184)</f>
        <v>0.13472222222222224</v>
      </c>
      <c r="V184" s="1"/>
      <c r="W184" s="2"/>
      <c r="X184" s="2"/>
    </row>
    <row r="185" spans="11:24" ht="15" hidden="1" customHeight="1">
      <c r="K185" s="5">
        <v>46072</v>
      </c>
      <c r="L185" s="8" t="s">
        <v>54</v>
      </c>
      <c r="M185" s="9" t="str">
        <f>IF(Tabela1[[#This Row],[Motorista]]="","",IFERROR(_xlfn.XLOOKUP(Tabela1[[#This Row],[Motorista]],Base!A:A,Base!B:B),""))</f>
        <v>CIF</v>
      </c>
      <c r="N185" s="20" t="str">
        <f t="shared" si="4"/>
        <v>Finalizado</v>
      </c>
      <c r="O1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" s="2">
        <v>0.29097222222222224</v>
      </c>
      <c r="Q185" s="2">
        <v>0.3611111111111111</v>
      </c>
      <c r="R185" s="16">
        <v>0.43055555555555558</v>
      </c>
      <c r="S185" s="16" t="s">
        <v>85</v>
      </c>
      <c r="T185" s="14">
        <f>IF(OR(Tabela1[[#This Row],[Entrada]]="",Tabela1[[#This Row],[Saída]]=""), "", Tabela1[[#This Row],[Saída]]-Tabela1[[#This Row],[Entrada]])</f>
        <v>6.9444444444444475E-2</v>
      </c>
      <c r="U185" s="15">
        <f>IF(OR('Controle de CT'!$R185= "", 'Controle de CT'!$P185= ""), "", 'Controle de CT'!$R185-'Controle de CT'!$P185)</f>
        <v>0.13958333333333334</v>
      </c>
      <c r="V185" s="1"/>
      <c r="W185" s="2"/>
      <c r="X185" s="2"/>
    </row>
    <row r="186" spans="11:24" ht="15" hidden="1" customHeight="1">
      <c r="K186" s="5">
        <v>46072</v>
      </c>
      <c r="L186" s="8" t="s">
        <v>48</v>
      </c>
      <c r="M186" s="9" t="str">
        <f>IF(Tabela1[[#This Row],[Motorista]]="","",IFERROR(_xlfn.XLOOKUP(Tabela1[[#This Row],[Motorista]],Base!A:A,Base!B:B),""))</f>
        <v>CIF</v>
      </c>
      <c r="N186" s="20" t="str">
        <f t="shared" si="4"/>
        <v>Finalizado</v>
      </c>
      <c r="O1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" s="4">
        <v>0.29166666666666669</v>
      </c>
      <c r="Q186" s="4">
        <v>0.3298611111111111</v>
      </c>
      <c r="R186" s="23">
        <v>0.37569444444444444</v>
      </c>
      <c r="S186" s="16" t="s">
        <v>85</v>
      </c>
      <c r="T186" s="14">
        <f>IF(OR(Tabela1[[#This Row],[Entrada]]="",Tabela1[[#This Row],[Saída]]=""), "", Tabela1[[#This Row],[Saída]]-Tabela1[[#This Row],[Entrada]])</f>
        <v>4.5833333333333337E-2</v>
      </c>
      <c r="U186" s="15">
        <f>IF(OR('Controle de CT'!$R186= "", 'Controle de CT'!$P186= ""), "", 'Controle de CT'!$R186-'Controle de CT'!$P186)</f>
        <v>8.4027777777777757E-2</v>
      </c>
      <c r="V186" s="1"/>
      <c r="W186" s="2"/>
      <c r="X186" s="2"/>
    </row>
    <row r="187" spans="11:24" ht="15" hidden="1" customHeight="1">
      <c r="K187" s="5">
        <v>46072</v>
      </c>
      <c r="L187" s="8" t="s">
        <v>57</v>
      </c>
      <c r="M187" s="9" t="str">
        <f>IF(Tabela1[[#This Row],[Motorista]]="","",IFERROR(_xlfn.XLOOKUP(Tabela1[[#This Row],[Motorista]],Base!A:A,Base!B:B),""))</f>
        <v>CIF</v>
      </c>
      <c r="N187" s="20" t="str">
        <f t="shared" si="4"/>
        <v>Finalizado</v>
      </c>
      <c r="O1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7" s="2">
        <v>0.29236111111111113</v>
      </c>
      <c r="Q187" s="2">
        <v>0.31805555555555554</v>
      </c>
      <c r="R187" s="16">
        <v>0.35902777777777778</v>
      </c>
      <c r="S187" s="16" t="s">
        <v>85</v>
      </c>
      <c r="T187" s="14">
        <f>IF(OR(Tabela1[[#This Row],[Entrada]]="",Tabela1[[#This Row],[Saída]]=""), "", Tabela1[[#This Row],[Saída]]-Tabela1[[#This Row],[Entrada]])</f>
        <v>4.0972222222222243E-2</v>
      </c>
      <c r="U187" s="15">
        <f>IF(OR('Controle de CT'!$R187= "", 'Controle de CT'!$P187= ""), "", 'Controle de CT'!$R187-'Controle de CT'!$P187)</f>
        <v>6.6666666666666652E-2</v>
      </c>
      <c r="V187" s="1"/>
      <c r="W187" s="2"/>
      <c r="X187" s="2"/>
    </row>
    <row r="188" spans="11:24" ht="15" hidden="1" customHeight="1">
      <c r="K188" s="5">
        <v>46072</v>
      </c>
      <c r="L188" s="8" t="s">
        <v>42</v>
      </c>
      <c r="M188" s="9" t="str">
        <f>IF(Tabela1[[#This Row],[Motorista]]="","",IFERROR(_xlfn.XLOOKUP(Tabela1[[#This Row],[Motorista]],Base!A:A,Base!B:B),""))</f>
        <v>CIF</v>
      </c>
      <c r="N188" s="20" t="str">
        <f t="shared" si="4"/>
        <v>Finalizado</v>
      </c>
      <c r="O1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" s="4">
        <v>0.29305555555555557</v>
      </c>
      <c r="Q188" s="4">
        <v>0.32569444444444445</v>
      </c>
      <c r="R188" s="23">
        <v>0.41319444444444442</v>
      </c>
      <c r="S188" s="16" t="s">
        <v>85</v>
      </c>
      <c r="T188" s="14">
        <f>IF(OR(Tabela1[[#This Row],[Entrada]]="",Tabela1[[#This Row],[Saída]]=""), "", Tabela1[[#This Row],[Saída]]-Tabela1[[#This Row],[Entrada]])</f>
        <v>8.7499999999999967E-2</v>
      </c>
      <c r="U188" s="15">
        <f>IF(OR('Controle de CT'!$R188= "", 'Controle de CT'!$P188= ""), "", 'Controle de CT'!$R188-'Controle de CT'!$P188)</f>
        <v>0.12013888888888885</v>
      </c>
      <c r="V188" s="1"/>
      <c r="W188" s="2"/>
      <c r="X188" s="2"/>
    </row>
    <row r="189" spans="11:24" ht="15" hidden="1" customHeight="1">
      <c r="K189" s="5">
        <v>46072</v>
      </c>
      <c r="L189" s="8" t="s">
        <v>58</v>
      </c>
      <c r="M189" s="9" t="str">
        <f>IF(Tabela1[[#This Row],[Motorista]]="","",IFERROR(_xlfn.XLOOKUP(Tabela1[[#This Row],[Motorista]],Base!A:A,Base!B:B),""))</f>
        <v xml:space="preserve">CIF </v>
      </c>
      <c r="N189" s="20" t="str">
        <f t="shared" si="4"/>
        <v>Finalizado</v>
      </c>
      <c r="O1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9" s="4">
        <v>0.3125</v>
      </c>
      <c r="Q189" s="4">
        <v>0.34027777777777779</v>
      </c>
      <c r="R189" s="23">
        <v>0.40347222222222223</v>
      </c>
      <c r="S189" s="16" t="s">
        <v>85</v>
      </c>
      <c r="T189" s="14">
        <f>IF(OR(Tabela1[[#This Row],[Entrada]]="",Tabela1[[#This Row],[Saída]]=""), "", Tabela1[[#This Row],[Saída]]-Tabela1[[#This Row],[Entrada]])</f>
        <v>6.3194444444444442E-2</v>
      </c>
      <c r="U189" s="15">
        <f>IF(OR('Controle de CT'!$R189= "", 'Controle de CT'!$P189= ""), "", 'Controle de CT'!$R189-'Controle de CT'!$P189)</f>
        <v>9.0972222222222232E-2</v>
      </c>
      <c r="V189" s="1"/>
      <c r="W189" s="2"/>
      <c r="X189" s="2"/>
    </row>
    <row r="190" spans="11:24" ht="15" hidden="1" customHeight="1">
      <c r="K190" s="5">
        <v>46072</v>
      </c>
      <c r="L190" s="8" t="s">
        <v>90</v>
      </c>
      <c r="M190" s="9" t="str">
        <f>IF(Tabela1[[#This Row],[Motorista]]="","",IFERROR(_xlfn.XLOOKUP(Tabela1[[#This Row],[Motorista]],Base!A:A,Base!B:B),""))</f>
        <v>FOB</v>
      </c>
      <c r="N190" s="20" t="str">
        <f t="shared" si="4"/>
        <v>Finalizado</v>
      </c>
      <c r="O1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" s="4">
        <v>0.32291666666666669</v>
      </c>
      <c r="Q190" s="4">
        <v>0.35208333333333336</v>
      </c>
      <c r="R190" s="23">
        <v>0.41249999999999998</v>
      </c>
      <c r="S190" s="16" t="s">
        <v>85</v>
      </c>
      <c r="T190" s="14"/>
      <c r="U190" s="15"/>
      <c r="V190" s="1"/>
      <c r="W190" s="2"/>
      <c r="X190" s="2"/>
    </row>
    <row r="191" spans="11:24" ht="15" hidden="1" customHeight="1">
      <c r="K191" s="5">
        <v>46072</v>
      </c>
      <c r="L191" s="8" t="s">
        <v>58</v>
      </c>
      <c r="M191" s="9" t="str">
        <f>IF(Tabela1[[#This Row],[Motorista]]="","",IFERROR(_xlfn.XLOOKUP(Tabela1[[#This Row],[Motorista]],Base!A:A,Base!B:B),""))</f>
        <v xml:space="preserve">CIF </v>
      </c>
      <c r="N191" s="20" t="str">
        <f t="shared" si="4"/>
        <v>Finalizado</v>
      </c>
      <c r="O1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1" s="4">
        <v>0.3125</v>
      </c>
      <c r="Q191" s="4">
        <v>0.34027777777777779</v>
      </c>
      <c r="R191" s="23">
        <v>0.40277777777777779</v>
      </c>
      <c r="S191" s="16" t="s">
        <v>85</v>
      </c>
      <c r="T191" s="14">
        <f>IF(OR(Tabela1[[#This Row],[Entrada]]="",Tabela1[[#This Row],[Saída]]=""), "", Tabela1[[#This Row],[Saída]]-Tabela1[[#This Row],[Entrada]])</f>
        <v>6.25E-2</v>
      </c>
      <c r="U191" s="15" t="str">
        <f>IF(OR('Controle de CT'!$R201= "", 'Controle de CT'!$P201= ""), "", 'Controle de CT'!$R201-'Controle de CT'!$P201)</f>
        <v/>
      </c>
      <c r="V191" s="1"/>
      <c r="W191" s="2"/>
      <c r="X191" s="2"/>
    </row>
    <row r="192" spans="11:24" ht="15" hidden="1" customHeight="1">
      <c r="K192" s="5">
        <v>46072</v>
      </c>
      <c r="L192" s="8" t="s">
        <v>92</v>
      </c>
      <c r="M192" s="9" t="str">
        <f>IF(Tabela1[[#This Row],[Motorista]]="","",IFERROR(_xlfn.XLOOKUP(Tabela1[[#This Row],[Motorista]],Base!A:A,Base!B:B),""))</f>
        <v>FOB</v>
      </c>
      <c r="N192" s="20" t="str">
        <f t="shared" si="4"/>
        <v>Finalizado</v>
      </c>
      <c r="O1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" s="2">
        <v>0.32500000000000001</v>
      </c>
      <c r="Q192" s="2">
        <v>0.37708333333333333</v>
      </c>
      <c r="R192" s="16">
        <v>0.44097222222222221</v>
      </c>
      <c r="S192" s="16" t="s">
        <v>85</v>
      </c>
      <c r="T192" s="14">
        <f>IF(OR(Tabela1[[#This Row],[Entrada]]="",Tabela1[[#This Row],[Saída]]=""), "", Tabela1[[#This Row],[Saída]]-Tabela1[[#This Row],[Entrada]])</f>
        <v>6.3888888888888884E-2</v>
      </c>
      <c r="U192" s="15">
        <f>IF(OR('Controle de CT'!$R191= "", 'Controle de CT'!$P191= ""), "", 'Controle de CT'!$R191-'Controle de CT'!$P191)</f>
        <v>9.027777777777779E-2</v>
      </c>
      <c r="V192" s="1"/>
      <c r="W192" s="2"/>
      <c r="X192" s="2"/>
    </row>
    <row r="193" spans="11:24" ht="15" hidden="1" customHeight="1">
      <c r="K193" s="5">
        <v>46072</v>
      </c>
      <c r="L193" s="8" t="s">
        <v>130</v>
      </c>
      <c r="M193" s="9" t="str">
        <f>IF(Tabela1[[#This Row],[Motorista]]="","",IFERROR(_xlfn.XLOOKUP(Tabela1[[#This Row],[Motorista]],Base!A:A,Base!B:B),""))</f>
        <v>RZD</v>
      </c>
      <c r="N193" s="20" t="str">
        <f t="shared" si="4"/>
        <v>Aguardando Entrada</v>
      </c>
      <c r="O1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" s="2">
        <v>0.34097222222222223</v>
      </c>
      <c r="R193" s="16"/>
      <c r="S193" s="16"/>
      <c r="T193" s="14" t="str">
        <f>IF(OR(Tabela1[[#This Row],[Entrada]]="",Tabela1[[#This Row],[Saída]]=""), "", Tabela1[[#This Row],[Saída]]-Tabela1[[#This Row],[Entrada]])</f>
        <v/>
      </c>
      <c r="U193" s="15">
        <f>IF(OR('Controle de CT'!$R192= "", 'Controle de CT'!$P192= ""), "", 'Controle de CT'!$R192-'Controle de CT'!$P192)</f>
        <v>0.1159722222222222</v>
      </c>
      <c r="V193" s="1"/>
      <c r="W193" s="2"/>
      <c r="X193" s="2"/>
    </row>
    <row r="194" spans="11:24" ht="15" hidden="1" customHeight="1">
      <c r="K194" s="5">
        <v>46072</v>
      </c>
      <c r="L194" s="8" t="s">
        <v>98</v>
      </c>
      <c r="M194" s="9" t="str">
        <f>IF(Tabela1[[#This Row],[Motorista]]="","",IFERROR(_xlfn.XLOOKUP(Tabela1[[#This Row],[Motorista]],Base!A:A,Base!B:B),""))</f>
        <v>FOB</v>
      </c>
      <c r="N194" s="20" t="str">
        <f t="shared" si="4"/>
        <v>Fila de Carregamento</v>
      </c>
      <c r="O1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" s="2">
        <v>0.3576388888888889</v>
      </c>
      <c r="Q194" s="2">
        <v>0.40138888888888891</v>
      </c>
      <c r="R194" s="16"/>
      <c r="S194" s="16" t="s">
        <v>85</v>
      </c>
      <c r="T194" s="14" t="str">
        <f>IF(OR(Tabela1[[#This Row],[Entrada]]="",Tabela1[[#This Row],[Saída]]=""), "", Tabela1[[#This Row],[Saída]]-Tabela1[[#This Row],[Entrada]])</f>
        <v/>
      </c>
      <c r="U194" s="15" t="str">
        <f>IF(OR('Controle de CT'!$R193= "", 'Controle de CT'!$P193= ""), "", 'Controle de CT'!$R193-'Controle de CT'!$P193)</f>
        <v/>
      </c>
      <c r="V194" s="1"/>
      <c r="W194" s="2"/>
      <c r="X194" s="2"/>
    </row>
    <row r="195" spans="11:24" ht="15" hidden="1" customHeight="1">
      <c r="K195" s="5">
        <v>46072</v>
      </c>
      <c r="L195" s="8" t="s">
        <v>52</v>
      </c>
      <c r="M195" s="9" t="str">
        <f>IF(Tabela1[[#This Row],[Motorista]]="","",IFERROR(_xlfn.XLOOKUP(Tabela1[[#This Row],[Motorista]],Base!A:A,Base!B:B),""))</f>
        <v>CIF</v>
      </c>
      <c r="N195" s="20" t="str">
        <f t="shared" si="4"/>
        <v>Finalizado</v>
      </c>
      <c r="O1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" s="2">
        <v>0.36666666666666664</v>
      </c>
      <c r="Q195" s="2">
        <v>0.37986111111111109</v>
      </c>
      <c r="R195" s="16">
        <v>0.46666666666666667</v>
      </c>
      <c r="S195" s="16" t="s">
        <v>85</v>
      </c>
      <c r="T195" s="14">
        <f>IF(OR(Tabela1[[#This Row],[Entrada]]="",Tabela1[[#This Row],[Saída]]=""), "", Tabela1[[#This Row],[Saída]]-Tabela1[[#This Row],[Entrada]])</f>
        <v>8.680555555555558E-2</v>
      </c>
      <c r="U195" s="15" t="str">
        <f>IF(OR('Controle de CT'!$R198= "", 'Controle de CT'!$P198= ""), "", 'Controle de CT'!$R198-'Controle de CT'!$P198)</f>
        <v/>
      </c>
      <c r="V195" s="1"/>
      <c r="W195" s="2"/>
      <c r="X195" s="2"/>
    </row>
    <row r="196" spans="11:24" ht="15" hidden="1" customHeight="1">
      <c r="K196" s="5">
        <v>46072</v>
      </c>
      <c r="L196" s="8" t="s">
        <v>122</v>
      </c>
      <c r="M196" s="9" t="str">
        <f>IF(Tabela1[[#This Row],[Motorista]]="","",IFERROR(_xlfn.XLOOKUP(Tabela1[[#This Row],[Motorista]],Base!A:A,Base!B:B),""))</f>
        <v>FOB</v>
      </c>
      <c r="N196" s="20" t="str">
        <f t="shared" si="4"/>
        <v>Aguardando Entrada</v>
      </c>
      <c r="O1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" s="2">
        <v>0.36736111111111114</v>
      </c>
      <c r="R196" s="16"/>
      <c r="S196" s="16"/>
      <c r="T196" s="14" t="str">
        <f>IF(OR(Tabela1[[#This Row],[Entrada]]="",Tabela1[[#This Row],[Saída]]=""), "", Tabela1[[#This Row],[Saída]]-Tabela1[[#This Row],[Entrada]])</f>
        <v/>
      </c>
      <c r="U196" s="15">
        <f>IF(OR('Controle de CT'!$R195= "", 'Controle de CT'!$P195= ""), "", 'Controle de CT'!$R195-'Controle de CT'!$P195)</f>
        <v>0.10000000000000003</v>
      </c>
      <c r="V196" s="1"/>
      <c r="W196" s="2"/>
      <c r="X196" s="2"/>
    </row>
    <row r="197" spans="11:24" ht="15" hidden="1" customHeight="1">
      <c r="K197" s="5">
        <v>46072</v>
      </c>
      <c r="L197" s="8" t="s">
        <v>131</v>
      </c>
      <c r="M197" s="9" t="str">
        <f>IF(Tabela1[[#This Row],[Motorista]]="","",IFERROR(_xlfn.XLOOKUP(Tabela1[[#This Row],[Motorista]],Base!A:A,Base!B:B),""))</f>
        <v>FOB</v>
      </c>
      <c r="N197" s="20" t="str">
        <f t="shared" si="4"/>
        <v>Aguardando Entrada</v>
      </c>
      <c r="O1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" s="2">
        <v>0.36736111111111114</v>
      </c>
      <c r="R197" s="16"/>
      <c r="S197" s="16" t="s">
        <v>85</v>
      </c>
      <c r="T197" s="14" t="str">
        <f>IF(OR(Tabela1[[#This Row],[Entrada]]="",Tabela1[[#This Row],[Saída]]=""), "", Tabela1[[#This Row],[Saída]]-Tabela1[[#This Row],[Entrada]])</f>
        <v/>
      </c>
      <c r="U197" s="15" t="str">
        <f>IF(OR('Controle de CT'!$R196= "", 'Controle de CT'!$P196= ""), "", 'Controle de CT'!$R196-'Controle de CT'!$P196)</f>
        <v/>
      </c>
      <c r="V197" s="1"/>
      <c r="W197" s="2"/>
      <c r="X197" s="2"/>
    </row>
    <row r="198" spans="11:24" ht="15" hidden="1" customHeight="1">
      <c r="K198" s="5">
        <v>46072</v>
      </c>
      <c r="L198" s="8" t="s">
        <v>91</v>
      </c>
      <c r="M198" s="9" t="str">
        <f>IF(Tabela1[[#This Row],[Motorista]]="","",IFERROR(_xlfn.XLOOKUP(Tabela1[[#This Row],[Motorista]],Base!A:A,Base!B:B),""))</f>
        <v>FOB</v>
      </c>
      <c r="N198" s="20" t="str">
        <f t="shared" si="4"/>
        <v>Aguardando Entrada</v>
      </c>
      <c r="O1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" s="2">
        <v>0.36944444444444446</v>
      </c>
      <c r="R198" s="16"/>
      <c r="S198" s="16"/>
      <c r="T198" s="14" t="str">
        <f>IF(OR(Tabela1[[#This Row],[Entrada]]="",Tabela1[[#This Row],[Saída]]=""), "", Tabela1[[#This Row],[Saída]]-Tabela1[[#This Row],[Entrada]])</f>
        <v/>
      </c>
      <c r="U198" s="15" t="str">
        <f>IF(OR('Controle de CT'!$R197= "", 'Controle de CT'!$P197= ""), "", 'Controle de CT'!$R197-'Controle de CT'!$P197)</f>
        <v/>
      </c>
      <c r="V198" s="1"/>
      <c r="W198" s="2"/>
      <c r="X198" s="2"/>
    </row>
    <row r="199" spans="11:24" ht="15" hidden="1" customHeight="1">
      <c r="K199" s="5">
        <v>46072</v>
      </c>
      <c r="L199" s="8" t="s">
        <v>47</v>
      </c>
      <c r="M199" s="9" t="str">
        <f>IF(Tabela1[[#This Row],[Motorista]]="","",IFERROR(_xlfn.XLOOKUP(Tabela1[[#This Row],[Motorista]],Base!A:A,Base!B:B),""))</f>
        <v>CIF</v>
      </c>
      <c r="N199" s="20" t="str">
        <f t="shared" si="4"/>
        <v>Finalizado</v>
      </c>
      <c r="O1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" s="2">
        <v>0.37361111111111112</v>
      </c>
      <c r="Q199" s="2">
        <v>0.40555555555555556</v>
      </c>
      <c r="R199" s="16">
        <v>0.50763888888888886</v>
      </c>
      <c r="S199" s="16" t="s">
        <v>97</v>
      </c>
      <c r="T199" s="14">
        <f>IF(OR(Tabela1[[#This Row],[Entrada]]="",Tabela1[[#This Row],[Saída]]=""), "", Tabela1[[#This Row],[Saída]]-Tabela1[[#This Row],[Entrada]])</f>
        <v>0.1020833333333333</v>
      </c>
      <c r="U199" s="15" t="str">
        <f>IF(OR('Controle de CT'!$R202= "", 'Controle de CT'!$P202= ""), "", 'Controle de CT'!$R202-'Controle de CT'!$P202)</f>
        <v/>
      </c>
      <c r="V199" s="1"/>
      <c r="W199" s="2"/>
      <c r="X199" s="2"/>
    </row>
    <row r="200" spans="11:24" ht="15" hidden="1" customHeight="1">
      <c r="K200" s="5">
        <v>46072</v>
      </c>
      <c r="L200" s="8" t="s">
        <v>86</v>
      </c>
      <c r="M200" s="9" t="str">
        <f>IF(Tabela1[[#This Row],[Motorista]]="","",IFERROR(_xlfn.XLOOKUP(Tabela1[[#This Row],[Motorista]],Base!A:A,Base!B:B),""))</f>
        <v>FOB</v>
      </c>
      <c r="N200" s="20" t="str">
        <f t="shared" si="4"/>
        <v>Fila de Carregamento</v>
      </c>
      <c r="O2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" s="2">
        <v>0.39583333333333331</v>
      </c>
      <c r="Q200" s="2">
        <v>0.4</v>
      </c>
      <c r="R200" s="16"/>
      <c r="S200" s="16" t="s">
        <v>85</v>
      </c>
      <c r="T200" s="14" t="str">
        <f>IF(OR(Tabela1[[#This Row],[Entrada]]="",Tabela1[[#This Row],[Saída]]=""), "", Tabela1[[#This Row],[Saída]]-Tabela1[[#This Row],[Entrada]])</f>
        <v/>
      </c>
      <c r="U200" s="15">
        <f>IF(OR('Controle de CT'!$R199= "", 'Controle de CT'!$P199= ""), "", 'Controle de CT'!$R199-'Controle de CT'!$P199)</f>
        <v>0.13402777777777775</v>
      </c>
      <c r="V200" s="1"/>
      <c r="W200" s="2"/>
      <c r="X200" s="2"/>
    </row>
    <row r="201" spans="11:24" ht="15" hidden="1" customHeight="1">
      <c r="K201" s="5">
        <v>46072</v>
      </c>
      <c r="L201" s="8" t="s">
        <v>132</v>
      </c>
      <c r="M201" s="9" t="str">
        <f>IF(Tabela1[[#This Row],[Motorista]]="","",IFERROR(_xlfn.XLOOKUP(Tabela1[[#This Row],[Motorista]],Base!A:A,Base!B:B),""))</f>
        <v>FOB</v>
      </c>
      <c r="N201" s="20" t="str">
        <f t="shared" si="4"/>
        <v>Aguardando Entrada</v>
      </c>
      <c r="O2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" s="2">
        <v>0.39583333333333331</v>
      </c>
      <c r="R201" s="16"/>
      <c r="S201" s="16" t="s">
        <v>97</v>
      </c>
      <c r="T201" s="14" t="str">
        <f>IF(OR(Tabela1[[#This Row],[Entrada]]="",Tabela1[[#This Row],[Saída]]=""), "", Tabela1[[#This Row],[Saída]]-Tabela1[[#This Row],[Entrada]])</f>
        <v/>
      </c>
      <c r="U201" s="15" t="str">
        <f>IF(OR('Controle de CT'!$R200= "", 'Controle de CT'!$P200= ""), "", 'Controle de CT'!$R200-'Controle de CT'!$P200)</f>
        <v/>
      </c>
      <c r="V201" s="1"/>
      <c r="W201" s="2"/>
      <c r="X201" s="2"/>
    </row>
    <row r="202" spans="11:24" ht="15" hidden="1" customHeight="1">
      <c r="K202" s="5">
        <v>46072</v>
      </c>
      <c r="L202" s="8" t="s">
        <v>133</v>
      </c>
      <c r="M202" s="9" t="str">
        <f>IF(Tabela1[[#This Row],[Motorista]]="","",IFERROR(_xlfn.XLOOKUP(Tabela1[[#This Row],[Motorista]],Base!A:A,Base!B:B),""))</f>
        <v>FOB</v>
      </c>
      <c r="N202" s="20" t="str">
        <f t="shared" si="4"/>
        <v>Aguardando Entrada</v>
      </c>
      <c r="O2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" s="2">
        <v>0.4375</v>
      </c>
      <c r="R202" s="16"/>
      <c r="S202" s="16" t="s">
        <v>97</v>
      </c>
      <c r="T202" s="14" t="str">
        <f>IF(OR(Tabela1[[#This Row],[Entrada]]="",Tabela1[[#This Row],[Saída]]=""), "", Tabela1[[#This Row],[Saída]]-Tabela1[[#This Row],[Entrada]])</f>
        <v/>
      </c>
      <c r="U202" s="15" t="str">
        <f>IF(OR('Controle de CT'!$R204= "", 'Controle de CT'!$P204= ""), "", 'Controle de CT'!$R204-'Controle de CT'!$P204)</f>
        <v/>
      </c>
      <c r="V202" s="1"/>
      <c r="W202" s="2"/>
      <c r="X202" s="2"/>
    </row>
    <row r="203" spans="11:24" ht="15" hidden="1" customHeight="1">
      <c r="K203" s="5">
        <v>46072</v>
      </c>
      <c r="L203" s="8" t="s">
        <v>89</v>
      </c>
      <c r="M203" s="9" t="str">
        <f>IF(Tabela1[[#This Row],[Motorista]]="","",IFERROR(_xlfn.XLOOKUP(Tabela1[[#This Row],[Motorista]],Base!A:A,Base!B:B),""))</f>
        <v>FOB</v>
      </c>
      <c r="N203" s="20" t="str">
        <f t="shared" si="4"/>
        <v/>
      </c>
      <c r="O2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203" s="16"/>
      <c r="S203" s="16" t="s">
        <v>97</v>
      </c>
      <c r="T203" s="14" t="str">
        <f>IF(OR(Tabela1[[#This Row],[Entrada]]="",Tabela1[[#This Row],[Saída]]=""), "", Tabela1[[#This Row],[Saída]]-Tabela1[[#This Row],[Entrada]])</f>
        <v/>
      </c>
      <c r="U203" s="15" t="str">
        <f>IF(OR('Controle de CT'!$R194= "", 'Controle de CT'!$P194= ""), "", 'Controle de CT'!$R194-'Controle de CT'!$P194)</f>
        <v/>
      </c>
      <c r="V203" s="1"/>
      <c r="W203" s="2"/>
      <c r="X203" s="2"/>
    </row>
    <row r="204" spans="11:24" ht="15" hidden="1" customHeight="1">
      <c r="K204" s="5">
        <v>46072</v>
      </c>
      <c r="L204" s="8" t="s">
        <v>57</v>
      </c>
      <c r="M204" s="9" t="str">
        <f>IF(Tabela1[[#This Row],[Motorista]]="","",IFERROR(_xlfn.XLOOKUP(Tabela1[[#This Row],[Motorista]],Base!A:A,Base!B:B),""))</f>
        <v>CIF</v>
      </c>
      <c r="N204" s="20" t="str">
        <f t="shared" si="4"/>
        <v>Fila de Carregamento</v>
      </c>
      <c r="O2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4" s="2">
        <v>0.47569444444444442</v>
      </c>
      <c r="Q204" s="2">
        <v>0.53472222222222221</v>
      </c>
      <c r="R204" s="16"/>
      <c r="S204" s="16" t="s">
        <v>97</v>
      </c>
      <c r="T204" s="14" t="str">
        <f>IF(OR(Tabela1[[#This Row],[Entrada]]="",Tabela1[[#This Row],[Saída]]=""), "", Tabela1[[#This Row],[Saída]]-Tabela1[[#This Row],[Entrada]])</f>
        <v/>
      </c>
      <c r="U204" s="15" t="str">
        <f>IF(OR('Controle de CT'!$R203= "", 'Controle de CT'!$P203= ""), "", 'Controle de CT'!$R203-'Controle de CT'!$P203)</f>
        <v/>
      </c>
      <c r="V204" s="1"/>
      <c r="W204" s="2"/>
      <c r="X204" s="2"/>
    </row>
    <row r="205" spans="11:24" ht="15" hidden="1" customHeight="1">
      <c r="K205" s="5">
        <v>46074</v>
      </c>
      <c r="L205" s="8" t="s">
        <v>45</v>
      </c>
      <c r="M205" s="9" t="str">
        <f>IF(Tabela1[[#This Row],[Motorista]]="","",IFERROR(_xlfn.XLOOKUP(Tabela1[[#This Row],[Motorista]],Base!A:A,Base!B:B),""))</f>
        <v>CIF</v>
      </c>
      <c r="N205" s="20" t="str">
        <f t="shared" si="4"/>
        <v>Fila de Carregamento</v>
      </c>
      <c r="O2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" s="2">
        <v>0.22013888888888888</v>
      </c>
      <c r="Q205" s="2">
        <v>0.24652777777777779</v>
      </c>
      <c r="R205" s="16"/>
      <c r="S205" s="16" t="s">
        <v>97</v>
      </c>
      <c r="T205" s="14" t="str">
        <f>IF(OR(Tabela1[[#This Row],[Entrada]]="",Tabela1[[#This Row],[Saída]]=""), "", Tabela1[[#This Row],[Saída]]-Tabela1[[#This Row],[Entrada]])</f>
        <v/>
      </c>
      <c r="U205" s="15" t="str">
        <f>IF(OR('Controle de CT'!$R205= "", 'Controle de CT'!$P205= ""), "", 'Controle de CT'!$R205-'Controle de CT'!$P205)</f>
        <v/>
      </c>
      <c r="V205" s="1"/>
      <c r="W205" s="2"/>
      <c r="X205" s="2"/>
    </row>
    <row r="206" spans="11:24" ht="15" hidden="1" customHeight="1">
      <c r="K206" s="5">
        <v>46074</v>
      </c>
      <c r="L206" s="8" t="s">
        <v>117</v>
      </c>
      <c r="M206" s="9" t="str">
        <f>IF(Tabela1[[#This Row],[Motorista]]="","",IFERROR(_xlfn.XLOOKUP(Tabela1[[#This Row],[Motorista]],Base!A:A,Base!B:B),""))</f>
        <v>FOB</v>
      </c>
      <c r="N206" s="20" t="str">
        <f t="shared" si="4"/>
        <v>Aguardando Entrada</v>
      </c>
      <c r="O2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" s="2">
        <v>0.22152777777777777</v>
      </c>
      <c r="R206" s="16"/>
      <c r="S206" s="16" t="s">
        <v>97</v>
      </c>
      <c r="T206" s="14" t="str">
        <f>IF(OR(Tabela1[[#This Row],[Entrada]]="",Tabela1[[#This Row],[Saída]]=""), "", Tabela1[[#This Row],[Saída]]-Tabela1[[#This Row],[Entrada]])</f>
        <v/>
      </c>
      <c r="U206" s="15" t="str">
        <f>IF(OR('Controle de CT'!$R206= "", 'Controle de CT'!$P206= ""), "", 'Controle de CT'!$R206-'Controle de CT'!$P206)</f>
        <v/>
      </c>
      <c r="V206" s="1"/>
      <c r="W206" s="2"/>
      <c r="X206" s="2"/>
    </row>
    <row r="207" spans="11:24" ht="15" hidden="1" customHeight="1">
      <c r="K207" s="5">
        <v>46076</v>
      </c>
      <c r="L207" s="8" t="s">
        <v>90</v>
      </c>
      <c r="M207" s="9" t="str">
        <f>IF(Tabela1[[#This Row],[Motorista]]="","",IFERROR(_xlfn.XLOOKUP(Tabela1[[#This Row],[Motorista]],Base!A:A,Base!B:B),""))</f>
        <v>FOB</v>
      </c>
      <c r="N207" s="20" t="str">
        <f t="shared" si="4"/>
        <v>Finalizado</v>
      </c>
      <c r="O2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" s="2">
        <v>0.24027777777777778</v>
      </c>
      <c r="Q207" s="2">
        <v>0.43611111111111112</v>
      </c>
      <c r="R207" s="16">
        <v>0.47916666666666669</v>
      </c>
      <c r="S207" s="16" t="s">
        <v>85</v>
      </c>
      <c r="T207" s="14">
        <f>IF(OR(Tabela1[[#This Row],[Entrada]]="",Tabela1[[#This Row],[Saída]]=""), "", Tabela1[[#This Row],[Saída]]-Tabela1[[#This Row],[Entrada]])</f>
        <v>4.3055555555555569E-2</v>
      </c>
      <c r="U207" s="15">
        <f>IF(OR('Controle de CT'!$R207= "", 'Controle de CT'!$P207= ""), "", 'Controle de CT'!$R207-'Controle de CT'!$P207)</f>
        <v>0.2388888888888889</v>
      </c>
      <c r="V207" s="1"/>
      <c r="W207" s="2"/>
      <c r="X207" s="2"/>
    </row>
    <row r="208" spans="11:24" ht="15" hidden="1" customHeight="1">
      <c r="K208" s="5">
        <v>46076</v>
      </c>
      <c r="L208" s="8" t="s">
        <v>42</v>
      </c>
      <c r="M208" s="9" t="str">
        <f>IF(Tabela1[[#This Row],[Motorista]]="","",IFERROR(_xlfn.XLOOKUP(Tabela1[[#This Row],[Motorista]],Base!A:A,Base!B:B),""))</f>
        <v>CIF</v>
      </c>
      <c r="N208" s="20" t="str">
        <f t="shared" si="4"/>
        <v>Finalizado</v>
      </c>
      <c r="O2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8" s="2">
        <v>0.24930555555555556</v>
      </c>
      <c r="R208" s="16">
        <v>0.33819444444444446</v>
      </c>
      <c r="S208" s="16" t="s">
        <v>85</v>
      </c>
      <c r="T208" s="14" t="str">
        <f>IF(OR(Tabela1[[#This Row],[Entrada]]="",Tabela1[[#This Row],[Saída]]=""), "", Tabela1[[#This Row],[Saída]]-Tabela1[[#This Row],[Entrada]])</f>
        <v/>
      </c>
      <c r="U208" s="15">
        <f>IF(OR('Controle de CT'!$R208= "", 'Controle de CT'!$P208= ""), "", 'Controle de CT'!$R208-'Controle de CT'!$P208)</f>
        <v>8.8888888888888906E-2</v>
      </c>
      <c r="V208" s="1"/>
      <c r="W208" s="2"/>
      <c r="X208" s="2"/>
    </row>
    <row r="209" spans="11:24" ht="15" hidden="1" customHeight="1">
      <c r="K209" s="5">
        <v>46076</v>
      </c>
      <c r="L209" s="8" t="s">
        <v>49</v>
      </c>
      <c r="M209" s="9" t="str">
        <f>IF(Tabela1[[#This Row],[Motorista]]="","",IFERROR(_xlfn.XLOOKUP(Tabela1[[#This Row],[Motorista]],Base!A:A,Base!B:B),""))</f>
        <v>CIF</v>
      </c>
      <c r="N209" s="20" t="str">
        <f t="shared" si="4"/>
        <v>Finalizado</v>
      </c>
      <c r="O2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9" s="2">
        <v>0.25208333333333333</v>
      </c>
      <c r="Q209" s="2">
        <v>0.27361111111111114</v>
      </c>
      <c r="R209" s="16">
        <v>0.33333333333333331</v>
      </c>
      <c r="S209" s="16" t="s">
        <v>85</v>
      </c>
      <c r="T209" s="14">
        <f>IF(OR(Tabela1[[#This Row],[Entrada]]="",Tabela1[[#This Row],[Saída]]=""), "", Tabela1[[#This Row],[Saída]]-Tabela1[[#This Row],[Entrada]])</f>
        <v>5.9722222222222177E-2</v>
      </c>
      <c r="U209" s="15">
        <f>IF(OR('Controle de CT'!$R209= "", 'Controle de CT'!$P209= ""), "", 'Controle de CT'!$R209-'Controle de CT'!$P209)</f>
        <v>8.1249999999999989E-2</v>
      </c>
      <c r="V209" s="1"/>
      <c r="W209" s="2"/>
      <c r="X209" s="2"/>
    </row>
    <row r="210" spans="11:24" ht="15" hidden="1" customHeight="1">
      <c r="K210" s="5">
        <v>46076</v>
      </c>
      <c r="L210" s="8" t="s">
        <v>56</v>
      </c>
      <c r="M210" s="9" t="str">
        <f>IF(Tabela1[[#This Row],[Motorista]]="","",IFERROR(_xlfn.XLOOKUP(Tabela1[[#This Row],[Motorista]],Base!A:A,Base!B:B),""))</f>
        <v/>
      </c>
      <c r="N210" s="20" t="str">
        <f t="shared" si="4"/>
        <v>Finalizado</v>
      </c>
      <c r="O2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0" s="2">
        <v>0.26250000000000001</v>
      </c>
      <c r="Q210" s="2">
        <v>0.28125</v>
      </c>
      <c r="R210" s="16">
        <v>0.30902777777777779</v>
      </c>
      <c r="S210" s="16" t="s">
        <v>85</v>
      </c>
      <c r="T210" s="14">
        <f>IF(OR(Tabela1[[#This Row],[Entrada]]="",Tabela1[[#This Row],[Saída]]=""), "", Tabela1[[#This Row],[Saída]]-Tabela1[[#This Row],[Entrada]])</f>
        <v>2.777777777777779E-2</v>
      </c>
      <c r="U210" s="15">
        <f>IF(OR('Controle de CT'!$R210= "", 'Controle de CT'!$P210= ""), "", 'Controle de CT'!$R210-'Controle de CT'!$P210)</f>
        <v>4.6527777777777779E-2</v>
      </c>
      <c r="V210" s="1"/>
      <c r="W210" s="2"/>
      <c r="X210" s="2"/>
    </row>
    <row r="211" spans="11:24" ht="15" hidden="1" customHeight="1">
      <c r="K211" s="5">
        <v>46076</v>
      </c>
      <c r="L211" s="8" t="s">
        <v>47</v>
      </c>
      <c r="M211" s="9" t="str">
        <f>IF(Tabela1[[#This Row],[Motorista]]="","",IFERROR(_xlfn.XLOOKUP(Tabela1[[#This Row],[Motorista]],Base!A:A,Base!B:B),""))</f>
        <v>CIF</v>
      </c>
      <c r="N211" s="20" t="str">
        <f t="shared" si="4"/>
        <v>Finalizado</v>
      </c>
      <c r="O2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" s="2">
        <v>0.2638888888888889</v>
      </c>
      <c r="Q211" s="2">
        <v>0.28819444444444442</v>
      </c>
      <c r="R211" s="16">
        <v>0.34097222222222223</v>
      </c>
      <c r="S211" s="16" t="s">
        <v>85</v>
      </c>
      <c r="T211" s="14">
        <f>IF(OR(Tabela1[[#This Row],[Entrada]]="",Tabela1[[#This Row],[Saída]]=""), "", Tabela1[[#This Row],[Saída]]-Tabela1[[#This Row],[Entrada]])</f>
        <v>5.2777777777777812E-2</v>
      </c>
      <c r="U211" s="15">
        <f>IF(OR('Controle de CT'!$R211= "", 'Controle de CT'!$P211= ""), "", 'Controle de CT'!$R211-'Controle de CT'!$P211)</f>
        <v>7.7083333333333337E-2</v>
      </c>
      <c r="V211" s="1"/>
      <c r="W211" s="2"/>
      <c r="X211" s="2"/>
    </row>
    <row r="212" spans="11:24" ht="15" hidden="1" customHeight="1">
      <c r="K212" s="5">
        <v>46076</v>
      </c>
      <c r="L212" s="8" t="s">
        <v>93</v>
      </c>
      <c r="M212" s="9" t="str">
        <f>IF(Tabela1[[#This Row],[Motorista]]="","",IFERROR(_xlfn.XLOOKUP(Tabela1[[#This Row],[Motorista]],Base!A:A,Base!B:B),""))</f>
        <v>FOB</v>
      </c>
      <c r="N212" s="20" t="str">
        <f t="shared" si="4"/>
        <v>Finalizado</v>
      </c>
      <c r="O2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" s="2">
        <v>0.3298611111111111</v>
      </c>
      <c r="Q212" s="2">
        <v>0.43819444444444444</v>
      </c>
      <c r="R212" s="16">
        <v>0.48680555555555555</v>
      </c>
      <c r="S212" s="16" t="s">
        <v>85</v>
      </c>
      <c r="T212" s="14">
        <f>IF(OR(Tabela1[[#This Row],[Entrada]]="",Tabela1[[#This Row],[Saída]]=""), "", Tabela1[[#This Row],[Saída]]-Tabela1[[#This Row],[Entrada]])</f>
        <v>4.8611111111111105E-2</v>
      </c>
      <c r="U212" s="15">
        <f>IF(OR('Controle de CT'!$R212= "", 'Controle de CT'!$P212= ""), "", 'Controle de CT'!$R212-'Controle de CT'!$P212)</f>
        <v>0.15694444444444444</v>
      </c>
      <c r="V212" s="1"/>
      <c r="W212" s="2"/>
      <c r="X212" s="2"/>
    </row>
    <row r="213" spans="11:24" ht="18" hidden="1" customHeight="1">
      <c r="K213" s="5">
        <v>46076</v>
      </c>
      <c r="L213" s="8" t="s">
        <v>46</v>
      </c>
      <c r="M213" s="9" t="str">
        <f>IF(Tabela1[[#This Row],[Motorista]]="","",IFERROR(_xlfn.XLOOKUP(Tabela1[[#This Row],[Motorista]],Base!A:A,Base!B:B),""))</f>
        <v>CIF</v>
      </c>
      <c r="N213" s="20" t="str">
        <f t="shared" si="4"/>
        <v>Finalizado</v>
      </c>
      <c r="O2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" s="2">
        <v>0.33680555555555558</v>
      </c>
      <c r="Q213" s="2">
        <v>0.36527777777777776</v>
      </c>
      <c r="R213" s="16">
        <v>0.41041666666666665</v>
      </c>
      <c r="S213" s="16" t="s">
        <v>85</v>
      </c>
      <c r="T213" s="14">
        <f>IF(OR(Tabela1[[#This Row],[Entrada]]="",Tabela1[[#This Row],[Saída]]=""), "", Tabela1[[#This Row],[Saída]]-Tabela1[[#This Row],[Entrada]])</f>
        <v>4.5138888888888895E-2</v>
      </c>
      <c r="U213" s="15">
        <f>IF(OR('Controle de CT'!$R213= "", 'Controle de CT'!$P213= ""), "", 'Controle de CT'!$R213-'Controle de CT'!$P213)</f>
        <v>7.3611111111111072E-2</v>
      </c>
      <c r="V213" s="1"/>
      <c r="W213" s="2"/>
      <c r="X213" s="2"/>
    </row>
    <row r="214" spans="11:24" ht="15" hidden="1" customHeight="1">
      <c r="K214" s="5">
        <v>46076</v>
      </c>
      <c r="L214" s="8" t="s">
        <v>57</v>
      </c>
      <c r="M214" s="9" t="str">
        <f>IF(Tabela1[[#This Row],[Motorista]]="","",IFERROR(_xlfn.XLOOKUP(Tabela1[[#This Row],[Motorista]],Base!A:A,Base!B:B),""))</f>
        <v>CIF</v>
      </c>
      <c r="N214" s="20" t="str">
        <f t="shared" si="4"/>
        <v>Finalizado</v>
      </c>
      <c r="O2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" s="2">
        <v>0.33888888888888891</v>
      </c>
      <c r="Q214" s="2">
        <v>0.36458333333333331</v>
      </c>
      <c r="R214" s="16">
        <v>0.40416666666666667</v>
      </c>
      <c r="S214" s="16" t="s">
        <v>85</v>
      </c>
      <c r="T214" s="14">
        <f>IF(OR(Tabela1[[#This Row],[Entrada]]="",Tabela1[[#This Row],[Saída]]=""), "", Tabela1[[#This Row],[Saída]]-Tabela1[[#This Row],[Entrada]])</f>
        <v>3.9583333333333359E-2</v>
      </c>
      <c r="U214" s="15">
        <f>IF(OR('Controle de CT'!$R214= "", 'Controle de CT'!$P214= ""), "", 'Controle de CT'!$R214-'Controle de CT'!$P214)</f>
        <v>6.5277777777777768E-2</v>
      </c>
      <c r="V214" s="1"/>
      <c r="W214" s="2"/>
      <c r="X214" s="2"/>
    </row>
    <row r="215" spans="11:24" ht="15" hidden="1" customHeight="1">
      <c r="K215" s="5">
        <v>46076</v>
      </c>
      <c r="L215" s="8" t="s">
        <v>92</v>
      </c>
      <c r="M215" s="9" t="str">
        <f>IF(Tabela1[[#This Row],[Motorista]]="","",IFERROR(_xlfn.XLOOKUP(Tabela1[[#This Row],[Motorista]],Base!A:A,Base!B:B),""))</f>
        <v>FOB</v>
      </c>
      <c r="N215" s="20" t="str">
        <f t="shared" si="4"/>
        <v>Finalizado</v>
      </c>
      <c r="O2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" s="2">
        <v>0.26874999999999999</v>
      </c>
      <c r="R215" s="16">
        <v>0.37430555555555556</v>
      </c>
      <c r="S215" s="16" t="s">
        <v>85</v>
      </c>
      <c r="T215" s="14" t="str">
        <f>IF(OR(Tabela1[[#This Row],[Entrada]]="",Tabela1[[#This Row],[Saída]]=""), "", Tabela1[[#This Row],[Saída]]-Tabela1[[#This Row],[Entrada]])</f>
        <v/>
      </c>
      <c r="U215" s="15">
        <f>IF(OR('Controle de CT'!$R215= "", 'Controle de CT'!$P215= ""), "", 'Controle de CT'!$R215-'Controle de CT'!$P215)</f>
        <v>0.10555555555555557</v>
      </c>
      <c r="V215" s="1"/>
      <c r="W215" s="2"/>
      <c r="X215" s="2"/>
    </row>
    <row r="216" spans="11:24" ht="15" hidden="1" customHeight="1">
      <c r="K216" s="5">
        <v>46076</v>
      </c>
      <c r="L216" s="8" t="s">
        <v>53</v>
      </c>
      <c r="M216" s="9" t="str">
        <f>IF(Tabela1[[#This Row],[Motorista]]="","",IFERROR(_xlfn.XLOOKUP(Tabela1[[#This Row],[Motorista]],Base!A:A,Base!B:B),""))</f>
        <v>CIF</v>
      </c>
      <c r="N216" s="20" t="str">
        <f t="shared" si="4"/>
        <v>Finalizado</v>
      </c>
      <c r="O2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" s="2">
        <v>0.37152777777777779</v>
      </c>
      <c r="Q216" s="2">
        <v>0.38680555555555557</v>
      </c>
      <c r="R216" s="16">
        <v>0.40833333333333333</v>
      </c>
      <c r="S216" s="16" t="s">
        <v>85</v>
      </c>
      <c r="T216" s="14">
        <f>IF(OR(Tabela1[[#This Row],[Entrada]]="",Tabela1[[#This Row],[Saída]]=""), "", Tabela1[[#This Row],[Saída]]-Tabela1[[#This Row],[Entrada]])</f>
        <v>2.1527777777777757E-2</v>
      </c>
      <c r="U216" s="15">
        <f>IF(OR('Controle de CT'!$R216= "", 'Controle de CT'!$P216= ""), "", 'Controle de CT'!$R216-'Controle de CT'!$P216)</f>
        <v>3.6805555555555536E-2</v>
      </c>
      <c r="V216" s="1"/>
      <c r="W216" s="2"/>
      <c r="X216" s="2"/>
    </row>
    <row r="217" spans="11:24" ht="15" hidden="1" customHeight="1">
      <c r="K217" s="5">
        <v>46076</v>
      </c>
      <c r="L217" s="8" t="s">
        <v>95</v>
      </c>
      <c r="M217" s="9" t="str">
        <f>IF(Tabela1[[#This Row],[Motorista]]="","",IFERROR(_xlfn.XLOOKUP(Tabela1[[#This Row],[Motorista]],Base!A:A,Base!B:B),""))</f>
        <v>FOB</v>
      </c>
      <c r="N217" s="20" t="str">
        <f t="shared" si="4"/>
        <v>Finalizado</v>
      </c>
      <c r="O2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7" s="2">
        <v>0.36180555555555555</v>
      </c>
      <c r="Q217" s="2">
        <v>0.37847222222222221</v>
      </c>
      <c r="R217" s="16">
        <v>0.41944444444444445</v>
      </c>
      <c r="S217" s="16" t="s">
        <v>85</v>
      </c>
      <c r="T217" s="14">
        <f>IF(OR(Tabela1[[#This Row],[Entrada]]="",Tabela1[[#This Row],[Saída]]=""), "", Tabela1[[#This Row],[Saída]]-Tabela1[[#This Row],[Entrada]])</f>
        <v>4.0972222222222243E-2</v>
      </c>
      <c r="U217" s="15">
        <f>IF(OR('Controle de CT'!$R217= "", 'Controle de CT'!$P217= ""), "", 'Controle de CT'!$R217-'Controle de CT'!$P217)</f>
        <v>5.7638888888888906E-2</v>
      </c>
      <c r="V217" s="1"/>
      <c r="W217" s="2"/>
      <c r="X217" s="2"/>
    </row>
    <row r="218" spans="11:24" ht="15" hidden="1" customHeight="1">
      <c r="K218" s="5">
        <v>46076</v>
      </c>
      <c r="L218" s="8" t="s">
        <v>87</v>
      </c>
      <c r="M218" s="9" t="str">
        <f>IF(Tabela1[[#This Row],[Motorista]]="","",IFERROR(_xlfn.XLOOKUP(Tabela1[[#This Row],[Motorista]],Base!A:A,Base!B:B),""))</f>
        <v>FOB</v>
      </c>
      <c r="N218" s="20" t="str">
        <f t="shared" si="4"/>
        <v>Finalizado</v>
      </c>
      <c r="O2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8" s="2">
        <v>0.38124999999999998</v>
      </c>
      <c r="Q218" s="2">
        <v>0.46458333333333335</v>
      </c>
      <c r="R218" s="16">
        <v>0.52083333333333337</v>
      </c>
      <c r="S218" s="16" t="s">
        <v>85</v>
      </c>
      <c r="T218" s="14">
        <f>IF(OR(Tabela1[[#This Row],[Entrada]]="",Tabela1[[#This Row],[Saída]]=""), "", Tabela1[[#This Row],[Saída]]-Tabela1[[#This Row],[Entrada]])</f>
        <v>5.6250000000000022E-2</v>
      </c>
      <c r="U218" s="15">
        <f>IF(OR('Controle de CT'!$R218= "", 'Controle de CT'!$P218= ""), "", 'Controle de CT'!$R218-'Controle de CT'!$P218)</f>
        <v>0.13958333333333339</v>
      </c>
      <c r="V218" s="1"/>
      <c r="W218" s="2"/>
      <c r="X218" s="2"/>
    </row>
    <row r="219" spans="11:24" ht="15" hidden="1" customHeight="1">
      <c r="K219" s="5">
        <v>46076</v>
      </c>
      <c r="L219" s="8" t="s">
        <v>86</v>
      </c>
      <c r="M219" s="9" t="str">
        <f>IF(Tabela1[[#This Row],[Motorista]]="","",IFERROR(_xlfn.XLOOKUP(Tabela1[[#This Row],[Motorista]],Base!A:A,Base!B:B),""))</f>
        <v>FOB</v>
      </c>
      <c r="N219" s="20" t="str">
        <f t="shared" si="4"/>
        <v>Aguardando Entrada</v>
      </c>
      <c r="O2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9" s="2">
        <v>0.39444444444444443</v>
      </c>
      <c r="R219" s="16"/>
      <c r="S219" s="16" t="s">
        <v>97</v>
      </c>
      <c r="T219" s="14" t="str">
        <f>IF(OR(Tabela1[[#This Row],[Entrada]]="",Tabela1[[#This Row],[Saída]]=""), "", Tabela1[[#This Row],[Saída]]-Tabela1[[#This Row],[Entrada]])</f>
        <v/>
      </c>
      <c r="U219" s="15" t="str">
        <f>IF(OR('Controle de CT'!$R219= "", 'Controle de CT'!$P219= ""), "", 'Controle de CT'!$R219-'Controle de CT'!$P219)</f>
        <v/>
      </c>
      <c r="V219" s="1"/>
      <c r="W219" s="2"/>
      <c r="X219" s="2"/>
    </row>
    <row r="220" spans="11:24" ht="15" hidden="1" customHeight="1">
      <c r="K220" s="5">
        <v>46076</v>
      </c>
      <c r="L220" s="8" t="s">
        <v>56</v>
      </c>
      <c r="M220" s="9" t="str">
        <f>IF(Tabela1[[#This Row],[Motorista]]="","",IFERROR(_xlfn.XLOOKUP(Tabela1[[#This Row],[Motorista]],Base!A:A,Base!B:B),""))</f>
        <v/>
      </c>
      <c r="N220" s="20" t="str">
        <f t="shared" si="4"/>
        <v>Finalizado</v>
      </c>
      <c r="O2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20" s="4">
        <v>0.43541666666666667</v>
      </c>
      <c r="Q220" s="4">
        <v>0.44722222222222224</v>
      </c>
      <c r="R220" s="23">
        <v>0.47083333333333333</v>
      </c>
      <c r="S220" s="16" t="s">
        <v>85</v>
      </c>
      <c r="T220" s="14">
        <f>IF(OR(Tabela1[[#This Row],[Entrada]]="",Tabela1[[#This Row],[Saída]]=""), "", Tabela1[[#This Row],[Saída]]-Tabela1[[#This Row],[Entrada]])</f>
        <v>2.3611111111111083E-2</v>
      </c>
      <c r="U220" s="15">
        <f>IF(OR('Controle de CT'!$R220= "", 'Controle de CT'!$P220= ""), "", 'Controle de CT'!$R220-'Controle de CT'!$P220)</f>
        <v>3.5416666666666652E-2</v>
      </c>
      <c r="V220" s="1"/>
      <c r="W220" s="2"/>
      <c r="X220" s="2"/>
    </row>
    <row r="221" spans="11:24" ht="15" hidden="1" customHeight="1">
      <c r="K221" s="5">
        <v>46076</v>
      </c>
      <c r="L221" s="8" t="s">
        <v>115</v>
      </c>
      <c r="M221" s="9" t="str">
        <f>IF(Tabela1[[#This Row],[Motorista]]="","",IFERROR(_xlfn.XLOOKUP(Tabela1[[#This Row],[Motorista]],Base!A:A,Base!B:B),""))</f>
        <v>CIF</v>
      </c>
      <c r="N221" s="20" t="str">
        <f t="shared" si="4"/>
        <v>Fila de Carregamento</v>
      </c>
      <c r="O2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1" s="4">
        <v>0.45833333333333331</v>
      </c>
      <c r="Q221" s="4">
        <v>0.4777777777777778</v>
      </c>
      <c r="R221" s="23"/>
      <c r="S221" s="16" t="s">
        <v>85</v>
      </c>
      <c r="T221" s="14" t="str">
        <f>IF(OR(Tabela1[[#This Row],[Entrada]]="",Tabela1[[#This Row],[Saída]]=""), "", Tabela1[[#This Row],[Saída]]-Tabela1[[#This Row],[Entrada]])</f>
        <v/>
      </c>
      <c r="U221" s="15" t="str">
        <f>IF(OR('Controle de CT'!$R221= "", 'Controle de CT'!$P221= ""), "", 'Controle de CT'!$R221-'Controle de CT'!$P221)</f>
        <v/>
      </c>
      <c r="V221" s="1"/>
      <c r="W221" s="2"/>
      <c r="X221" s="2"/>
    </row>
    <row r="222" spans="11:24" ht="15" hidden="1" customHeight="1">
      <c r="K222" s="5">
        <v>46076</v>
      </c>
      <c r="L222" s="8" t="s">
        <v>42</v>
      </c>
      <c r="M222" s="9" t="str">
        <f>IF(Tabela1[[#This Row],[Motorista]]="","",IFERROR(_xlfn.XLOOKUP(Tabela1[[#This Row],[Motorista]],Base!A:A,Base!B:B),""))</f>
        <v>CIF</v>
      </c>
      <c r="N222" s="20" t="str">
        <f t="shared" si="4"/>
        <v>Aguardando Entrada</v>
      </c>
      <c r="O2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22" s="4">
        <v>0.48888888888888887</v>
      </c>
      <c r="Q222" s="4"/>
      <c r="R222" s="23"/>
      <c r="S222" s="16"/>
      <c r="T222" s="14" t="str">
        <f>IF(OR(Tabela1[[#This Row],[Entrada]]="",Tabela1[[#This Row],[Saída]]=""), "", Tabela1[[#This Row],[Saída]]-Tabela1[[#This Row],[Entrada]])</f>
        <v/>
      </c>
      <c r="U222" s="15" t="str">
        <f>IF(OR('Controle de CT'!$R222= "", 'Controle de CT'!$P222= ""), "", 'Controle de CT'!$R222-'Controle de CT'!$P222)</f>
        <v/>
      </c>
      <c r="V222" s="1"/>
      <c r="W222" s="2"/>
      <c r="X222" s="2"/>
    </row>
    <row r="223" spans="11:24" ht="21.95" hidden="1" customHeight="1">
      <c r="K223" s="5">
        <v>46076</v>
      </c>
      <c r="L223" s="8"/>
      <c r="M223" s="9" t="str">
        <f>IF(Tabela1[[#This Row],[Motorista]]="","",IFERROR(_xlfn.XLOOKUP(Tabela1[[#This Row],[Motorista]],Base!A:A,Base!B:B),""))</f>
        <v/>
      </c>
      <c r="N223" s="20" t="str">
        <f t="shared" si="4"/>
        <v>Aguardando Entrada</v>
      </c>
      <c r="O2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P223" s="4" t="s">
        <v>134</v>
      </c>
      <c r="Q223" s="4"/>
      <c r="R223" s="23"/>
      <c r="S223" s="16"/>
      <c r="T223" s="14" t="str">
        <f>IF(OR(Tabela1[[#This Row],[Entrada]]="",Tabela1[[#This Row],[Saída]]=""), "", Tabela1[[#This Row],[Saída]]-Tabela1[[#This Row],[Entrada]])</f>
        <v/>
      </c>
      <c r="U223" s="15" t="str">
        <f>IF(OR('Controle de CT'!$R223= "", 'Controle de CT'!$P223= ""), "", 'Controle de CT'!$R223-'Controle de CT'!$P223)</f>
        <v/>
      </c>
      <c r="V223" s="1"/>
      <c r="W223" s="2"/>
      <c r="X223" s="2"/>
    </row>
    <row r="224" spans="11:24" ht="15" hidden="1" customHeight="1">
      <c r="K224" s="5">
        <v>46077</v>
      </c>
      <c r="L224" s="8" t="s">
        <v>135</v>
      </c>
      <c r="M224" s="9" t="str">
        <f>IF(Tabela1[[#This Row],[Motorista]]="","",IFERROR(_xlfn.XLOOKUP(Tabela1[[#This Row],[Motorista]],Base!A:A,Base!B:B),""))</f>
        <v>Transferência</v>
      </c>
      <c r="N224" s="20" t="str">
        <f t="shared" si="4"/>
        <v>Aguardando Entrada</v>
      </c>
      <c r="O2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4" s="4">
        <v>0</v>
      </c>
      <c r="Q224" s="4"/>
      <c r="R224" s="23"/>
      <c r="S224" s="16"/>
      <c r="T224" s="14" t="str">
        <f>IF(OR(Tabela1[[#This Row],[Entrada]]="",Tabela1[[#This Row],[Saída]]=""), "", Tabela1[[#This Row],[Saída]]-Tabela1[[#This Row],[Entrada]])</f>
        <v/>
      </c>
      <c r="U224" s="15" t="str">
        <f>IF(OR('Controle de CT'!$R224= "", 'Controle de CT'!$P224= ""), "", 'Controle de CT'!$R224-'Controle de CT'!$P224)</f>
        <v/>
      </c>
      <c r="V224" s="1" t="s">
        <v>136</v>
      </c>
      <c r="W224" s="2"/>
      <c r="X224" s="2"/>
    </row>
    <row r="225" spans="11:24" ht="15" hidden="1" customHeight="1">
      <c r="K225" s="5">
        <v>46077</v>
      </c>
      <c r="L225" s="8" t="s">
        <v>116</v>
      </c>
      <c r="M225" s="9" t="str">
        <f>IF(Tabela1[[#This Row],[Motorista]]="","",IFERROR(_xlfn.XLOOKUP(Tabela1[[#This Row],[Motorista]],Base!A:A,Base!B:B),""))</f>
        <v xml:space="preserve">CIF </v>
      </c>
      <c r="N225" s="20" t="str">
        <f t="shared" si="4"/>
        <v>Finalizado</v>
      </c>
      <c r="O2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5" s="2">
        <v>0.15972222222222221</v>
      </c>
      <c r="Q225" s="2">
        <v>0.31597222222222221</v>
      </c>
      <c r="R225" s="16">
        <v>0.35972222222222222</v>
      </c>
      <c r="S225" s="16"/>
      <c r="T225" s="14">
        <f>IF(OR(Tabela1[[#This Row],[Entrada]]="",Tabela1[[#This Row],[Saída]]=""), "", Tabela1[[#This Row],[Saída]]-Tabela1[[#This Row],[Entrada]])</f>
        <v>4.3750000000000011E-2</v>
      </c>
      <c r="U225" s="15">
        <f>IF(OR('Controle de CT'!$R225= "", 'Controle de CT'!$P225= ""), "", 'Controle de CT'!$R225-'Controle de CT'!$P225)</f>
        <v>0.2</v>
      </c>
      <c r="V225" s="1"/>
      <c r="W225" s="2"/>
      <c r="X225" s="2"/>
    </row>
    <row r="226" spans="11:24" ht="15" hidden="1" customHeight="1">
      <c r="K226" s="5">
        <v>46077</v>
      </c>
      <c r="L226" s="8" t="s">
        <v>101</v>
      </c>
      <c r="M226" s="9" t="str">
        <f>IF(Tabela1[[#This Row],[Motorista]]="","",IFERROR(_xlfn.XLOOKUP(Tabela1[[#This Row],[Motorista]],Base!A:A,Base!B:B),""))</f>
        <v>FOB</v>
      </c>
      <c r="N226" s="20" t="str">
        <f t="shared" si="4"/>
        <v>Finalizado</v>
      </c>
      <c r="O2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6" s="4">
        <v>0.21458333333333332</v>
      </c>
      <c r="Q226" s="4">
        <v>0.35138888888888886</v>
      </c>
      <c r="R226" s="23">
        <v>0.41319444444444442</v>
      </c>
      <c r="S226" s="16"/>
      <c r="T226" s="14">
        <f>IF(OR(Tabela1[[#This Row],[Entrada]]="",Tabela1[[#This Row],[Saída]]=""), "", Tabela1[[#This Row],[Saída]]-Tabela1[[#This Row],[Entrada]])</f>
        <v>6.1805555555555558E-2</v>
      </c>
      <c r="U226" s="15">
        <f>IF(OR('Controle de CT'!$R226= "", 'Controle de CT'!$P226= ""), "", 'Controle de CT'!$R226-'Controle de CT'!$P226)</f>
        <v>0.1986111111111111</v>
      </c>
      <c r="V226" s="1"/>
      <c r="W226" s="2"/>
      <c r="X226" s="2"/>
    </row>
    <row r="227" spans="11:24" ht="15" hidden="1" customHeight="1">
      <c r="K227" s="5">
        <v>46077</v>
      </c>
      <c r="L227" s="8" t="s">
        <v>93</v>
      </c>
      <c r="M227" s="9" t="str">
        <f>IF(Tabela1[[#This Row],[Motorista]]="","",IFERROR(_xlfn.XLOOKUP(Tabela1[[#This Row],[Motorista]],Base!A:A,Base!B:B),""))</f>
        <v>FOB</v>
      </c>
      <c r="N227" s="20" t="str">
        <f t="shared" si="4"/>
        <v>Finalizado</v>
      </c>
      <c r="O2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7" s="4">
        <v>0.23055555555555557</v>
      </c>
      <c r="Q227" s="4">
        <v>0.33888888888888891</v>
      </c>
      <c r="R227" s="23">
        <v>0.38333333333333336</v>
      </c>
      <c r="S227" s="16"/>
      <c r="T227" s="14">
        <f>IF(OR(Tabela1[[#This Row],[Entrada]]="",Tabela1[[#This Row],[Saída]]=""), "", Tabela1[[#This Row],[Saída]]-Tabela1[[#This Row],[Entrada]])</f>
        <v>4.4444444444444453E-2</v>
      </c>
      <c r="U227" s="15">
        <f>IF(OR('Controle de CT'!$R227= "", 'Controle de CT'!$P227= ""), "", 'Controle de CT'!$R227-'Controle de CT'!$P227)</f>
        <v>0.15277777777777779</v>
      </c>
      <c r="V227" s="1"/>
      <c r="W227" s="2"/>
      <c r="X227" s="2"/>
    </row>
    <row r="228" spans="11:24" ht="24" hidden="1" customHeight="1">
      <c r="K228" s="5">
        <v>46077</v>
      </c>
      <c r="L228" s="8" t="s">
        <v>90</v>
      </c>
      <c r="M228" s="9" t="str">
        <f>IF(Tabela1[[#This Row],[Motorista]]="","",IFERROR(_xlfn.XLOOKUP(Tabela1[[#This Row],[Motorista]],Base!A:A,Base!B:B),""))</f>
        <v>FOB</v>
      </c>
      <c r="N228" s="20" t="str">
        <f t="shared" si="4"/>
        <v>Finalizado</v>
      </c>
      <c r="O2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28" s="4">
        <v>0.23055555555555557</v>
      </c>
      <c r="Q228" s="4">
        <v>0.34375</v>
      </c>
      <c r="R228" s="23">
        <v>0.38472222222222224</v>
      </c>
      <c r="S228" s="16"/>
      <c r="T228" s="14">
        <f>IF(OR(Tabela1[[#This Row],[Entrada]]="",Tabela1[[#This Row],[Saída]]=""), "", Tabela1[[#This Row],[Saída]]-Tabela1[[#This Row],[Entrada]])</f>
        <v>4.0972222222222243E-2</v>
      </c>
      <c r="U228" s="15">
        <f>IF(OR('Controle de CT'!$R228= "", 'Controle de CT'!$P228= ""), "", 'Controle de CT'!$R228-'Controle de CT'!$P228)</f>
        <v>0.15416666666666667</v>
      </c>
      <c r="V228" s="1"/>
      <c r="W228" s="2"/>
      <c r="X228" s="2"/>
    </row>
    <row r="229" spans="11:24" ht="15" hidden="1" customHeight="1">
      <c r="K229" s="5">
        <v>46077</v>
      </c>
      <c r="L229" s="8" t="s">
        <v>87</v>
      </c>
      <c r="M229" s="9" t="str">
        <f>IF(Tabela1[[#This Row],[Motorista]]="","",IFERROR(_xlfn.XLOOKUP(Tabela1[[#This Row],[Motorista]],Base!A:A,Base!B:B),""))</f>
        <v>FOB</v>
      </c>
      <c r="N229" s="20" t="str">
        <f t="shared" si="4"/>
        <v>Finalizado</v>
      </c>
      <c r="O2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29" s="4">
        <v>0.25416666666666665</v>
      </c>
      <c r="Q229" s="4">
        <v>0.38124999999999998</v>
      </c>
      <c r="R229" s="26">
        <v>0.4236111111111111</v>
      </c>
      <c r="S229" s="16" t="s">
        <v>85</v>
      </c>
      <c r="T229" s="14">
        <f>IF(OR(Tabela1[[#This Row],[Entrada]]="",Tabela1[[#This Row],[Saída]]=""), "", Tabela1[[#This Row],[Saída]]-Tabela1[[#This Row],[Entrada]])</f>
        <v>4.2361111111111127E-2</v>
      </c>
      <c r="U229" s="15">
        <f>IF(OR('Controle de CT'!$R229= "", 'Controle de CT'!$P229= ""), "", 'Controle de CT'!$R229-'Controle de CT'!$P229)</f>
        <v>0.16944444444444445</v>
      </c>
      <c r="V229" s="1"/>
      <c r="W229" s="2"/>
      <c r="X229" s="2"/>
    </row>
    <row r="230" spans="11:24" ht="15" hidden="1" customHeight="1">
      <c r="K230" s="5">
        <v>46077</v>
      </c>
      <c r="L230" s="8" t="s">
        <v>130</v>
      </c>
      <c r="M230" s="9" t="str">
        <f>IF(Tabela1[[#This Row],[Motorista]]="","",IFERROR(_xlfn.XLOOKUP(Tabela1[[#This Row],[Motorista]],Base!A:A,Base!B:B),""))</f>
        <v>RZD</v>
      </c>
      <c r="N230" s="20" t="str">
        <f t="shared" si="4"/>
        <v>Finalizado</v>
      </c>
      <c r="O2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0" s="4">
        <v>0.24583333333333332</v>
      </c>
      <c r="Q230" s="4">
        <v>0.33194444444444443</v>
      </c>
      <c r="R230" s="26">
        <v>0.41666666666666669</v>
      </c>
      <c r="S230" s="16"/>
      <c r="T230" s="14">
        <f>IF(OR(Tabela1[[#This Row],[Entrada]]="",Tabela1[[#This Row],[Saída]]=""), "", Tabela1[[#This Row],[Saída]]-Tabela1[[#This Row],[Entrada]])</f>
        <v>8.4722222222222254E-2</v>
      </c>
      <c r="U230" s="15">
        <f>IF(OR('Controle de CT'!$R230= "", 'Controle de CT'!$P230= ""), "", 'Controle de CT'!$R230-'Controle de CT'!$P230)</f>
        <v>0.17083333333333336</v>
      </c>
      <c r="V230" s="1"/>
      <c r="W230" s="2"/>
      <c r="X230" s="2"/>
    </row>
    <row r="231" spans="11:24" ht="15" hidden="1" customHeight="1">
      <c r="K231" s="5">
        <v>46077</v>
      </c>
      <c r="L231" s="8" t="s">
        <v>104</v>
      </c>
      <c r="M231" s="9" t="str">
        <f>IF(Tabela1[[#This Row],[Motorista]]="","",IFERROR(_xlfn.XLOOKUP(Tabela1[[#This Row],[Motorista]],Base!A:A,Base!B:B),""))</f>
        <v>RZD</v>
      </c>
      <c r="N231" s="20" t="str">
        <f t="shared" si="4"/>
        <v>Finalizado</v>
      </c>
      <c r="O2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1" s="4">
        <v>0.24583333333333332</v>
      </c>
      <c r="Q231" s="4">
        <v>0.3611111111111111</v>
      </c>
      <c r="R231" s="26">
        <v>0.42708333333333331</v>
      </c>
      <c r="S231" s="16"/>
      <c r="T231" s="14">
        <f>IF(OR(Tabela1[[#This Row],[Entrada]]="",Tabela1[[#This Row],[Saída]]=""), "", Tabela1[[#This Row],[Saída]]-Tabela1[[#This Row],[Entrada]])</f>
        <v>6.597222222222221E-2</v>
      </c>
      <c r="U231" s="15">
        <f>IF(OR('Controle de CT'!$R231= "", 'Controle de CT'!$P231= ""), "", 'Controle de CT'!$R231-'Controle de CT'!$P231)</f>
        <v>0.18124999999999999</v>
      </c>
      <c r="V231" s="1"/>
      <c r="W231" s="2"/>
      <c r="X231" s="2"/>
    </row>
    <row r="232" spans="11:24" ht="15" hidden="1" customHeight="1">
      <c r="K232" s="5">
        <v>46077</v>
      </c>
      <c r="L232" s="8" t="s">
        <v>137</v>
      </c>
      <c r="M232" s="9" t="str">
        <f>IF(Tabela1[[#This Row],[Motorista]]="","",IFERROR(_xlfn.XLOOKUP(Tabela1[[#This Row],[Motorista]],Base!A:A,Base!B:B),""))</f>
        <v>RZD</v>
      </c>
      <c r="N232" s="20" t="str">
        <f t="shared" ref="N232:N295" si="5">IF(R232&lt;&gt;"","Finalizado", IF(Q232&lt;&gt;"","Fila de Carregamento", IF(P232&lt;&gt;"","Aguardando Entrada","")))</f>
        <v>Finalizado</v>
      </c>
      <c r="O2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2" s="4">
        <v>0.26527777777777778</v>
      </c>
      <c r="Q232" s="4">
        <v>0.38680555555555557</v>
      </c>
      <c r="R232" s="26">
        <v>0.41666666666666669</v>
      </c>
      <c r="S232" s="16"/>
      <c r="T232" s="14">
        <f>IF(OR(Tabela1[[#This Row],[Entrada]]="",Tabela1[[#This Row],[Saída]]=""), "", Tabela1[[#This Row],[Saída]]-Tabela1[[#This Row],[Entrada]])</f>
        <v>2.9861111111111116E-2</v>
      </c>
      <c r="U232" s="15">
        <f>IF(OR('Controle de CT'!$R232= "", 'Controle de CT'!$P232= ""), "", 'Controle de CT'!$R232-'Controle de CT'!$P232)</f>
        <v>0.15138888888888891</v>
      </c>
      <c r="V232" s="1"/>
      <c r="W232" s="2"/>
      <c r="X232" s="2"/>
    </row>
    <row r="233" spans="11:24" ht="15" hidden="1" customHeight="1">
      <c r="K233" s="5">
        <v>46077</v>
      </c>
      <c r="L233" s="8" t="s">
        <v>49</v>
      </c>
      <c r="M233" s="9" t="str">
        <f>IF(Tabela1[[#This Row],[Motorista]]="","",IFERROR(_xlfn.XLOOKUP(Tabela1[[#This Row],[Motorista]],Base!A:A,Base!B:B),""))</f>
        <v>CIF</v>
      </c>
      <c r="N233" s="20" t="str">
        <f t="shared" si="5"/>
        <v>Finalizado</v>
      </c>
      <c r="O2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33" s="4">
        <v>0.26527777777777778</v>
      </c>
      <c r="Q233" s="4">
        <v>0.31597222222222221</v>
      </c>
      <c r="R233" s="23">
        <v>0.36319444444444443</v>
      </c>
      <c r="S233" s="16"/>
      <c r="T233" s="14">
        <f>IF(OR(Tabela1[[#This Row],[Entrada]]="",Tabela1[[#This Row],[Saída]]=""), "", Tabela1[[#This Row],[Saída]]-Tabela1[[#This Row],[Entrada]])</f>
        <v>4.7222222222222221E-2</v>
      </c>
      <c r="U233" s="15">
        <f>IF(OR('Controle de CT'!$R233= "", 'Controle de CT'!$P233= ""), "", 'Controle de CT'!$R233-'Controle de CT'!$P233)</f>
        <v>9.7916666666666652E-2</v>
      </c>
      <c r="V233" s="1"/>
      <c r="W233" s="2"/>
      <c r="X233" s="2"/>
    </row>
    <row r="234" spans="11:24" ht="15" hidden="1" customHeight="1">
      <c r="K234" s="5">
        <v>46077</v>
      </c>
      <c r="L234" s="8" t="s">
        <v>42</v>
      </c>
      <c r="M234" s="9" t="str">
        <f>IF(Tabela1[[#This Row],[Motorista]]="","",IFERROR(_xlfn.XLOOKUP(Tabela1[[#This Row],[Motorista]],Base!A:A,Base!B:B),""))</f>
        <v>CIF</v>
      </c>
      <c r="N234" s="20" t="str">
        <f t="shared" si="5"/>
        <v>Finalizado</v>
      </c>
      <c r="O2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34" s="4">
        <v>0.26597222222222222</v>
      </c>
      <c r="Q234" s="4">
        <v>0.31597222222222221</v>
      </c>
      <c r="R234" s="23">
        <v>0.37152777777777779</v>
      </c>
      <c r="S234" s="16"/>
      <c r="T234" s="14">
        <f>IF(OR(Tabela1[[#This Row],[Entrada]]="",Tabela1[[#This Row],[Saída]]=""), "", Tabela1[[#This Row],[Saída]]-Tabela1[[#This Row],[Entrada]])</f>
        <v>5.555555555555558E-2</v>
      </c>
      <c r="U234" s="15">
        <f>IF(OR('Controle de CT'!$R234= "", 'Controle de CT'!$P234= ""), "", 'Controle de CT'!$R234-'Controle de CT'!$P234)</f>
        <v>0.10555555555555557</v>
      </c>
      <c r="V234" s="1"/>
      <c r="W234" s="2"/>
      <c r="X234" s="2"/>
    </row>
    <row r="235" spans="11:24" ht="15" hidden="1" customHeight="1">
      <c r="K235" s="5">
        <v>46077</v>
      </c>
      <c r="L235" s="8" t="s">
        <v>105</v>
      </c>
      <c r="M235" s="9" t="str">
        <f>IF(Tabela1[[#This Row],[Motorista]]="","",IFERROR(_xlfn.XLOOKUP(Tabela1[[#This Row],[Motorista]],Base!A:A,Base!B:B),""))</f>
        <v>Transferência</v>
      </c>
      <c r="N235" s="20" t="str">
        <f t="shared" si="5"/>
        <v>Aguardando Entrada</v>
      </c>
      <c r="O2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5" s="4">
        <v>0</v>
      </c>
      <c r="Q235" s="4"/>
      <c r="R235" s="23"/>
      <c r="S235" s="16"/>
      <c r="T235" s="14" t="str">
        <f>IF(OR(Tabela1[[#This Row],[Entrada]]="",Tabela1[[#This Row],[Saída]]=""), "", Tabela1[[#This Row],[Saída]]-Tabela1[[#This Row],[Entrada]])</f>
        <v/>
      </c>
      <c r="U235" s="15" t="str">
        <f>IF(OR('Controle de CT'!$R235= "", 'Controle de CT'!$P235= ""), "", 'Controle de CT'!$R235-'Controle de CT'!$P235)</f>
        <v/>
      </c>
      <c r="V235" s="1" t="s">
        <v>138</v>
      </c>
      <c r="W235" s="2"/>
      <c r="X235" s="2"/>
    </row>
    <row r="236" spans="11:24" ht="14.1" hidden="1" customHeight="1">
      <c r="K236" s="5">
        <v>46077</v>
      </c>
      <c r="L236" s="8" t="s">
        <v>106</v>
      </c>
      <c r="M236" s="9" t="str">
        <f>IF(Tabela1[[#This Row],[Motorista]]="","",IFERROR(_xlfn.XLOOKUP(Tabela1[[#This Row],[Motorista]],Base!A:A,Base!B:B),""))</f>
        <v>FOB</v>
      </c>
      <c r="N236" s="20" t="str">
        <f t="shared" si="5"/>
        <v>Finalizado</v>
      </c>
      <c r="O2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6" s="4">
        <v>0.28194444444444444</v>
      </c>
      <c r="Q236" s="4">
        <v>0.3888888888888889</v>
      </c>
      <c r="R236" s="23">
        <v>0.44097222222222221</v>
      </c>
      <c r="S236" s="16" t="s">
        <v>85</v>
      </c>
      <c r="T236" s="14">
        <f>IF(OR(Tabela1[[#This Row],[Entrada]]="",Tabela1[[#This Row],[Saída]]=""), "", Tabela1[[#This Row],[Saída]]-Tabela1[[#This Row],[Entrada]])</f>
        <v>5.2083333333333315E-2</v>
      </c>
      <c r="U236" s="15">
        <f>IF(OR('Controle de CT'!$R236= "", 'Controle de CT'!$P236= ""), "", 'Controle de CT'!$R236-'Controle de CT'!$P236)</f>
        <v>0.15902777777777777</v>
      </c>
      <c r="V236" s="1"/>
      <c r="W236" s="2"/>
      <c r="X236" s="2"/>
    </row>
    <row r="237" spans="11:24" ht="15" hidden="1" customHeight="1">
      <c r="K237" s="5">
        <v>46077</v>
      </c>
      <c r="L237" s="8" t="s">
        <v>45</v>
      </c>
      <c r="M237" s="9" t="str">
        <f>IF(Tabela1[[#This Row],[Motorista]]="","",IFERROR(_xlfn.XLOOKUP(Tabela1[[#This Row],[Motorista]],Base!A:A,Base!B:B),""))</f>
        <v>CIF</v>
      </c>
      <c r="N237" s="20" t="str">
        <f t="shared" si="5"/>
        <v>Finalizado</v>
      </c>
      <c r="O2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7" s="4">
        <v>0.28263888888888888</v>
      </c>
      <c r="Q237" s="4">
        <v>0.35069444444444442</v>
      </c>
      <c r="R237" s="23">
        <v>0.39374999999999999</v>
      </c>
      <c r="S237" s="16"/>
      <c r="T237" s="14">
        <f>IF(OR(Tabela1[[#This Row],[Entrada]]="",Tabela1[[#This Row],[Saída]]=""), "", Tabela1[[#This Row],[Saída]]-Tabela1[[#This Row],[Entrada]])</f>
        <v>4.3055555555555569E-2</v>
      </c>
      <c r="U237" s="15">
        <f>IF(OR('Controle de CT'!$R237= "", 'Controle de CT'!$P237= ""), "", 'Controle de CT'!$R237-'Controle de CT'!$P237)</f>
        <v>0.1111111111111111</v>
      </c>
      <c r="V237" s="1"/>
      <c r="W237" s="2"/>
      <c r="X237" s="2"/>
    </row>
    <row r="238" spans="11:24" ht="15" hidden="1" customHeight="1">
      <c r="K238" s="5">
        <v>46077</v>
      </c>
      <c r="L238" s="8" t="s">
        <v>88</v>
      </c>
      <c r="M238" s="9" t="str">
        <f>IF(Tabela1[[#This Row],[Motorista]]="","",IFERROR(_xlfn.XLOOKUP(Tabela1[[#This Row],[Motorista]],Base!A:A,Base!B:B),""))</f>
        <v>RZD</v>
      </c>
      <c r="N238" s="20" t="str">
        <f t="shared" si="5"/>
        <v>Finalizado</v>
      </c>
      <c r="O2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8" s="4">
        <v>0.30486111111111114</v>
      </c>
      <c r="Q238" s="4">
        <v>0.42083333333333334</v>
      </c>
      <c r="R238" s="26">
        <v>0.41666666666666669</v>
      </c>
      <c r="S238" s="16"/>
      <c r="T238" s="14">
        <f>IF(OR(Tabela1[[#This Row],[Entrada]]="",Tabela1[[#This Row],[Saída]]=""), "", Tabela1[[#This Row],[Saída]]-Tabela1[[#This Row],[Entrada]])</f>
        <v>-4.1666666666666519E-3</v>
      </c>
      <c r="U238" s="15">
        <f>IF(OR('Controle de CT'!$R238= "", 'Controle de CT'!$P238= ""), "", 'Controle de CT'!$R238-'Controle de CT'!$P238)</f>
        <v>0.11180555555555555</v>
      </c>
      <c r="V238" s="1"/>
      <c r="W238" s="2"/>
      <c r="X238" s="2"/>
    </row>
    <row r="239" spans="11:24" ht="15" hidden="1" customHeight="1">
      <c r="K239" s="5">
        <v>46077</v>
      </c>
      <c r="L239" s="8" t="s">
        <v>139</v>
      </c>
      <c r="M239" s="9">
        <f>IF(Tabela1[[#This Row],[Motorista]]="","",IFERROR(_xlfn.XLOOKUP(Tabela1[[#This Row],[Motorista]],Base!A:A,Base!B:B),""))</f>
        <v>0</v>
      </c>
      <c r="N239" s="20" t="str">
        <f t="shared" si="5"/>
        <v>Aguardando Entrada</v>
      </c>
      <c r="O2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39" s="4">
        <v>0.33124999999999999</v>
      </c>
      <c r="Q239" s="4"/>
      <c r="R239" s="23"/>
      <c r="S239" s="16"/>
      <c r="T239" s="14" t="str">
        <f>IF(OR(Tabela1[[#This Row],[Entrada]]="",Tabela1[[#This Row],[Saída]]=""), "", Tabela1[[#This Row],[Saída]]-Tabela1[[#This Row],[Entrada]])</f>
        <v/>
      </c>
      <c r="U239" s="15" t="str">
        <f>IF(OR('Controle de CT'!$R239= "", 'Controle de CT'!$P239= ""), "", 'Controle de CT'!$R239-'Controle de CT'!$P239)</f>
        <v/>
      </c>
      <c r="V239" s="1" t="s">
        <v>140</v>
      </c>
      <c r="W239" s="2"/>
      <c r="X239" s="2"/>
    </row>
    <row r="240" spans="11:24" ht="15" hidden="1" customHeight="1">
      <c r="K240" s="5">
        <v>46077</v>
      </c>
      <c r="L240" s="8" t="s">
        <v>53</v>
      </c>
      <c r="M240" s="9" t="str">
        <f>IF(Tabela1[[#This Row],[Motorista]]="","",IFERROR(_xlfn.XLOOKUP(Tabela1[[#This Row],[Motorista]],Base!A:A,Base!B:B),""))</f>
        <v>CIF</v>
      </c>
      <c r="N240" s="20" t="str">
        <f t="shared" si="5"/>
        <v>Finalizado</v>
      </c>
      <c r="O2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0" s="2">
        <v>0.34097222222222223</v>
      </c>
      <c r="Q240" s="2">
        <v>0.35972222222222222</v>
      </c>
      <c r="R240" s="16">
        <v>0.43055555555555558</v>
      </c>
      <c r="S240" s="16" t="s">
        <v>85</v>
      </c>
      <c r="T240" s="14">
        <f>IF(OR(Tabela1[[#This Row],[Entrada]]="",Tabela1[[#This Row],[Saída]]=""), "", Tabela1[[#This Row],[Saída]]-Tabela1[[#This Row],[Entrada]])</f>
        <v>7.0833333333333359E-2</v>
      </c>
      <c r="U240" s="15">
        <f>IF(OR('Controle de CT'!$R240= "", 'Controle de CT'!$P240= ""), "", 'Controle de CT'!$R240-'Controle de CT'!$P240)</f>
        <v>8.9583333333333348E-2</v>
      </c>
      <c r="V240" s="1"/>
      <c r="W240" s="2"/>
      <c r="X240" s="2"/>
    </row>
    <row r="241" spans="11:24" ht="15" hidden="1" customHeight="1">
      <c r="K241" s="5">
        <v>46077</v>
      </c>
      <c r="L241" s="8" t="s">
        <v>52</v>
      </c>
      <c r="M241" s="9" t="str">
        <f>IF(Tabela1[[#This Row],[Motorista]]="","",IFERROR(_xlfn.XLOOKUP(Tabela1[[#This Row],[Motorista]],Base!A:A,Base!B:B),""))</f>
        <v>CIF</v>
      </c>
      <c r="N241" s="20" t="str">
        <f t="shared" si="5"/>
        <v>Finalizado</v>
      </c>
      <c r="O2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1" s="2">
        <v>0.35694444444444445</v>
      </c>
      <c r="Q241" s="2">
        <v>0.375</v>
      </c>
      <c r="R241" s="16">
        <v>0.43055555555555558</v>
      </c>
      <c r="S241" s="16" t="s">
        <v>85</v>
      </c>
      <c r="T241" s="14">
        <f>IF(OR(Tabela1[[#This Row],[Entrada]]="",Tabela1[[#This Row],[Saída]]=""), "", Tabela1[[#This Row],[Saída]]-Tabela1[[#This Row],[Entrada]])</f>
        <v>5.555555555555558E-2</v>
      </c>
      <c r="U241" s="15">
        <f>IF(OR('Controle de CT'!$R241= "", 'Controle de CT'!$P241= ""), "", 'Controle de CT'!$R241-'Controle de CT'!$P241)</f>
        <v>7.3611111111111127E-2</v>
      </c>
      <c r="V241" s="1"/>
      <c r="W241" s="2"/>
      <c r="X241" s="2"/>
    </row>
    <row r="242" spans="11:24" ht="15" hidden="1" customHeight="1">
      <c r="K242" s="5">
        <v>46077</v>
      </c>
      <c r="L242" s="8" t="s">
        <v>133</v>
      </c>
      <c r="M242" s="9" t="str">
        <f>IF(Tabela1[[#This Row],[Motorista]]="","",IFERROR(_xlfn.XLOOKUP(Tabela1[[#This Row],[Motorista]],Base!A:A,Base!B:B),""))</f>
        <v>FOB</v>
      </c>
      <c r="N242" s="20" t="str">
        <f t="shared" si="5"/>
        <v>Finalizado</v>
      </c>
      <c r="O2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2" s="2">
        <v>0.36805555555555558</v>
      </c>
      <c r="Q242" s="2">
        <v>0.42499999999999999</v>
      </c>
      <c r="R242" s="16">
        <v>0.4826388888888889</v>
      </c>
      <c r="S242" s="16" t="s">
        <v>85</v>
      </c>
      <c r="T242" s="14">
        <f>IF(OR(Tabela1[[#This Row],[Entrada]]="",Tabela1[[#This Row],[Saída]]=""), "", Tabela1[[#This Row],[Saída]]-Tabela1[[#This Row],[Entrada]])</f>
        <v>5.7638888888888906E-2</v>
      </c>
      <c r="U242" s="15">
        <f>IF(OR('Controle de CT'!$R242= "", 'Controle de CT'!$P242= ""), "", 'Controle de CT'!$R242-'Controle de CT'!$P242)</f>
        <v>0.11458333333333331</v>
      </c>
      <c r="V242" s="1"/>
      <c r="W242" s="2"/>
      <c r="X242" s="2"/>
    </row>
    <row r="243" spans="11:24" ht="15" hidden="1" customHeight="1">
      <c r="K243" s="5">
        <v>46077</v>
      </c>
      <c r="L243" s="8" t="s">
        <v>125</v>
      </c>
      <c r="M243" s="9" t="str">
        <f>IF(Tabela1[[#This Row],[Motorista]]="","",IFERROR(_xlfn.XLOOKUP(Tabela1[[#This Row],[Motorista]],Base!A:A,Base!B:B),""))</f>
        <v>FOB</v>
      </c>
      <c r="N243" s="20" t="str">
        <f t="shared" si="5"/>
        <v>Finalizado</v>
      </c>
      <c r="O2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3" s="2">
        <v>0.37152777777777779</v>
      </c>
      <c r="Q243" s="2">
        <v>0.45833333333333331</v>
      </c>
      <c r="R243" s="16">
        <v>0.51736111111111116</v>
      </c>
      <c r="S243" s="16" t="s">
        <v>85</v>
      </c>
      <c r="T243" s="14">
        <f>IF(OR(Tabela1[[#This Row],[Entrada]]="",Tabela1[[#This Row],[Saída]]=""), "", Tabela1[[#This Row],[Saída]]-Tabela1[[#This Row],[Entrada]])</f>
        <v>5.9027777777777846E-2</v>
      </c>
      <c r="U243" s="15">
        <f>IF(OR('Controle de CT'!$R243= "", 'Controle de CT'!$P243= ""), "", 'Controle de CT'!$R243-'Controle de CT'!$P243)</f>
        <v>0.14583333333333337</v>
      </c>
      <c r="V243" s="1"/>
      <c r="W243" s="2"/>
      <c r="X243" s="2"/>
    </row>
    <row r="244" spans="11:24" ht="15" hidden="1" customHeight="1">
      <c r="K244" s="5">
        <v>46077</v>
      </c>
      <c r="L244" s="8" t="s">
        <v>141</v>
      </c>
      <c r="M244" s="9" t="str">
        <f>IF(Tabela1[[#This Row],[Motorista]]="","",IFERROR(_xlfn.XLOOKUP(Tabela1[[#This Row],[Motorista]],Base!A:A,Base!B:B),""))</f>
        <v>FOB</v>
      </c>
      <c r="N244" s="20" t="str">
        <f t="shared" si="5"/>
        <v>Aguardando Entrada</v>
      </c>
      <c r="O2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4" s="2">
        <v>0.37152777777777779</v>
      </c>
      <c r="R244" s="16"/>
      <c r="S244" s="16"/>
      <c r="T244" s="14" t="str">
        <f>IF(OR(Tabela1[[#This Row],[Entrada]]="",Tabela1[[#This Row],[Saída]]=""), "", Tabela1[[#This Row],[Saída]]-Tabela1[[#This Row],[Entrada]])</f>
        <v/>
      </c>
      <c r="U244" s="15" t="str">
        <f>IF(OR('Controle de CT'!$R244= "", 'Controle de CT'!$P244= ""), "", 'Controle de CT'!$R244-'Controle de CT'!$P244)</f>
        <v/>
      </c>
      <c r="V244" s="1" t="s">
        <v>142</v>
      </c>
      <c r="W244" s="2"/>
      <c r="X244" s="2"/>
    </row>
    <row r="245" spans="11:24" ht="15" hidden="1" customHeight="1">
      <c r="K245" s="5">
        <v>46077</v>
      </c>
      <c r="L245" s="8" t="s">
        <v>122</v>
      </c>
      <c r="M245" s="9" t="str">
        <f>IF(Tabela1[[#This Row],[Motorista]]="","",IFERROR(_xlfn.XLOOKUP(Tabela1[[#This Row],[Motorista]],Base!A:A,Base!B:B),""))</f>
        <v>FOB</v>
      </c>
      <c r="N245" s="20" t="str">
        <f t="shared" si="5"/>
        <v>Fila de Carregamento</v>
      </c>
      <c r="O2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5" s="2">
        <v>0.46875</v>
      </c>
      <c r="Q245" s="2">
        <v>0.50624999999999998</v>
      </c>
      <c r="R245" s="16"/>
      <c r="S245" s="16"/>
      <c r="T245" s="14" t="str">
        <f>IF(OR(Tabela1[[#This Row],[Entrada]]="",Tabela1[[#This Row],[Saída]]=""), "", Tabela1[[#This Row],[Saída]]-Tabela1[[#This Row],[Entrada]])</f>
        <v/>
      </c>
      <c r="U245" s="15" t="str">
        <f>IF(OR('Controle de CT'!$R245= "", 'Controle de CT'!$P245= ""), "", 'Controle de CT'!$R245-'Controle de CT'!$P245)</f>
        <v/>
      </c>
      <c r="V245" s="1"/>
      <c r="W245" s="2"/>
      <c r="X245" s="2"/>
    </row>
    <row r="246" spans="11:24" ht="15" hidden="1" customHeight="1">
      <c r="K246" s="5">
        <v>46077</v>
      </c>
      <c r="L246" s="8" t="s">
        <v>143</v>
      </c>
      <c r="M246" s="9" t="str">
        <f>IF(Tabela1[[#This Row],[Motorista]]="","",IFERROR(_xlfn.XLOOKUP(Tabela1[[#This Row],[Motorista]],Base!A:A,Base!B:B),""))</f>
        <v>FOB</v>
      </c>
      <c r="N246" s="20" t="str">
        <f t="shared" si="5"/>
        <v>Fila de Carregamento</v>
      </c>
      <c r="O2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6" s="2">
        <v>0.37916666666666665</v>
      </c>
      <c r="Q246" s="2">
        <v>0.44722222222222224</v>
      </c>
      <c r="R246" s="16"/>
      <c r="S246" s="16" t="s">
        <v>85</v>
      </c>
      <c r="T246" s="14" t="str">
        <f>IF(OR(Tabela1[[#This Row],[Entrada]]="",Tabela1[[#This Row],[Saída]]=""), "", Tabela1[[#This Row],[Saída]]-Tabela1[[#This Row],[Entrada]])</f>
        <v/>
      </c>
      <c r="U246" s="15" t="str">
        <f>IF(OR('Controle de CT'!$R246= "", 'Controle de CT'!$P246= ""), "", 'Controle de CT'!$R246-'Controle de CT'!$P246)</f>
        <v/>
      </c>
      <c r="V246" s="1"/>
      <c r="W246" s="2"/>
      <c r="X246" s="2"/>
    </row>
    <row r="247" spans="11:24" ht="15" hidden="1" customHeight="1">
      <c r="K247" s="5">
        <v>46077</v>
      </c>
      <c r="L247" s="8" t="s">
        <v>57</v>
      </c>
      <c r="M247" s="9" t="str">
        <f>IF(Tabela1[[#This Row],[Motorista]]="","",IFERROR(_xlfn.XLOOKUP(Tabela1[[#This Row],[Motorista]],Base!A:A,Base!B:B),""))</f>
        <v>CIF</v>
      </c>
      <c r="N247" s="20" t="str">
        <f t="shared" si="5"/>
        <v>Fila de Carregamento</v>
      </c>
      <c r="O2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7" s="4">
        <v>0.38263888888888886</v>
      </c>
      <c r="Q247" s="4">
        <v>0.41597222222222224</v>
      </c>
      <c r="R247" s="23"/>
      <c r="S247" s="16" t="s">
        <v>85</v>
      </c>
      <c r="T247" s="14" t="str">
        <f>IF(OR(Tabela1[[#This Row],[Entrada]]="",Tabela1[[#This Row],[Saída]]=""), "", Tabela1[[#This Row],[Saída]]-Tabela1[[#This Row],[Entrada]])</f>
        <v/>
      </c>
      <c r="U247" s="15" t="str">
        <f>IF(OR('Controle de CT'!$R247= "", 'Controle de CT'!$P247= ""), "", 'Controle de CT'!$R247-'Controle de CT'!$P247)</f>
        <v/>
      </c>
      <c r="V247" s="1"/>
      <c r="W247" s="2"/>
      <c r="X247" s="2"/>
    </row>
    <row r="248" spans="11:24" ht="15" hidden="1" customHeight="1">
      <c r="K248" s="5">
        <v>46077</v>
      </c>
      <c r="L248" s="8" t="s">
        <v>47</v>
      </c>
      <c r="M248" s="9" t="str">
        <f>IF(Tabela1[[#This Row],[Motorista]]="","",IFERROR(_xlfn.XLOOKUP(Tabela1[[#This Row],[Motorista]],Base!A:A,Base!B:B),""))</f>
        <v>CIF</v>
      </c>
      <c r="N248" s="20" t="str">
        <f t="shared" si="5"/>
        <v>Finalizado</v>
      </c>
      <c r="O2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8" s="4">
        <v>0.36319444444444443</v>
      </c>
      <c r="Q248" s="4">
        <v>0.38680555555555557</v>
      </c>
      <c r="R248" s="23">
        <v>0.45277777777777778</v>
      </c>
      <c r="S248" s="16" t="s">
        <v>85</v>
      </c>
      <c r="T248" s="14">
        <f>IF(OR(Tabela1[[#This Row],[Entrada]]="",Tabela1[[#This Row],[Saída]]=""), "", Tabela1[[#This Row],[Saída]]-Tabela1[[#This Row],[Entrada]])</f>
        <v>6.597222222222221E-2</v>
      </c>
      <c r="U248" s="15">
        <f>IF(OR('Controle de CT'!$R248= "", 'Controle de CT'!$P248= ""), "", 'Controle de CT'!$R248-'Controle de CT'!$P248)</f>
        <v>8.9583333333333348E-2</v>
      </c>
      <c r="V248" s="1"/>
      <c r="W248" s="2"/>
      <c r="X248" s="2"/>
    </row>
    <row r="249" spans="11:24" ht="15" hidden="1" customHeight="1">
      <c r="K249" s="5">
        <v>46077</v>
      </c>
      <c r="L249" s="8" t="s">
        <v>86</v>
      </c>
      <c r="M249" s="9" t="str">
        <f>IF(Tabela1[[#This Row],[Motorista]]="","",IFERROR(_xlfn.XLOOKUP(Tabela1[[#This Row],[Motorista]],Base!A:A,Base!B:B),""))</f>
        <v>FOB</v>
      </c>
      <c r="N249" s="20" t="str">
        <f t="shared" si="5"/>
        <v>Finalizado</v>
      </c>
      <c r="O2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49" s="4">
        <v>0.40208333333333335</v>
      </c>
      <c r="Q249" s="4">
        <v>0.42222222222222222</v>
      </c>
      <c r="R249" s="23">
        <v>0.47708333333333336</v>
      </c>
      <c r="S249" s="16" t="s">
        <v>85</v>
      </c>
      <c r="T249" s="14">
        <f>IF(OR(Tabela1[[#This Row],[Entrada]]="",Tabela1[[#This Row],[Saída]]=""), "", Tabela1[[#This Row],[Saída]]-Tabela1[[#This Row],[Entrada]])</f>
        <v>5.4861111111111138E-2</v>
      </c>
      <c r="U249" s="15">
        <f>IF(OR('Controle de CT'!$R249= "", 'Controle de CT'!$P249= ""), "", 'Controle de CT'!$R249-'Controle de CT'!$P249)</f>
        <v>7.5000000000000011E-2</v>
      </c>
      <c r="V249" s="1"/>
      <c r="W249" s="2"/>
      <c r="X249" s="2"/>
    </row>
    <row r="250" spans="11:24" ht="15" hidden="1" customHeight="1">
      <c r="K250" s="5">
        <v>46077</v>
      </c>
      <c r="L250" s="8" t="s">
        <v>92</v>
      </c>
      <c r="M250" s="9" t="str">
        <f>IF(Tabela1[[#This Row],[Motorista]]="","",IFERROR(_xlfn.XLOOKUP(Tabela1[[#This Row],[Motorista]],Base!A:A,Base!B:B),""))</f>
        <v>FOB</v>
      </c>
      <c r="N250" s="20" t="str">
        <f t="shared" si="5"/>
        <v>Fila de Carregamento</v>
      </c>
      <c r="O2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0" s="4">
        <v>0.39166666666666666</v>
      </c>
      <c r="Q250" s="4">
        <v>0.46250000000000002</v>
      </c>
      <c r="R250" s="23"/>
      <c r="S250" s="16" t="s">
        <v>85</v>
      </c>
      <c r="T250" s="14" t="str">
        <f>IF(OR(Tabela1[[#This Row],[Entrada]]="",Tabela1[[#This Row],[Saída]]=""), "", Tabela1[[#This Row],[Saída]]-Tabela1[[#This Row],[Entrada]])</f>
        <v/>
      </c>
      <c r="U250" s="15" t="str">
        <f>IF(OR('Controle de CT'!$R250= "", 'Controle de CT'!$P250= ""), "", 'Controle de CT'!$R250-'Controle de CT'!$P250)</f>
        <v/>
      </c>
      <c r="V250" s="1"/>
      <c r="W250" s="2"/>
      <c r="X250" s="2"/>
    </row>
    <row r="251" spans="11:24" ht="15" hidden="1" customHeight="1">
      <c r="K251" s="5">
        <v>46077</v>
      </c>
      <c r="L251" s="8" t="s">
        <v>56</v>
      </c>
      <c r="M251" s="9" t="str">
        <f>IF(Tabela1[[#This Row],[Motorista]]="","",IFERROR(_xlfn.XLOOKUP(Tabela1[[#This Row],[Motorista]],Base!A:A,Base!B:B),""))</f>
        <v/>
      </c>
      <c r="N251" s="20" t="str">
        <f t="shared" si="5"/>
        <v>Fila de Carregamento</v>
      </c>
      <c r="O2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1" s="4">
        <v>0.41597222222222224</v>
      </c>
      <c r="Q251" s="4">
        <v>0.43194444444444446</v>
      </c>
      <c r="R251" s="23"/>
      <c r="S251" s="16" t="s">
        <v>85</v>
      </c>
      <c r="T251" s="14" t="str">
        <f>IF(OR(Tabela1[[#This Row],[Entrada]]="",Tabela1[[#This Row],[Saída]]=""), "", Tabela1[[#This Row],[Saída]]-Tabela1[[#This Row],[Entrada]])</f>
        <v/>
      </c>
      <c r="U251" s="15" t="str">
        <f>IF(OR('Controle de CT'!$R251= "", 'Controle de CT'!$P251= ""), "", 'Controle de CT'!$R251-'Controle de CT'!$P251)</f>
        <v/>
      </c>
      <c r="V251" s="1"/>
      <c r="W251" s="2"/>
      <c r="X251" s="2"/>
    </row>
    <row r="252" spans="11:24" ht="15" hidden="1" customHeight="1">
      <c r="K252" s="5">
        <v>46077</v>
      </c>
      <c r="L252" s="8" t="s">
        <v>46</v>
      </c>
      <c r="M252" s="9" t="str">
        <f>IF(Tabela1[[#This Row],[Motorista]]="","",IFERROR(_xlfn.XLOOKUP(Tabela1[[#This Row],[Motorista]],Base!A:A,Base!B:B),""))</f>
        <v>CIF</v>
      </c>
      <c r="N252" s="20" t="str">
        <f t="shared" si="5"/>
        <v>Finalizado</v>
      </c>
      <c r="O2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2" s="2">
        <v>0.42916666666666664</v>
      </c>
      <c r="Q252" s="2">
        <v>0.44722222222222224</v>
      </c>
      <c r="R252" s="23">
        <v>0.50416666666666665</v>
      </c>
      <c r="S252" s="16" t="s">
        <v>85</v>
      </c>
      <c r="T252" s="14">
        <f>IF(OR(Tabela1[[#This Row],[Entrada]]="",Tabela1[[#This Row],[Saída]]=""), "", Tabela1[[#This Row],[Saída]]-Tabela1[[#This Row],[Entrada]])</f>
        <v>5.6944444444444409E-2</v>
      </c>
      <c r="U252" s="15">
        <f>IF(OR('Controle de CT'!$R252= "", 'Controle de CT'!$P252= ""), "", 'Controle de CT'!$R252-'Controle de CT'!$P252)</f>
        <v>7.5000000000000011E-2</v>
      </c>
      <c r="V252" s="1"/>
      <c r="W252" s="2"/>
      <c r="X252" s="2"/>
    </row>
    <row r="253" spans="11:24" ht="15" hidden="1" customHeight="1">
      <c r="K253" s="5">
        <v>46077</v>
      </c>
      <c r="L253" s="8" t="s">
        <v>123</v>
      </c>
      <c r="M253" s="9" t="str">
        <f>IF(Tabela1[[#This Row],[Motorista]]="","",IFERROR(_xlfn.XLOOKUP(Tabela1[[#This Row],[Motorista]],Base!A:A,Base!B:B),""))</f>
        <v>RZD</v>
      </c>
      <c r="N253" s="20" t="str">
        <f t="shared" si="5"/>
        <v>Fila de Carregamento</v>
      </c>
      <c r="O2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3" s="2">
        <v>0.46666666666666667</v>
      </c>
      <c r="Q253" s="23">
        <v>0.52430555555555558</v>
      </c>
      <c r="R253" s="23"/>
      <c r="S253" s="16"/>
      <c r="T253" s="14" t="str">
        <f>IF(OR(Tabela1[[#This Row],[Entrada]]="",Tabela1[[#This Row],[Saída]]=""), "", Tabela1[[#This Row],[Saída]]-Tabela1[[#This Row],[Entrada]])</f>
        <v/>
      </c>
      <c r="U253" s="15" t="str">
        <f>IF(OR('Controle de CT'!$R253= "", 'Controle de CT'!$P253= ""), "", 'Controle de CT'!$R253-'Controle de CT'!$P253)</f>
        <v/>
      </c>
      <c r="V253" s="1"/>
      <c r="W253" s="2"/>
      <c r="X253" s="2"/>
    </row>
    <row r="254" spans="11:24" ht="15" hidden="1" customHeight="1">
      <c r="K254" s="5">
        <v>46077</v>
      </c>
      <c r="L254" s="8" t="s">
        <v>42</v>
      </c>
      <c r="M254" s="9" t="str">
        <f>IF(Tabela1[[#This Row],[Motorista]]="","",IFERROR(_xlfn.XLOOKUP(Tabela1[[#This Row],[Motorista]],Base!A:A,Base!B:B),""))</f>
        <v>CIF</v>
      </c>
      <c r="N254" s="20" t="str">
        <f t="shared" si="5"/>
        <v>Finalizado</v>
      </c>
      <c r="O2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54" s="2">
        <v>0.46180555555555558</v>
      </c>
      <c r="Q254" s="2">
        <v>0.51388888888888884</v>
      </c>
      <c r="R254" s="23">
        <v>0.57013888888888886</v>
      </c>
      <c r="S254" s="16" t="s">
        <v>97</v>
      </c>
      <c r="T254" s="14">
        <f>IF(OR(Tabela1[[#This Row],[Entrada]]="",Tabela1[[#This Row],[Saída]]=""), "", Tabela1[[#This Row],[Saída]]-Tabela1[[#This Row],[Entrada]])</f>
        <v>5.6250000000000022E-2</v>
      </c>
      <c r="U254" s="15">
        <f>IF(OR('Controle de CT'!$R254= "", 'Controle de CT'!$P254= ""), "", 'Controle de CT'!$R254-'Controle de CT'!$P254)</f>
        <v>0.10833333333333328</v>
      </c>
      <c r="V254" s="1" t="s">
        <v>144</v>
      </c>
      <c r="W254" s="2"/>
      <c r="X254" s="2"/>
    </row>
    <row r="255" spans="11:24" ht="15" hidden="1" customHeight="1">
      <c r="K255" s="5">
        <v>46077</v>
      </c>
      <c r="L255" s="8" t="s">
        <v>49</v>
      </c>
      <c r="M255" s="9" t="str">
        <f>IF(Tabela1[[#This Row],[Motorista]]="","",IFERROR(_xlfn.XLOOKUP(Tabela1[[#This Row],[Motorista]],Base!A:A,Base!B:B),""))</f>
        <v>CIF</v>
      </c>
      <c r="N255" s="20" t="str">
        <f t="shared" si="5"/>
        <v>Fila de Carregamento</v>
      </c>
      <c r="O2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55" s="2">
        <v>0.51180555555555551</v>
      </c>
      <c r="Q255" s="2">
        <v>0.55763888888888891</v>
      </c>
      <c r="R255" s="23"/>
      <c r="S255" s="16"/>
      <c r="T255" s="14" t="str">
        <f>IF(OR(Tabela1[[#This Row],[Entrada]]="",Tabela1[[#This Row],[Saída]]=""), "", Tabela1[[#This Row],[Saída]]-Tabela1[[#This Row],[Entrada]])</f>
        <v/>
      </c>
      <c r="U255" s="15" t="str">
        <f>IF(OR('Controle de CT'!$R255= "", 'Controle de CT'!$P255= ""), "", 'Controle de CT'!$R255-'Controle de CT'!$P255)</f>
        <v/>
      </c>
      <c r="V255" s="1" t="s">
        <v>144</v>
      </c>
      <c r="W255" s="2"/>
      <c r="X255" s="2"/>
    </row>
    <row r="256" spans="11:24" ht="15" hidden="1" customHeight="1">
      <c r="K256" s="5">
        <v>46077</v>
      </c>
      <c r="L256" s="8" t="s">
        <v>145</v>
      </c>
      <c r="M256" s="9" t="str">
        <f>IF(Tabela1[[#This Row],[Motorista]]="","",IFERROR(_xlfn.XLOOKUP(Tabela1[[#This Row],[Motorista]],Base!A:A,Base!B:B),""))</f>
        <v>FOB</v>
      </c>
      <c r="N256" s="20" t="str">
        <f t="shared" si="5"/>
        <v>Fila de Carregamento</v>
      </c>
      <c r="O2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6" s="2">
        <v>0.52569444444444446</v>
      </c>
      <c r="Q256" s="2">
        <v>0.6069444444444444</v>
      </c>
      <c r="R256" s="23"/>
      <c r="S256" s="16"/>
      <c r="T256" s="14" t="str">
        <f>IF(OR(Tabela1[[#This Row],[Entrada]]="",Tabela1[[#This Row],[Saída]]=""), "", Tabela1[[#This Row],[Saída]]-Tabela1[[#This Row],[Entrada]])</f>
        <v/>
      </c>
      <c r="U256" s="15" t="str">
        <f>IF(OR('Controle de CT'!$R256= "", 'Controle de CT'!$P256= ""), "", 'Controle de CT'!$R256-'Controle de CT'!$P256)</f>
        <v/>
      </c>
      <c r="V256" s="1"/>
      <c r="W256" s="2"/>
      <c r="X256" s="2"/>
    </row>
    <row r="257" spans="11:24" ht="15" hidden="1" customHeight="1">
      <c r="K257" s="5">
        <v>46077</v>
      </c>
      <c r="L257" s="8" t="s">
        <v>146</v>
      </c>
      <c r="M257" s="9" t="str">
        <f>IF(Tabela1[[#This Row],[Motorista]]="","",IFERROR(_xlfn.XLOOKUP(Tabela1[[#This Row],[Motorista]],Base!A:A,Base!B:B),""))</f>
        <v>Transferência</v>
      </c>
      <c r="N257" s="20" t="str">
        <f t="shared" si="5"/>
        <v>Aguardando Entrada</v>
      </c>
      <c r="O2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57" s="4">
        <v>0.72777777777777775</v>
      </c>
      <c r="Q257" s="4"/>
      <c r="R257" s="23"/>
      <c r="S257" s="16"/>
      <c r="T257" s="14" t="str">
        <f>IF(OR(Tabela1[[#This Row],[Entrada]]="",Tabela1[[#This Row],[Saída]]=""), "", Tabela1[[#This Row],[Saída]]-Tabela1[[#This Row],[Entrada]])</f>
        <v/>
      </c>
      <c r="U257" s="15" t="str">
        <f>IF(OR('Controle de CT'!$R257= "", 'Controle de CT'!$P257= ""), "", 'Controle de CT'!$R257-'Controle de CT'!$P257)</f>
        <v/>
      </c>
      <c r="V257" s="1"/>
      <c r="W257" s="2"/>
      <c r="X257" s="2"/>
    </row>
    <row r="258" spans="11:24" ht="15" hidden="1" customHeight="1">
      <c r="K258" s="5">
        <v>46077</v>
      </c>
      <c r="L258" s="8" t="s">
        <v>87</v>
      </c>
      <c r="M258" s="9" t="str">
        <f>IF(Tabela1[[#This Row],[Motorista]]="","",IFERROR(_xlfn.XLOOKUP(Tabela1[[#This Row],[Motorista]],Base!A:A,Base!B:B),""))</f>
        <v>FOB</v>
      </c>
      <c r="N258" s="20" t="str">
        <f t="shared" si="5"/>
        <v>Finalizado</v>
      </c>
      <c r="O2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58" s="2">
        <v>0.72916666666666663</v>
      </c>
      <c r="Q258" s="4">
        <v>0.73472222222222228</v>
      </c>
      <c r="R258" s="23">
        <v>0.78472222222222221</v>
      </c>
      <c r="S258" s="16" t="s">
        <v>85</v>
      </c>
      <c r="T258" s="14">
        <f>IF(OR(Tabela1[[#This Row],[Entrada]]="",Tabela1[[#This Row],[Saída]]=""), "", Tabela1[[#This Row],[Saída]]-Tabela1[[#This Row],[Entrada]])</f>
        <v>4.9999999999999933E-2</v>
      </c>
      <c r="U258" s="15">
        <f>IF(OR('Controle de CT'!$R258= "", 'Controle de CT'!$P258= ""), "", 'Controle de CT'!$R258-'Controle de CT'!$P258)</f>
        <v>5.555555555555558E-2</v>
      </c>
      <c r="V258" s="1"/>
      <c r="W258" s="2"/>
      <c r="X258" s="2"/>
    </row>
    <row r="259" spans="11:24" ht="15" hidden="1" customHeight="1">
      <c r="K259" s="5">
        <v>46077</v>
      </c>
      <c r="L259" s="8" t="s">
        <v>147</v>
      </c>
      <c r="M259" s="9" t="str">
        <f>IF(Tabela1[[#This Row],[Motorista]]="","",IFERROR(_xlfn.XLOOKUP(Tabela1[[#This Row],[Motorista]],Base!A:A,Base!B:B),""))</f>
        <v>Transferência</v>
      </c>
      <c r="N259" s="20" t="str">
        <f t="shared" si="5"/>
        <v>Fila de Carregamento</v>
      </c>
      <c r="O2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259" s="2">
        <v>0.77847222222222223</v>
      </c>
      <c r="R259" s="23"/>
      <c r="S259" s="16" t="s">
        <v>97</v>
      </c>
      <c r="T259" s="14" t="str">
        <f>IF(OR(Tabela1[[#This Row],[Entrada]]="",Tabela1[[#This Row],[Saída]]=""), "", Tabela1[[#This Row],[Saída]]-Tabela1[[#This Row],[Entrada]])</f>
        <v/>
      </c>
      <c r="U259" s="15" t="str">
        <f>IF(OR('Controle de CT'!$R259= "", 'Controle de CT'!$P259= ""), "", 'Controle de CT'!$R259-'Controle de CT'!$P259)</f>
        <v/>
      </c>
      <c r="V259" s="1"/>
      <c r="W259" s="2"/>
      <c r="X259" s="2"/>
    </row>
    <row r="260" spans="11:24" ht="15" hidden="1" customHeight="1">
      <c r="K260" s="5">
        <v>46078</v>
      </c>
      <c r="L260" s="8" t="s">
        <v>45</v>
      </c>
      <c r="M260" s="9" t="str">
        <f>IF(Tabela1[[#This Row],[Motorista]]="","",IFERROR(_xlfn.XLOOKUP(Tabela1[[#This Row],[Motorista]],Base!A:A,Base!B:B),""))</f>
        <v>CIF</v>
      </c>
      <c r="N260" s="20" t="str">
        <f t="shared" si="5"/>
        <v>Finalizado</v>
      </c>
      <c r="O2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0" s="2">
        <v>0.23749999999999999</v>
      </c>
      <c r="Q260" s="2">
        <v>0.30069444444444443</v>
      </c>
      <c r="R260" s="23">
        <v>0.33333333333333331</v>
      </c>
      <c r="S260" s="16"/>
      <c r="T260" s="14">
        <f>IF(OR(Tabela1[[#This Row],[Entrada]]="",Tabela1[[#This Row],[Saída]]=""), "", Tabela1[[#This Row],[Saída]]-Tabela1[[#This Row],[Entrada]])</f>
        <v>3.2638888888888884E-2</v>
      </c>
      <c r="U260" s="15">
        <f>IF(OR('Controle de CT'!$R260= "", 'Controle de CT'!$P260= ""), "", 'Controle de CT'!$R260-'Controle de CT'!$P260)</f>
        <v>9.5833333333333326E-2</v>
      </c>
      <c r="V260" s="1"/>
      <c r="W260" s="2"/>
      <c r="X260" s="2"/>
    </row>
    <row r="261" spans="11:24" ht="15" hidden="1" customHeight="1">
      <c r="K261" s="5">
        <v>46078</v>
      </c>
      <c r="L261" s="8" t="s">
        <v>52</v>
      </c>
      <c r="M261" s="9" t="str">
        <f>IF(Tabela1[[#This Row],[Motorista]]="","",IFERROR(_xlfn.XLOOKUP(Tabela1[[#This Row],[Motorista]],Base!A:A,Base!B:B),""))</f>
        <v>CIF</v>
      </c>
      <c r="N261" s="20" t="str">
        <f t="shared" si="5"/>
        <v>Finalizado</v>
      </c>
      <c r="O2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1" s="2">
        <v>0.23819444444444443</v>
      </c>
      <c r="Q261" s="2">
        <v>0.27500000000000002</v>
      </c>
      <c r="R261" s="23">
        <v>0.30763888888888891</v>
      </c>
      <c r="S261" s="16"/>
      <c r="T261" s="14">
        <f>IF(OR(Tabela1[[#This Row],[Entrada]]="",Tabela1[[#This Row],[Saída]]=""), "", Tabela1[[#This Row],[Saída]]-Tabela1[[#This Row],[Entrada]])</f>
        <v>3.2638888888888884E-2</v>
      </c>
      <c r="U261" s="15">
        <f>IF(OR('Controle de CT'!$R261= "", 'Controle de CT'!$P261= ""), "", 'Controle de CT'!$R261-'Controle de CT'!$P261)</f>
        <v>6.9444444444444475E-2</v>
      </c>
      <c r="V261" s="1"/>
      <c r="W261" s="2"/>
      <c r="X261" s="2"/>
    </row>
    <row r="262" spans="11:24" ht="15" hidden="1" customHeight="1">
      <c r="K262" s="3">
        <v>46078</v>
      </c>
      <c r="L262" s="7" t="s">
        <v>58</v>
      </c>
      <c r="M262" s="22" t="str">
        <f>IF(Tabela1[[#This Row],[Motorista]]="","",IFERROR(_xlfn.XLOOKUP(Tabela1[[#This Row],[Motorista]],Base!A:A,Base!B:B),""))</f>
        <v xml:space="preserve">CIF </v>
      </c>
      <c r="N262" s="21" t="str">
        <f t="shared" si="5"/>
        <v>Finalizado</v>
      </c>
      <c r="O262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2" s="2">
        <v>0.30208333333333331</v>
      </c>
      <c r="Q262" s="2">
        <v>0.3125</v>
      </c>
      <c r="R262" s="2">
        <v>0.375</v>
      </c>
      <c r="S262" s="2" t="s">
        <v>85</v>
      </c>
      <c r="T262" s="57">
        <f>IF(OR(Tabela1[[#This Row],[Entrada]]="",Tabela1[[#This Row],[Saída]]=""), "", Tabela1[[#This Row],[Saída]]-Tabela1[[#This Row],[Entrada]])</f>
        <v>6.25E-2</v>
      </c>
      <c r="U262" s="58">
        <f>IF(OR('Controle de CT'!$R262= "", 'Controle de CT'!$P262= ""), "", 'Controle de CT'!$R262-'Controle de CT'!$P262)</f>
        <v>7.2916666666666685E-2</v>
      </c>
      <c r="V262" s="1" t="s">
        <v>148</v>
      </c>
      <c r="W262" s="2"/>
      <c r="X262" s="2"/>
    </row>
    <row r="263" spans="11:24" ht="15" hidden="1" customHeight="1">
      <c r="K263" s="3">
        <v>46078</v>
      </c>
      <c r="L263" s="7" t="s">
        <v>57</v>
      </c>
      <c r="M263" s="22" t="str">
        <f>IF(Tabela1[[#This Row],[Motorista]]="","",IFERROR(_xlfn.XLOOKUP(Tabela1[[#This Row],[Motorista]],Base!A:A,Base!B:B),""))</f>
        <v>CIF</v>
      </c>
      <c r="N263" s="21" t="str">
        <f t="shared" si="5"/>
        <v>Finalizado</v>
      </c>
      <c r="O263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3" s="2">
        <v>0.25</v>
      </c>
      <c r="Q263" s="2">
        <v>0.30069444444444443</v>
      </c>
      <c r="R263" s="2">
        <v>0.33958333333333335</v>
      </c>
      <c r="T263" s="57">
        <f>IF(OR(Tabela1[[#This Row],[Entrada]]="",Tabela1[[#This Row],[Saída]]=""), "", Tabela1[[#This Row],[Saída]]-Tabela1[[#This Row],[Entrada]])</f>
        <v>3.8888888888888917E-2</v>
      </c>
      <c r="U263" s="58">
        <f>IF(OR('Controle de CT'!$R263= "", 'Controle de CT'!$P263= ""), "", 'Controle de CT'!$R263-'Controle de CT'!$P263)</f>
        <v>8.9583333333333348E-2</v>
      </c>
      <c r="V263" s="1"/>
      <c r="W263" s="2"/>
      <c r="X263" s="2"/>
    </row>
    <row r="264" spans="11:24" ht="15" hidden="1" customHeight="1">
      <c r="K264" s="3">
        <v>46078</v>
      </c>
      <c r="L264" s="7" t="s">
        <v>44</v>
      </c>
      <c r="M264" s="22" t="str">
        <f>IF(Tabela1[[#This Row],[Motorista]]="","",IFERROR(_xlfn.XLOOKUP(Tabela1[[#This Row],[Motorista]],Base!A:A,Base!B:B),""))</f>
        <v>CIF</v>
      </c>
      <c r="N264" s="21" t="str">
        <f t="shared" si="5"/>
        <v>Fila de Carregamento</v>
      </c>
      <c r="O264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4" s="2">
        <v>0.25486111111111109</v>
      </c>
      <c r="Q264" s="2">
        <v>0.35347222222222224</v>
      </c>
      <c r="S264" s="2" t="s">
        <v>85</v>
      </c>
      <c r="T264" s="57" t="str">
        <f>IF(OR(Tabela1[[#This Row],[Entrada]]="",Tabela1[[#This Row],[Saída]]=""), "", Tabela1[[#This Row],[Saída]]-Tabela1[[#This Row],[Entrada]])</f>
        <v/>
      </c>
      <c r="U264" s="58" t="str">
        <f>IF(OR('Controle de CT'!$R264= "", 'Controle de CT'!$P264= ""), "", 'Controle de CT'!$R264-'Controle de CT'!$P264)</f>
        <v/>
      </c>
      <c r="V264" s="1" t="s">
        <v>148</v>
      </c>
      <c r="W264" s="2"/>
      <c r="X264" s="2"/>
    </row>
    <row r="265" spans="11:24" ht="15" hidden="1" customHeight="1">
      <c r="K265" s="3">
        <v>46078</v>
      </c>
      <c r="L265" s="7" t="s">
        <v>87</v>
      </c>
      <c r="M265" s="22" t="str">
        <f>IF(Tabela1[[#This Row],[Motorista]]="","",IFERROR(_xlfn.XLOOKUP(Tabela1[[#This Row],[Motorista]],Base!A:A,Base!B:B),""))</f>
        <v>FOB</v>
      </c>
      <c r="N265" s="21" t="str">
        <f t="shared" si="5"/>
        <v>Finalizado</v>
      </c>
      <c r="O265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5" s="2">
        <v>0.25069444444444444</v>
      </c>
      <c r="Q265" s="2">
        <v>0.32291666666666669</v>
      </c>
      <c r="R265" s="2">
        <v>0.36527777777777776</v>
      </c>
      <c r="S265" s="2" t="s">
        <v>85</v>
      </c>
      <c r="T265" s="57">
        <f>IF(OR(Tabela1[[#This Row],[Entrada]]="",Tabela1[[#This Row],[Saída]]=""), "", Tabela1[[#This Row],[Saída]]-Tabela1[[#This Row],[Entrada]])</f>
        <v>4.2361111111111072E-2</v>
      </c>
      <c r="U265" s="58">
        <f>IF(OR('Controle de CT'!$R265= "", 'Controle de CT'!$P265= ""), "", 'Controle de CT'!$R265-'Controle de CT'!$P265)</f>
        <v>0.11458333333333331</v>
      </c>
      <c r="V265" s="1"/>
      <c r="W265" s="2"/>
      <c r="X265" s="2"/>
    </row>
    <row r="266" spans="11:24" ht="15" hidden="1" customHeight="1">
      <c r="K266" s="3">
        <v>46078</v>
      </c>
      <c r="L266" s="7" t="s">
        <v>137</v>
      </c>
      <c r="M266" s="22" t="str">
        <f>IF(Tabela1[[#This Row],[Motorista]]="","",IFERROR(_xlfn.XLOOKUP(Tabela1[[#This Row],[Motorista]],Base!A:A,Base!B:B),""))</f>
        <v>RZD</v>
      </c>
      <c r="N266" s="21" t="str">
        <f t="shared" si="5"/>
        <v>Aguardando Entrada</v>
      </c>
      <c r="O266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6" s="2">
        <v>0.2590277777777778</v>
      </c>
      <c r="T266" s="57" t="str">
        <f>IF(OR(Tabela1[[#This Row],[Entrada]]="",Tabela1[[#This Row],[Saída]]=""), "", Tabela1[[#This Row],[Saída]]-Tabela1[[#This Row],[Entrada]])</f>
        <v/>
      </c>
      <c r="U266" s="58" t="str">
        <f>IF(OR('Controle de CT'!$R266= "", 'Controle de CT'!$P266= ""), "", 'Controle de CT'!$R266-'Controle de CT'!$P266)</f>
        <v/>
      </c>
      <c r="V266" s="1"/>
      <c r="W266" s="2"/>
      <c r="X266" s="2"/>
    </row>
    <row r="267" spans="11:24" ht="15" hidden="1" customHeight="1">
      <c r="K267" s="3">
        <v>46078</v>
      </c>
      <c r="L267" s="7" t="s">
        <v>123</v>
      </c>
      <c r="M267" s="22" t="str">
        <f>IF(Tabela1[[#This Row],[Motorista]]="","",IFERROR(_xlfn.XLOOKUP(Tabela1[[#This Row],[Motorista]],Base!A:A,Base!B:B),""))</f>
        <v>RZD</v>
      </c>
      <c r="N267" s="21" t="str">
        <f t="shared" si="5"/>
        <v>Fila de Carregamento</v>
      </c>
      <c r="O267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7" s="2">
        <v>0.25972222222222224</v>
      </c>
      <c r="Q267" s="2">
        <v>0.27291666666666664</v>
      </c>
      <c r="T267" s="57" t="str">
        <f>IF(OR(Tabela1[[#This Row],[Entrada]]="",Tabela1[[#This Row],[Saída]]=""), "", Tabela1[[#This Row],[Saída]]-Tabela1[[#This Row],[Entrada]])</f>
        <v/>
      </c>
      <c r="U267" s="58" t="str">
        <f>IF(OR('Controle de CT'!$R267= "", 'Controle de CT'!$P267= ""), "", 'Controle de CT'!$R267-'Controle de CT'!$P267)</f>
        <v/>
      </c>
      <c r="V267" s="1"/>
      <c r="W267" s="2"/>
      <c r="X267" s="2"/>
    </row>
    <row r="268" spans="11:24" ht="15" hidden="1" customHeight="1">
      <c r="K268" s="3">
        <v>46078</v>
      </c>
      <c r="L268" s="7" t="s">
        <v>56</v>
      </c>
      <c r="M268" s="22" t="str">
        <f>IF(Tabela1[[#This Row],[Motorista]]="","",IFERROR(_xlfn.XLOOKUP(Tabela1[[#This Row],[Motorista]],Base!A:A,Base!B:B),""))</f>
        <v/>
      </c>
      <c r="N268" s="21" t="str">
        <f t="shared" si="5"/>
        <v>Finalizado</v>
      </c>
      <c r="O268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8" s="2">
        <v>0.27361111111111114</v>
      </c>
      <c r="Q268" s="2">
        <v>0.2951388888888889</v>
      </c>
      <c r="R268" s="2">
        <v>0.33124999999999999</v>
      </c>
      <c r="T268" s="57">
        <f>IF(OR(Tabela1[[#This Row],[Entrada]]="",Tabela1[[#This Row],[Saída]]=""), "", Tabela1[[#This Row],[Saída]]-Tabela1[[#This Row],[Entrada]])</f>
        <v>3.6111111111111094E-2</v>
      </c>
      <c r="U268" s="58">
        <f>IF(OR('Controle de CT'!$R268= "", 'Controle de CT'!$P268= ""), "", 'Controle de CT'!$R268-'Controle de CT'!$P268)</f>
        <v>5.7638888888888851E-2</v>
      </c>
      <c r="V268" s="1"/>
      <c r="W268" s="2"/>
      <c r="X268" s="2"/>
    </row>
    <row r="269" spans="11:24" ht="15" hidden="1" customHeight="1">
      <c r="K269" s="3">
        <v>46078</v>
      </c>
      <c r="L269" s="7" t="s">
        <v>93</v>
      </c>
      <c r="M269" s="22" t="str">
        <f>IF(Tabela1[[#This Row],[Motorista]]="","",IFERROR(_xlfn.XLOOKUP(Tabela1[[#This Row],[Motorista]],Base!A:A,Base!B:B),""))</f>
        <v>FOB</v>
      </c>
      <c r="N269" s="21" t="str">
        <f t="shared" si="5"/>
        <v>Finalizado</v>
      </c>
      <c r="O269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69" s="2">
        <v>0.27430555555555558</v>
      </c>
      <c r="Q269" s="2" t="s">
        <v>7</v>
      </c>
      <c r="R269" s="2">
        <v>0.3923611111111111</v>
      </c>
      <c r="S269" s="2" t="s">
        <v>85</v>
      </c>
      <c r="T269" s="57" t="e">
        <f>IF(OR(Tabela1[[#This Row],[Entrada]]="",Tabela1[[#This Row],[Saída]]=""), "", Tabela1[[#This Row],[Saída]]-Tabela1[[#This Row],[Entrada]])</f>
        <v>#VALUE!</v>
      </c>
      <c r="U269" s="58">
        <f>IF(OR('Controle de CT'!$R269= "", 'Controle de CT'!$P269= ""), "", 'Controle de CT'!$R269-'Controle de CT'!$P269)</f>
        <v>0.11805555555555552</v>
      </c>
      <c r="V269" s="1"/>
      <c r="W269" s="2"/>
      <c r="X269" s="2"/>
    </row>
    <row r="270" spans="11:24" ht="15" hidden="1" customHeight="1">
      <c r="K270" s="3">
        <v>46078</v>
      </c>
      <c r="L270" s="7" t="s">
        <v>106</v>
      </c>
      <c r="M270" s="22" t="str">
        <f>IF(Tabela1[[#This Row],[Motorista]]="","",IFERROR(_xlfn.XLOOKUP(Tabela1[[#This Row],[Motorista]],Base!A:A,Base!B:B),""))</f>
        <v>FOB</v>
      </c>
      <c r="N270" s="21" t="str">
        <f t="shared" si="5"/>
        <v>Finalizado</v>
      </c>
      <c r="O270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0" s="2">
        <v>0.27986111111111112</v>
      </c>
      <c r="Q270" s="2">
        <v>0.32291666666666669</v>
      </c>
      <c r="R270" s="2">
        <v>0.36180555555555555</v>
      </c>
      <c r="T270" s="57">
        <f>IF(OR(Tabela1[[#This Row],[Entrada]]="",Tabela1[[#This Row],[Saída]]=""), "", Tabela1[[#This Row],[Saída]]-Tabela1[[#This Row],[Entrada]])</f>
        <v>3.8888888888888862E-2</v>
      </c>
      <c r="U270" s="58">
        <f>IF(OR('Controle de CT'!$R270= "", 'Controle de CT'!$P270= ""), "", 'Controle de CT'!$R270-'Controle de CT'!$P270)</f>
        <v>8.1944444444444431E-2</v>
      </c>
      <c r="V270" s="1"/>
      <c r="W270" s="2"/>
      <c r="X270" s="2"/>
    </row>
    <row r="271" spans="11:24" ht="15" hidden="1" customHeight="1">
      <c r="K271" s="3">
        <v>46078</v>
      </c>
      <c r="L271" s="7" t="s">
        <v>112</v>
      </c>
      <c r="M271" s="22" t="str">
        <f>IF(Tabela1[[#This Row],[Motorista]]="","",IFERROR(_xlfn.XLOOKUP(Tabela1[[#This Row],[Motorista]],Base!A:A,Base!B:B),""))</f>
        <v>FOB</v>
      </c>
      <c r="N271" s="21" t="str">
        <f t="shared" si="5"/>
        <v>Fila de Carregamento</v>
      </c>
      <c r="O271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1" s="2">
        <v>0.28194444444444444</v>
      </c>
      <c r="Q271" s="2">
        <v>0.37569444444444444</v>
      </c>
      <c r="S271" s="2" t="s">
        <v>85</v>
      </c>
      <c r="T271" s="57" t="str">
        <f>IF(OR(Tabela1[[#This Row],[Entrada]]="",Tabela1[[#This Row],[Saída]]=""), "", Tabela1[[#This Row],[Saída]]-Tabela1[[#This Row],[Entrada]])</f>
        <v/>
      </c>
      <c r="U271" s="58" t="str">
        <f>IF(OR('Controle de CT'!$R271= "", 'Controle de CT'!$P271= ""), "", 'Controle de CT'!$R271-'Controle de CT'!$P271)</f>
        <v/>
      </c>
      <c r="V271" s="1"/>
      <c r="W271" s="2"/>
      <c r="X271" s="2"/>
    </row>
    <row r="272" spans="11:24" ht="15" hidden="1" customHeight="1">
      <c r="K272" s="3">
        <v>46078</v>
      </c>
      <c r="L272" s="7" t="s">
        <v>111</v>
      </c>
      <c r="M272" s="22" t="str">
        <f>IF(Tabela1[[#This Row],[Motorista]]="","",IFERROR(_xlfn.XLOOKUP(Tabela1[[#This Row],[Motorista]],Base!A:A,Base!B:B),""))</f>
        <v>FOB</v>
      </c>
      <c r="N272" s="21" t="str">
        <f t="shared" si="5"/>
        <v>Fila de Carregamento</v>
      </c>
      <c r="O272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2" s="2">
        <v>0.28402777777777777</v>
      </c>
      <c r="Q272" s="2" t="s">
        <v>7</v>
      </c>
      <c r="T272" s="57" t="str">
        <f>IF(OR(Tabela1[[#This Row],[Entrada]]="",Tabela1[[#This Row],[Saída]]=""), "", Tabela1[[#This Row],[Saída]]-Tabela1[[#This Row],[Entrada]])</f>
        <v/>
      </c>
      <c r="U272" s="58" t="str">
        <f>IF(OR('Controle de CT'!$R272= "", 'Controle de CT'!$P272= ""), "", 'Controle de CT'!$R272-'Controle de CT'!$P272)</f>
        <v/>
      </c>
      <c r="V272" s="1" t="s">
        <v>149</v>
      </c>
      <c r="W272" s="2"/>
      <c r="X272" s="2"/>
    </row>
    <row r="273" spans="11:24" ht="15" hidden="1" customHeight="1">
      <c r="K273" s="3">
        <v>46078</v>
      </c>
      <c r="L273" s="7" t="s">
        <v>86</v>
      </c>
      <c r="M273" s="22" t="str">
        <f>IF(Tabela1[[#This Row],[Motorista]]="","",IFERROR(_xlfn.XLOOKUP(Tabela1[[#This Row],[Motorista]],Base!A:A,Base!B:B),""))</f>
        <v>FOB</v>
      </c>
      <c r="N273" s="21" t="str">
        <f t="shared" si="5"/>
        <v>Finalizado</v>
      </c>
      <c r="O273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3" s="2">
        <v>0.28472222222222221</v>
      </c>
      <c r="Q273" s="2" t="s">
        <v>7</v>
      </c>
      <c r="R273" s="2">
        <v>0.38194444444444442</v>
      </c>
      <c r="T273" s="57" t="e">
        <f>IF(OR(Tabela1[[#This Row],[Entrada]]="",Tabela1[[#This Row],[Saída]]=""), "", Tabela1[[#This Row],[Saída]]-Tabela1[[#This Row],[Entrada]])</f>
        <v>#VALUE!</v>
      </c>
      <c r="U273" s="58">
        <f>IF(OR('Controle de CT'!$R273= "", 'Controle de CT'!$P273= ""), "", 'Controle de CT'!$R273-'Controle de CT'!$P273)</f>
        <v>9.722222222222221E-2</v>
      </c>
      <c r="V273" s="1"/>
      <c r="W273" s="2"/>
      <c r="X273" s="2"/>
    </row>
    <row r="274" spans="11:24" ht="15" hidden="1" customHeight="1">
      <c r="K274" s="3">
        <v>46078</v>
      </c>
      <c r="L274" s="7" t="s">
        <v>90</v>
      </c>
      <c r="M274" s="22" t="str">
        <f>IF(Tabela1[[#This Row],[Motorista]]="","",IFERROR(_xlfn.XLOOKUP(Tabela1[[#This Row],[Motorista]],Base!A:A,Base!B:B),""))</f>
        <v>FOB</v>
      </c>
      <c r="N274" s="21" t="str">
        <f t="shared" si="5"/>
        <v>Finalizado</v>
      </c>
      <c r="O274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4" s="2">
        <v>0.28819444444444442</v>
      </c>
      <c r="Q274" s="2" t="s">
        <v>7</v>
      </c>
      <c r="R274" s="2">
        <v>0.39027777777777778</v>
      </c>
      <c r="T274" s="57" t="e">
        <f>IF(OR(Tabela1[[#This Row],[Entrada]]="",Tabela1[[#This Row],[Saída]]=""), "", Tabela1[[#This Row],[Saída]]-Tabela1[[#This Row],[Entrada]])</f>
        <v>#VALUE!</v>
      </c>
      <c r="U274" s="58">
        <f>IF(OR('Controle de CT'!$R274= "", 'Controle de CT'!$P274= ""), "", 'Controle de CT'!$R274-'Controle de CT'!$P274)</f>
        <v>0.10208333333333336</v>
      </c>
      <c r="V274" s="1"/>
      <c r="W274" s="2"/>
      <c r="X274" s="2"/>
    </row>
    <row r="275" spans="11:24" ht="15" hidden="1" customHeight="1">
      <c r="K275" s="3">
        <v>46078</v>
      </c>
      <c r="L275" s="7" t="s">
        <v>104</v>
      </c>
      <c r="M275" s="22" t="str">
        <f>IF(Tabela1[[#This Row],[Motorista]]="","",IFERROR(_xlfn.XLOOKUP(Tabela1[[#This Row],[Motorista]],Base!A:A,Base!B:B),""))</f>
        <v>RZD</v>
      </c>
      <c r="N275" s="21" t="str">
        <f t="shared" si="5"/>
        <v>Aguardando Entrada</v>
      </c>
      <c r="O275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5" s="2">
        <v>0.30069444444444443</v>
      </c>
      <c r="T275" s="57" t="str">
        <f>IF(OR(Tabela1[[#This Row],[Entrada]]="",Tabela1[[#This Row],[Saída]]=""), "", Tabela1[[#This Row],[Saída]]-Tabela1[[#This Row],[Entrada]])</f>
        <v/>
      </c>
      <c r="U275" s="58" t="str">
        <f>IF(OR('Controle de CT'!$R275= "", 'Controle de CT'!$P275= ""), "", 'Controle de CT'!$R275-'Controle de CT'!$P275)</f>
        <v/>
      </c>
      <c r="V275" s="1"/>
      <c r="W275" s="2"/>
      <c r="X275" s="2"/>
    </row>
    <row r="276" spans="11:24" ht="15" hidden="1" customHeight="1">
      <c r="K276" s="3">
        <v>46078</v>
      </c>
      <c r="L276" s="7" t="s">
        <v>92</v>
      </c>
      <c r="M276" s="22" t="str">
        <f>IF(Tabela1[[#This Row],[Motorista]]="","",IFERROR(_xlfn.XLOOKUP(Tabela1[[#This Row],[Motorista]],Base!A:A,Base!B:B),""))</f>
        <v>FOB</v>
      </c>
      <c r="N276" s="21" t="str">
        <f t="shared" si="5"/>
        <v>Finalizado</v>
      </c>
      <c r="O276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6" s="2">
        <v>0.33402777777777776</v>
      </c>
      <c r="Q276" s="2">
        <v>0.38333333333333336</v>
      </c>
      <c r="R276" s="2">
        <v>0.41458333333333336</v>
      </c>
      <c r="S276" s="2" t="s">
        <v>85</v>
      </c>
      <c r="T276" s="57">
        <f>IF(OR(Tabela1[[#This Row],[Entrada]]="",Tabela1[[#This Row],[Saída]]=""), "", Tabela1[[#This Row],[Saída]]-Tabela1[[#This Row],[Entrada]])</f>
        <v>3.125E-2</v>
      </c>
      <c r="U276" s="58">
        <f>IF(OR('Controle de CT'!$R276= "", 'Controle de CT'!$P276= ""), "", 'Controle de CT'!$R276-'Controle de CT'!$P276)</f>
        <v>8.0555555555555602E-2</v>
      </c>
      <c r="V276" s="1"/>
      <c r="W276" s="2"/>
      <c r="X276" s="2"/>
    </row>
    <row r="277" spans="11:24" ht="15" hidden="1" customHeight="1">
      <c r="K277" s="3">
        <v>46078</v>
      </c>
      <c r="L277" s="7" t="s">
        <v>121</v>
      </c>
      <c r="M277" s="22" t="str">
        <f>IF(Tabela1[[#This Row],[Motorista]]="","",IFERROR(_xlfn.XLOOKUP(Tabela1[[#This Row],[Motorista]],Base!A:A,Base!B:B),""))</f>
        <v>CIF</v>
      </c>
      <c r="N277" s="21" t="str">
        <f t="shared" si="5"/>
        <v>Aguardando Entrada</v>
      </c>
      <c r="O277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7" s="2">
        <v>0.39513888888888887</v>
      </c>
      <c r="T277" s="57" t="str">
        <f>IF(OR(Tabela1[[#This Row],[Entrada]]="",Tabela1[[#This Row],[Saída]]=""), "", Tabela1[[#This Row],[Saída]]-Tabela1[[#This Row],[Entrada]])</f>
        <v/>
      </c>
      <c r="U277" s="58" t="str">
        <f>IF(OR('Controle de CT'!$R277= "", 'Controle de CT'!$P277= ""), "", 'Controle de CT'!$R277-'Controle de CT'!$P277)</f>
        <v/>
      </c>
      <c r="V277" s="1"/>
      <c r="W277" s="2"/>
      <c r="X277" s="2"/>
    </row>
    <row r="278" spans="11:24" ht="15" hidden="1" customHeight="1">
      <c r="K278" s="3">
        <v>46078</v>
      </c>
      <c r="L278" s="7" t="s">
        <v>130</v>
      </c>
      <c r="M278" s="22" t="str">
        <f>IF(Tabela1[[#This Row],[Motorista]]="","",IFERROR(_xlfn.XLOOKUP(Tabela1[[#This Row],[Motorista]],Base!A:A,Base!B:B),""))</f>
        <v>RZD</v>
      </c>
      <c r="N278" s="21" t="str">
        <f t="shared" si="5"/>
        <v>Aguardando Entrada</v>
      </c>
      <c r="O278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78" s="2">
        <v>0.39374999999999999</v>
      </c>
      <c r="T278" s="57" t="str">
        <f>IF(OR(Tabela1[[#This Row],[Entrada]]="",Tabela1[[#This Row],[Saída]]=""), "", Tabela1[[#This Row],[Saída]]-Tabela1[[#This Row],[Entrada]])</f>
        <v/>
      </c>
      <c r="U278" s="58" t="str">
        <f>IF(OR('Controle de CT'!$R278= "", 'Controle de CT'!$P278= ""), "", 'Controle de CT'!$R278-'Controle de CT'!$P278)</f>
        <v/>
      </c>
      <c r="V278" s="1"/>
      <c r="W278" s="2"/>
      <c r="X278" s="2"/>
    </row>
    <row r="279" spans="11:24" ht="15" hidden="1" customHeight="1">
      <c r="K279" s="3">
        <v>46079</v>
      </c>
      <c r="L279" s="7" t="s">
        <v>45</v>
      </c>
      <c r="M279" s="22" t="str">
        <f>IF(Tabela1[[#This Row],[Motorista]]="","",IFERROR(_xlfn.XLOOKUP(Tabela1[[#This Row],[Motorista]],Base!A:A,Base!B:B),""))</f>
        <v>CIF</v>
      </c>
      <c r="N279" s="21" t="str">
        <f t="shared" si="5"/>
        <v>Finalizado</v>
      </c>
      <c r="O279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79" s="2">
        <v>0.2298611111111111</v>
      </c>
      <c r="Q279" s="2">
        <v>0.28819444444444442</v>
      </c>
      <c r="R279" s="2">
        <v>0.32916666666666666</v>
      </c>
      <c r="T279" s="57">
        <f>IF(OR(Tabela1[[#This Row],[Entrada]]="",Tabela1[[#This Row],[Saída]]=""), "", Tabela1[[#This Row],[Saída]]-Tabela1[[#This Row],[Entrada]])</f>
        <v>4.0972222222222243E-2</v>
      </c>
      <c r="U279" s="58">
        <f>IF(OR('Controle de CT'!$R284= "", 'Controle de CT'!$P284= ""), "", 'Controle de CT'!$R284-'Controle de CT'!$P284)</f>
        <v>7.9166666666666663E-2</v>
      </c>
      <c r="V279" s="1"/>
      <c r="W279" s="2"/>
      <c r="X279" s="2"/>
    </row>
    <row r="280" spans="11:24" ht="15" hidden="1" customHeight="1">
      <c r="K280" s="3">
        <v>46079</v>
      </c>
      <c r="L280" s="7" t="s">
        <v>90</v>
      </c>
      <c r="M280" s="22" t="str">
        <f>IF(Tabela1[[#This Row],[Motorista]]="","",IFERROR(_xlfn.XLOOKUP(Tabela1[[#This Row],[Motorista]],Base!A:A,Base!B:B),""))</f>
        <v>FOB</v>
      </c>
      <c r="N280" s="21" t="str">
        <f t="shared" si="5"/>
        <v>Aguardando Entrada</v>
      </c>
      <c r="O280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80" s="2">
        <v>0.2388888888888889</v>
      </c>
      <c r="T280" s="57" t="str">
        <f>IF(OR(Tabela1[[#This Row],[Entrada]]="",Tabela1[[#This Row],[Saída]]=""), "", Tabela1[[#This Row],[Saída]]-Tabela1[[#This Row],[Entrada]])</f>
        <v/>
      </c>
      <c r="U280" s="58">
        <f>IF(OR('Controle de CT'!$R283= "", 'Controle de CT'!$P283= ""), "", 'Controle de CT'!$R283-'Controle de CT'!$P283)</f>
        <v>8.0555555555555547E-2</v>
      </c>
      <c r="V280" s="1"/>
      <c r="W280" s="2"/>
      <c r="X280" s="2"/>
    </row>
    <row r="281" spans="11:24" ht="15" hidden="1" customHeight="1">
      <c r="K281" s="3">
        <v>46079</v>
      </c>
      <c r="L281" s="7" t="s">
        <v>46</v>
      </c>
      <c r="M281" s="22" t="str">
        <f>IF(Tabela1[[#This Row],[Motorista]]="","",IFERROR(_xlfn.XLOOKUP(Tabela1[[#This Row],[Motorista]],Base!A:A,Base!B:B),""))</f>
        <v>CIF</v>
      </c>
      <c r="N281" s="21" t="str">
        <f t="shared" si="5"/>
        <v>Finalizado</v>
      </c>
      <c r="O281" s="22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1" s="2">
        <v>0.25069444444444444</v>
      </c>
      <c r="Q281" s="2">
        <v>0.29444444444444445</v>
      </c>
      <c r="R281" s="2">
        <v>0.35138888888888886</v>
      </c>
      <c r="T281" s="57">
        <f>IF(OR(Tabela1[[#This Row],[Entrada]]="",Tabela1[[#This Row],[Saída]]=""), "", Tabela1[[#This Row],[Saída]]-Tabela1[[#This Row],[Entrada]])</f>
        <v>5.6944444444444409E-2</v>
      </c>
      <c r="U281" s="58">
        <f>IF(OR('Controle de CT'!$R279= "", 'Controle de CT'!$P279= ""), "", 'Controle de CT'!$R279-'Controle de CT'!$P279)</f>
        <v>9.9305555555555564E-2</v>
      </c>
      <c r="V281" s="1"/>
      <c r="W281" s="2"/>
      <c r="X281" s="2"/>
    </row>
    <row r="282" spans="11:24" ht="15" hidden="1" customHeight="1">
      <c r="K282" s="3">
        <v>46079</v>
      </c>
      <c r="L282" s="8" t="s">
        <v>150</v>
      </c>
      <c r="M282" s="9" t="str">
        <f>IF(Tabela1[[#This Row],[Motorista]]="","",IFERROR(_xlfn.XLOOKUP(Tabela1[[#This Row],[Motorista]],Base!A:A,Base!B:B),""))</f>
        <v>Transferência</v>
      </c>
      <c r="N282" s="20" t="str">
        <f t="shared" si="5"/>
        <v>Finalizado</v>
      </c>
      <c r="O2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2" s="4">
        <v>0.25486111111111109</v>
      </c>
      <c r="Q282" s="4">
        <v>0.30416666666666664</v>
      </c>
      <c r="R282" s="2">
        <v>0.41041666666666665</v>
      </c>
      <c r="S282" s="2" t="s">
        <v>85</v>
      </c>
      <c r="T282" s="57">
        <f>IF(OR(Tabela1[[#This Row],[Entrada]]="",Tabela1[[#This Row],[Saída]]=""), "", Tabela1[[#This Row],[Saída]]-Tabela1[[#This Row],[Entrada]])</f>
        <v>0.10625000000000001</v>
      </c>
      <c r="U282" s="58">
        <f>IF(OR('Controle de CT'!$R285= "", 'Controle de CT'!$P285= ""), "", 'Controle de CT'!$R285-'Controle de CT'!$P285)</f>
        <v>0.10347222222222219</v>
      </c>
      <c r="V282" s="1"/>
      <c r="W282" s="2"/>
      <c r="X282" s="2"/>
    </row>
    <row r="283" spans="11:24" ht="15" hidden="1" customHeight="1">
      <c r="K283" s="3">
        <v>46079</v>
      </c>
      <c r="L283" s="8" t="s">
        <v>52</v>
      </c>
      <c r="M283" s="9" t="str">
        <f>IF(Tabela1[[#This Row],[Motorista]]="","",IFERROR(_xlfn.XLOOKUP(Tabela1[[#This Row],[Motorista]],Base!A:A,Base!B:B),""))</f>
        <v>CIF</v>
      </c>
      <c r="N283" s="20" t="str">
        <f t="shared" si="5"/>
        <v>Finalizado</v>
      </c>
      <c r="O2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3" s="2">
        <v>0.25833333333333336</v>
      </c>
      <c r="Q283" s="2">
        <v>0.29236111111111113</v>
      </c>
      <c r="R283" s="2">
        <v>0.33888888888888891</v>
      </c>
      <c r="T283" s="57">
        <f>IF(OR(Tabela1[[#This Row],[Entrada]]="",Tabela1[[#This Row],[Saída]]=""), "", Tabela1[[#This Row],[Saída]]-Tabela1[[#This Row],[Entrada]])</f>
        <v>4.6527777777777779E-2</v>
      </c>
      <c r="U283" s="58" t="str">
        <f>IF(OR('Controle de CT'!$R280= "", 'Controle de CT'!$P280= ""), "", 'Controle de CT'!$R280-'Controle de CT'!$P280)</f>
        <v/>
      </c>
      <c r="V283" s="1"/>
      <c r="W283" s="2"/>
      <c r="X283" s="2"/>
    </row>
    <row r="284" spans="11:24" ht="15" hidden="1" customHeight="1">
      <c r="K284" s="3">
        <v>46079</v>
      </c>
      <c r="L284" s="8" t="s">
        <v>57</v>
      </c>
      <c r="M284" s="9" t="str">
        <f>IF(Tabela1[[#This Row],[Motorista]]="","",IFERROR(_xlfn.XLOOKUP(Tabela1[[#This Row],[Motorista]],Base!A:A,Base!B:B),""))</f>
        <v>CIF</v>
      </c>
      <c r="N284" s="20" t="str">
        <f t="shared" si="5"/>
        <v>Finalizado</v>
      </c>
      <c r="O2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4" s="2">
        <v>0.2590277777777778</v>
      </c>
      <c r="Q284" s="2">
        <v>0.2951388888888889</v>
      </c>
      <c r="R284" s="2">
        <v>0.33819444444444446</v>
      </c>
      <c r="T284" s="57">
        <f>IF(OR(Tabela1[[#This Row],[Entrada]]="",Tabela1[[#This Row],[Saída]]=""), "", Tabela1[[#This Row],[Saída]]-Tabela1[[#This Row],[Entrada]])</f>
        <v>4.3055555555555569E-2</v>
      </c>
      <c r="U284" s="58">
        <f>IF(OR('Controle de CT'!$R281= "", 'Controle de CT'!$P281= ""), "", 'Controle de CT'!$R281-'Controle de CT'!$P281)</f>
        <v>0.10069444444444442</v>
      </c>
      <c r="V284" s="1"/>
      <c r="W284" s="2"/>
      <c r="X284" s="2"/>
    </row>
    <row r="285" spans="11:24" ht="15" hidden="1" customHeight="1">
      <c r="K285" s="3">
        <v>46079</v>
      </c>
      <c r="L285" s="8" t="s">
        <v>56</v>
      </c>
      <c r="M285" s="9" t="str">
        <f>IF(Tabela1[[#This Row],[Motorista]]="","",IFERROR(_xlfn.XLOOKUP(Tabela1[[#This Row],[Motorista]],Base!A:A,Base!B:B),""))</f>
        <v/>
      </c>
      <c r="N285" s="20" t="str">
        <f t="shared" si="5"/>
        <v>Finalizado</v>
      </c>
      <c r="O2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5" s="2">
        <v>0.26111111111111113</v>
      </c>
      <c r="Q285" s="2">
        <v>0.2986111111111111</v>
      </c>
      <c r="R285" s="2">
        <v>0.36458333333333331</v>
      </c>
      <c r="T285" s="57">
        <f>IF(OR(Tabela1[[#This Row],[Entrada]]="",Tabela1[[#This Row],[Saída]]=""), "", Tabela1[[#This Row],[Saída]]-Tabela1[[#This Row],[Entrada]])</f>
        <v>6.597222222222221E-2</v>
      </c>
      <c r="U285" s="58">
        <f>IF(OR('Controle de CT'!$R282= "", 'Controle de CT'!$P282= ""), "", 'Controle de CT'!$R282-'Controle de CT'!$P282)</f>
        <v>0.15555555555555556</v>
      </c>
      <c r="V285" s="1"/>
      <c r="W285" s="2"/>
      <c r="X285" s="2"/>
    </row>
    <row r="286" spans="11:24" ht="15" hidden="1" customHeight="1">
      <c r="K286" s="3">
        <v>46079</v>
      </c>
      <c r="L286" s="8" t="s">
        <v>104</v>
      </c>
      <c r="M286" s="9" t="str">
        <f>IF(Tabela1[[#This Row],[Motorista]]="","",IFERROR(_xlfn.XLOOKUP(Tabela1[[#This Row],[Motorista]],Base!A:A,Base!B:B),""))</f>
        <v>RZD</v>
      </c>
      <c r="N286" s="20" t="str">
        <f t="shared" si="5"/>
        <v>Aguardando Entrada</v>
      </c>
      <c r="O2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6" s="2">
        <v>0.26250000000000001</v>
      </c>
      <c r="T286" s="57" t="str">
        <f>IF(OR(Tabela1[[#This Row],[Entrada]]="",Tabela1[[#This Row],[Saída]]=""), "", Tabela1[[#This Row],[Saída]]-Tabela1[[#This Row],[Entrada]])</f>
        <v/>
      </c>
      <c r="U286" s="58" t="str">
        <f>IF(OR('Controle de CT'!$R286= "", 'Controle de CT'!$P286= ""), "", 'Controle de CT'!$R286-'Controle de CT'!$P286)</f>
        <v/>
      </c>
      <c r="V286" s="1"/>
      <c r="W286" s="2"/>
      <c r="X286" s="2"/>
    </row>
    <row r="287" spans="11:24" ht="15" hidden="1" customHeight="1">
      <c r="K287" s="3">
        <v>46079</v>
      </c>
      <c r="L287" s="8" t="s">
        <v>111</v>
      </c>
      <c r="M287" s="9" t="str">
        <f>IF(Tabela1[[#This Row],[Motorista]]="","",IFERROR(_xlfn.XLOOKUP(Tabela1[[#This Row],[Motorista]],Base!A:A,Base!B:B),""))</f>
        <v>FOB</v>
      </c>
      <c r="N287" s="20" t="str">
        <f t="shared" si="5"/>
        <v>Aguardando Entrada</v>
      </c>
      <c r="O2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87" s="2">
        <v>0.27569444444444446</v>
      </c>
      <c r="T287" s="57" t="str">
        <f>IF(OR(Tabela1[[#This Row],[Entrada]]="",Tabela1[[#This Row],[Saída]]=""), "", Tabela1[[#This Row],[Saída]]-Tabela1[[#This Row],[Entrada]])</f>
        <v/>
      </c>
      <c r="U287" s="58" t="str">
        <f>IF(OR('Controle de CT'!$R287= "", 'Controle de CT'!$P287= ""), "", 'Controle de CT'!$R287-'Controle de CT'!$P287)</f>
        <v/>
      </c>
      <c r="V287" s="1"/>
      <c r="W287" s="2"/>
      <c r="X287" s="2"/>
    </row>
    <row r="288" spans="11:24" ht="15" hidden="1" customHeight="1">
      <c r="K288" s="3">
        <v>46079</v>
      </c>
      <c r="L288" s="8" t="s">
        <v>151</v>
      </c>
      <c r="M288" s="9" t="str">
        <f>IF(Tabela1[[#This Row],[Motorista]]="","",IFERROR(_xlfn.XLOOKUP(Tabela1[[#This Row],[Motorista]],Base!A:A,Base!B:B),""))</f>
        <v>RZD</v>
      </c>
      <c r="N288" s="20" t="str">
        <f t="shared" si="5"/>
        <v>Fila de Carregamento</v>
      </c>
      <c r="O2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288" s="2">
        <v>0.29166666666666669</v>
      </c>
      <c r="T288" s="57" t="str">
        <f>IF(OR(Tabela1[[#This Row],[Entrada]]="",Tabela1[[#This Row],[Saída]]=""), "", Tabela1[[#This Row],[Saída]]-Tabela1[[#This Row],[Entrada]])</f>
        <v/>
      </c>
      <c r="U288" s="58" t="str">
        <f>IF(OR('Controle de CT'!$R288= "", 'Controle de CT'!$P288= ""), "", 'Controle de CT'!$R288-'Controle de CT'!$P288)</f>
        <v/>
      </c>
      <c r="V288" s="1"/>
      <c r="W288" s="2"/>
      <c r="X288" s="2"/>
    </row>
    <row r="289" spans="11:24" ht="15" hidden="1" customHeight="1">
      <c r="K289" s="3">
        <v>46079</v>
      </c>
      <c r="L289" s="8" t="s">
        <v>45</v>
      </c>
      <c r="M289" s="9" t="str">
        <f>IF(Tabela1[[#This Row],[Motorista]]="","",IFERROR(_xlfn.XLOOKUP(Tabela1[[#This Row],[Motorista]],Base!A:A,Base!B:B),""))</f>
        <v>CIF</v>
      </c>
      <c r="N289" s="20" t="str">
        <f t="shared" si="5"/>
        <v>Fila de Carregamento</v>
      </c>
      <c r="O2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89" s="2">
        <v>0.39930555555555558</v>
      </c>
      <c r="Q289" s="2">
        <v>0.4</v>
      </c>
      <c r="S289" s="2" t="s">
        <v>85</v>
      </c>
      <c r="T289" s="57" t="str">
        <f>IF(OR(Tabela1[[#This Row],[Entrada]]="",Tabela1[[#This Row],[Saída]]=""), "", Tabela1[[#This Row],[Saída]]-Tabela1[[#This Row],[Entrada]])</f>
        <v/>
      </c>
      <c r="U289" s="58" t="str">
        <f>IF(OR('Controle de CT'!$R289= "", 'Controle de CT'!$P289= ""), "", 'Controle de CT'!$R289-'Controle de CT'!$P289)</f>
        <v/>
      </c>
      <c r="V289" s="1"/>
      <c r="W289" s="2"/>
      <c r="X289" s="2"/>
    </row>
    <row r="290" spans="11:24" ht="15" hidden="1" customHeight="1">
      <c r="K290" s="3">
        <v>46079</v>
      </c>
      <c r="L290" s="8" t="s">
        <v>101</v>
      </c>
      <c r="M290" s="9" t="str">
        <f>IF(Tabela1[[#This Row],[Motorista]]="","",IFERROR(_xlfn.XLOOKUP(Tabela1[[#This Row],[Motorista]],Base!A:A,Base!B:B),""))</f>
        <v>FOB</v>
      </c>
      <c r="N290" s="20" t="str">
        <f t="shared" si="5"/>
        <v>Fila de Carregamento</v>
      </c>
      <c r="O2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0" s="2">
        <v>0.40208333333333335</v>
      </c>
      <c r="Q290" s="2">
        <v>0.41666666666666669</v>
      </c>
      <c r="S290" s="2" t="s">
        <v>85</v>
      </c>
      <c r="T290" s="57" t="str">
        <f>IF(OR(Tabela1[[#This Row],[Entrada]]="",Tabela1[[#This Row],[Saída]]=""), "", Tabela1[[#This Row],[Saída]]-Tabela1[[#This Row],[Entrada]])</f>
        <v/>
      </c>
      <c r="U290" s="58" t="str">
        <f>IF(OR('Controle de CT'!$R290= "", 'Controle de CT'!$P290= ""), "", 'Controle de CT'!$R290-'Controle de CT'!$P290)</f>
        <v/>
      </c>
      <c r="V290" s="1"/>
      <c r="W290" s="2"/>
      <c r="X290" s="2"/>
    </row>
    <row r="291" spans="11:24" ht="15" hidden="1" customHeight="1">
      <c r="K291" s="3">
        <v>46079</v>
      </c>
      <c r="L291" s="8" t="s">
        <v>58</v>
      </c>
      <c r="M291" s="9" t="str">
        <f>IF(Tabela1[[#This Row],[Motorista]]="","",IFERROR(_xlfn.XLOOKUP(Tabela1[[#This Row],[Motorista]],Base!A:A,Base!B:B),""))</f>
        <v xml:space="preserve">CIF </v>
      </c>
      <c r="N291" s="20" t="str">
        <f t="shared" si="5"/>
        <v>Fila de Carregamento</v>
      </c>
      <c r="O2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1" s="2">
        <v>0.43472222222222223</v>
      </c>
      <c r="Q291" s="2">
        <v>0.44374999999999998</v>
      </c>
      <c r="S291" s="2" t="s">
        <v>97</v>
      </c>
      <c r="T291" s="57" t="str">
        <f>IF(OR(Tabela1[[#This Row],[Entrada]]="",Tabela1[[#This Row],[Saída]]=""), "", Tabela1[[#This Row],[Saída]]-Tabela1[[#This Row],[Entrada]])</f>
        <v/>
      </c>
      <c r="U291" s="58" t="str">
        <f>IF(OR('Controle de CT'!$R291= "", 'Controle de CT'!$P291= ""), "", 'Controle de CT'!$R291-'Controle de CT'!$P291)</f>
        <v/>
      </c>
      <c r="V291" s="1"/>
      <c r="W291" s="2"/>
      <c r="X291" s="2"/>
    </row>
    <row r="292" spans="11:24" ht="15" hidden="1" customHeight="1">
      <c r="K292" s="3">
        <v>46079</v>
      </c>
      <c r="L292" s="8" t="s">
        <v>123</v>
      </c>
      <c r="M292" s="9" t="str">
        <f>IF(Tabela1[[#This Row],[Motorista]]="","",IFERROR(_xlfn.XLOOKUP(Tabela1[[#This Row],[Motorista]],Base!A:A,Base!B:B),""))</f>
        <v>RZD</v>
      </c>
      <c r="N292" s="20" t="str">
        <f t="shared" si="5"/>
        <v>Aguardando Entrada</v>
      </c>
      <c r="O2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2" s="2">
        <v>0.44513888888888886</v>
      </c>
      <c r="T292" s="57" t="str">
        <f>IF(OR(Tabela1[[#This Row],[Entrada]]="",Tabela1[[#This Row],[Saída]]=""), "", Tabela1[[#This Row],[Saída]]-Tabela1[[#This Row],[Entrada]])</f>
        <v/>
      </c>
      <c r="U292" s="58" t="str">
        <f>IF(OR('Controle de CT'!$R292= "", 'Controle de CT'!$P292= ""), "", 'Controle de CT'!$R292-'Controle de CT'!$P292)</f>
        <v/>
      </c>
      <c r="V292" s="1"/>
      <c r="W292" s="2"/>
      <c r="X292" s="2"/>
    </row>
    <row r="293" spans="11:24" ht="15" hidden="1" customHeight="1">
      <c r="K293" s="3">
        <v>46079</v>
      </c>
      <c r="L293" s="8" t="s">
        <v>152</v>
      </c>
      <c r="M293" s="9" t="str">
        <f>IF(Tabela1[[#This Row],[Motorista]]="","",IFERROR(_xlfn.XLOOKUP(Tabela1[[#This Row],[Motorista]],Base!A:A,Base!B:B),""))</f>
        <v>RZD</v>
      </c>
      <c r="N293" s="20" t="str">
        <f t="shared" si="5"/>
        <v>Aguardando Entrada</v>
      </c>
      <c r="O2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3" s="2">
        <v>0.44583333333333336</v>
      </c>
      <c r="T293" s="57" t="str">
        <f>IF(OR(Tabela1[[#This Row],[Entrada]]="",Tabela1[[#This Row],[Saída]]=""), "", Tabela1[[#This Row],[Saída]]-Tabela1[[#This Row],[Entrada]])</f>
        <v/>
      </c>
      <c r="U293" s="58" t="str">
        <f>IF(OR('Controle de CT'!$R293= "", 'Controle de CT'!$P293= ""), "", 'Controle de CT'!$R293-'Controle de CT'!$P293)</f>
        <v/>
      </c>
      <c r="V293" s="1"/>
      <c r="W293" s="2"/>
      <c r="X293" s="2"/>
    </row>
    <row r="294" spans="11:24" ht="15" hidden="1" customHeight="1">
      <c r="K294" s="3">
        <v>46079</v>
      </c>
      <c r="L294" s="8" t="s">
        <v>90</v>
      </c>
      <c r="M294" s="9" t="str">
        <f>IF(Tabela1[[#This Row],[Motorista]]="","",IFERROR(_xlfn.XLOOKUP(Tabela1[[#This Row],[Motorista]],Base!A:A,Base!B:B),""))</f>
        <v>FOB</v>
      </c>
      <c r="N294" s="20" t="str">
        <f t="shared" si="5"/>
        <v>Aguardando Entrada</v>
      </c>
      <c r="O2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94" s="2">
        <v>0.45069444444444445</v>
      </c>
      <c r="T294" s="57" t="str">
        <f>IF(OR(Tabela1[[#This Row],[Entrada]]="",Tabela1[[#This Row],[Saída]]=""), "", Tabela1[[#This Row],[Saída]]-Tabela1[[#This Row],[Entrada]])</f>
        <v/>
      </c>
      <c r="U294" s="58" t="str">
        <f>IF(OR('Controle de CT'!$R294= "", 'Controle de CT'!$P294= ""), "", 'Controle de CT'!$R294-'Controle de CT'!$P294)</f>
        <v/>
      </c>
      <c r="V294" s="1"/>
      <c r="W294" s="2"/>
      <c r="X294" s="2"/>
    </row>
    <row r="295" spans="11:24" ht="15" hidden="1" customHeight="1">
      <c r="K295" s="3">
        <v>46079</v>
      </c>
      <c r="L295" s="8" t="s">
        <v>153</v>
      </c>
      <c r="M295" s="9" t="str">
        <f>IF(Tabela1[[#This Row],[Motorista]]="","",IFERROR(_xlfn.XLOOKUP(Tabela1[[#This Row],[Motorista]],Base!A:A,Base!B:B),""))</f>
        <v>FOB</v>
      </c>
      <c r="N295" s="20" t="str">
        <f t="shared" si="5"/>
        <v>Aguardando Entrada</v>
      </c>
      <c r="O2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5" s="2">
        <v>0.64583333333333337</v>
      </c>
      <c r="T295" s="57" t="str">
        <f>IF(OR(Tabela1[[#This Row],[Entrada]]="",Tabela1[[#This Row],[Saída]]=""), "", Tabela1[[#This Row],[Saída]]-Tabela1[[#This Row],[Entrada]])</f>
        <v/>
      </c>
      <c r="U295" s="58" t="str">
        <f>IF(OR('Controle de CT'!$R295= "", 'Controle de CT'!$P295= ""), "", 'Controle de CT'!$R295-'Controle de CT'!$P295)</f>
        <v/>
      </c>
      <c r="V295" s="1"/>
      <c r="W295" s="2"/>
      <c r="X295" s="2"/>
    </row>
    <row r="296" spans="11:24" ht="15" hidden="1" customHeight="1">
      <c r="K296" s="3">
        <v>46079</v>
      </c>
      <c r="L296" s="8" t="s">
        <v>117</v>
      </c>
      <c r="M296" s="9" t="str">
        <f>IF(Tabela1[[#This Row],[Motorista]]="","",IFERROR(_xlfn.XLOOKUP(Tabela1[[#This Row],[Motorista]],Base!A:A,Base!B:B),""))</f>
        <v>FOB</v>
      </c>
      <c r="N296" s="20" t="str">
        <f t="shared" ref="N296:N334" si="6">IF(R296&lt;&gt;"","Finalizado", IF(Q296&lt;&gt;"","Fila de Carregamento", IF(P296&lt;&gt;"","Aguardando Entrada","")))</f>
        <v/>
      </c>
      <c r="O2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T296" s="57" t="str">
        <f>IF(OR(Tabela1[[#This Row],[Entrada]]="",Tabela1[[#This Row],[Saída]]=""), "", Tabela1[[#This Row],[Saída]]-Tabela1[[#This Row],[Entrada]])</f>
        <v/>
      </c>
      <c r="U296" s="58" t="str">
        <f>IF(OR('Controle de CT'!$R296= "", 'Controle de CT'!$P296= ""), "", 'Controle de CT'!$R296-'Controle de CT'!$P296)</f>
        <v/>
      </c>
      <c r="V296" s="1"/>
      <c r="W296" s="2"/>
      <c r="X296" s="2"/>
    </row>
    <row r="297" spans="11:24" ht="15" hidden="1" customHeight="1">
      <c r="K297" s="5">
        <v>46080</v>
      </c>
      <c r="L297" s="8" t="s">
        <v>45</v>
      </c>
      <c r="M297" s="9" t="str">
        <f>IF(Tabela1[[#This Row],[Motorista]]="","",IFERROR(_xlfn.XLOOKUP(Tabela1[[#This Row],[Motorista]],Base!A:A,Base!B:B),""))</f>
        <v>CIF</v>
      </c>
      <c r="N297" s="20" t="str">
        <f t="shared" si="6"/>
        <v>Finalizado</v>
      </c>
      <c r="O2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7" s="4">
        <v>0.22361111111111112</v>
      </c>
      <c r="Q297" s="4">
        <v>0.31527777777777777</v>
      </c>
      <c r="R297" s="2">
        <v>0.3840277777777778</v>
      </c>
      <c r="S297" s="2" t="s">
        <v>85</v>
      </c>
      <c r="T297" s="14">
        <f>IF(OR(Tabela1[[#This Row],[Entrada]]="",Tabela1[[#This Row],[Saída]]=""), "", Tabela1[[#This Row],[Saída]]-Tabela1[[#This Row],[Entrada]])</f>
        <v>6.8750000000000033E-2</v>
      </c>
      <c r="U297" s="15">
        <f>IF(OR('Controle de CT'!$R297= "", 'Controle de CT'!$P297= ""), "", 'Controle de CT'!$R297-'Controle de CT'!$P297)</f>
        <v>0.16041666666666668</v>
      </c>
      <c r="V297" s="1"/>
      <c r="W297" s="2"/>
      <c r="X297" s="2"/>
    </row>
    <row r="298" spans="11:24" ht="15" hidden="1" customHeight="1">
      <c r="K298" s="5">
        <v>46080</v>
      </c>
      <c r="L298" s="8" t="s">
        <v>86</v>
      </c>
      <c r="M298" s="9" t="str">
        <f>IF(Tabela1[[#This Row],[Motorista]]="","",IFERROR(_xlfn.XLOOKUP(Tabela1[[#This Row],[Motorista]],Base!A:A,Base!B:B),""))</f>
        <v>FOB</v>
      </c>
      <c r="N298" s="20" t="str">
        <f t="shared" si="6"/>
        <v>Finalizado</v>
      </c>
      <c r="O2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8" s="2">
        <v>0.22500000000000001</v>
      </c>
      <c r="Q298" s="2">
        <v>0.3034722222222222</v>
      </c>
      <c r="R298" s="2">
        <v>0.37986111111111109</v>
      </c>
      <c r="S298" s="2" t="s">
        <v>85</v>
      </c>
      <c r="T298" s="14">
        <f>IF(OR(Tabela1[[#This Row],[Entrada]]="",Tabela1[[#This Row],[Saída]]=""), "", Tabela1[[#This Row],[Saída]]-Tabela1[[#This Row],[Entrada]])</f>
        <v>7.6388888888888895E-2</v>
      </c>
      <c r="U298" s="15">
        <f>IF(OR('Controle de CT'!$R298= "", 'Controle de CT'!$P298= ""), "", 'Controle de CT'!$R298-'Controle de CT'!$P298)</f>
        <v>0.15486111111111109</v>
      </c>
      <c r="V298" s="1"/>
      <c r="W298" s="2"/>
      <c r="X298" s="2"/>
    </row>
    <row r="299" spans="11:24" ht="15" hidden="1" customHeight="1">
      <c r="K299" s="5">
        <v>46080</v>
      </c>
      <c r="L299" s="8" t="s">
        <v>101</v>
      </c>
      <c r="M299" s="9" t="str">
        <f>IF(Tabela1[[#This Row],[Motorista]]="","",IFERROR(_xlfn.XLOOKUP(Tabela1[[#This Row],[Motorista]],Base!A:A,Base!B:B),""))</f>
        <v>FOB</v>
      </c>
      <c r="N299" s="20" t="str">
        <f t="shared" si="6"/>
        <v>Finalizado</v>
      </c>
      <c r="O2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99" s="2">
        <v>0.22569444444444445</v>
      </c>
      <c r="Q299" s="2">
        <v>0.375</v>
      </c>
      <c r="R299" s="2">
        <v>0.44791666666666669</v>
      </c>
      <c r="S299" s="2" t="s">
        <v>85</v>
      </c>
      <c r="T299" s="14">
        <f>IF(OR(Tabela1[[#This Row],[Entrada]]="",Tabela1[[#This Row],[Saída]]=""), "", Tabela1[[#This Row],[Saída]]-Tabela1[[#This Row],[Entrada]])</f>
        <v>7.2916666666666685E-2</v>
      </c>
      <c r="U299" s="15">
        <f>IF(OR('Controle de CT'!$R299= "", 'Controle de CT'!$P299= ""), "", 'Controle de CT'!$R299-'Controle de CT'!$P299)</f>
        <v>0.22222222222222224</v>
      </c>
      <c r="V299" s="1"/>
      <c r="W299" s="2"/>
      <c r="X299" s="2"/>
    </row>
    <row r="300" spans="11:24" ht="15" hidden="1" customHeight="1">
      <c r="K300" s="5">
        <v>46080</v>
      </c>
      <c r="L300" s="8" t="s">
        <v>154</v>
      </c>
      <c r="M300" s="9" t="str">
        <f>IF(Tabela1[[#This Row],[Motorista]]="","",IFERROR(_xlfn.XLOOKUP(Tabela1[[#This Row],[Motorista]],Base!A:A,Base!B:B),""))</f>
        <v>FOB</v>
      </c>
      <c r="N300" s="20" t="str">
        <f t="shared" si="6"/>
        <v>Finalizado</v>
      </c>
      <c r="O3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00" s="2">
        <v>0.22777777777777777</v>
      </c>
      <c r="Q300" s="2">
        <v>0.31666666666666665</v>
      </c>
      <c r="R300" s="2">
        <v>0.41666666666666669</v>
      </c>
      <c r="S300" s="2" t="s">
        <v>85</v>
      </c>
      <c r="T300" s="14">
        <f>IF(OR(Tabela1[[#This Row],[Entrada]]="",Tabela1[[#This Row],[Saída]]=""), "", Tabela1[[#This Row],[Saída]]-Tabela1[[#This Row],[Entrada]])</f>
        <v>0.10000000000000003</v>
      </c>
      <c r="U300" s="15">
        <f>IF(OR('Controle de CT'!$R300= "", 'Controle de CT'!$P300= ""), "", 'Controle de CT'!$R300-'Controle de CT'!$P300)</f>
        <v>0.18888888888888891</v>
      </c>
      <c r="V300" s="1"/>
      <c r="W300" s="2"/>
      <c r="X300" s="2"/>
    </row>
    <row r="301" spans="11:24" ht="15" hidden="1" customHeight="1">
      <c r="K301" s="5">
        <v>46080</v>
      </c>
      <c r="L301" s="8" t="s">
        <v>89</v>
      </c>
      <c r="M301" s="9" t="str">
        <f>IF(Tabela1[[#This Row],[Motorista]]="","",IFERROR(_xlfn.XLOOKUP(Tabela1[[#This Row],[Motorista]],Base!A:A,Base!B:B),""))</f>
        <v>FOB</v>
      </c>
      <c r="N301" s="20" t="str">
        <f t="shared" si="6"/>
        <v>Finalizado</v>
      </c>
      <c r="O3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1" s="2">
        <v>0.23333333333333334</v>
      </c>
      <c r="Q301" s="2">
        <v>0.31319444444444444</v>
      </c>
      <c r="R301" s="2">
        <v>0.37013888888888891</v>
      </c>
      <c r="S301" s="2" t="s">
        <v>85</v>
      </c>
      <c r="T301" s="14">
        <f>IF(OR(Tabela1[[#This Row],[Entrada]]="",Tabela1[[#This Row],[Saída]]=""), "", Tabela1[[#This Row],[Saída]]-Tabela1[[#This Row],[Entrada]])</f>
        <v>5.6944444444444464E-2</v>
      </c>
      <c r="U301" s="15">
        <f>IF(OR('Controle de CT'!$R302= "", 'Controle de CT'!$P302= ""), "", 'Controle de CT'!$R302-'Controle de CT'!$P302)</f>
        <v>0.16944444444444445</v>
      </c>
      <c r="V301" s="1"/>
      <c r="W301" s="2"/>
      <c r="X301" s="2"/>
    </row>
    <row r="302" spans="11:24" ht="15" hidden="1" customHeight="1">
      <c r="K302" s="5">
        <v>46080</v>
      </c>
      <c r="L302" s="8" t="s">
        <v>90</v>
      </c>
      <c r="M302" s="9" t="str">
        <f>IF(Tabela1[[#This Row],[Motorista]]="","",IFERROR(_xlfn.XLOOKUP(Tabela1[[#This Row],[Motorista]],Base!A:A,Base!B:B),""))</f>
        <v>FOB</v>
      </c>
      <c r="N302" s="20" t="str">
        <f t="shared" si="6"/>
        <v>Finalizado</v>
      </c>
      <c r="O3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2" s="2">
        <v>0.23680555555555555</v>
      </c>
      <c r="Q302" s="2">
        <v>0.37291666666666667</v>
      </c>
      <c r="R302" s="2">
        <v>0.40625</v>
      </c>
      <c r="S302" s="2" t="s">
        <v>85</v>
      </c>
      <c r="T302" s="14">
        <f>IF(OR(Tabela1[[#This Row],[Entrada]]="",Tabela1[[#This Row],[Saída]]=""), "", Tabela1[[#This Row],[Saída]]-Tabela1[[#This Row],[Entrada]])</f>
        <v>3.3333333333333326E-2</v>
      </c>
      <c r="U302" s="15">
        <f>IF(OR('Controle de CT'!$R301= "", 'Controle de CT'!$P301= ""), "", 'Controle de CT'!$R301-'Controle de CT'!$P301)</f>
        <v>0.13680555555555557</v>
      </c>
      <c r="V302" s="1"/>
      <c r="W302" s="2"/>
      <c r="X302" s="2"/>
    </row>
    <row r="303" spans="11:24" ht="15" hidden="1" customHeight="1">
      <c r="K303" s="5">
        <v>46080</v>
      </c>
      <c r="L303" s="8" t="s">
        <v>57</v>
      </c>
      <c r="M303" s="9" t="str">
        <f>IF(Tabela1[[#This Row],[Motorista]]="","",IFERROR(_xlfn.XLOOKUP(Tabela1[[#This Row],[Motorista]],Base!A:A,Base!B:B),""))</f>
        <v>CIF</v>
      </c>
      <c r="N303" s="20" t="str">
        <f t="shared" si="6"/>
        <v>Finalizado</v>
      </c>
      <c r="O3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03" s="2">
        <v>0.25347222222222221</v>
      </c>
      <c r="Q303" s="2">
        <v>0.28888888888888886</v>
      </c>
      <c r="R303" s="2">
        <v>0.36180555555555555</v>
      </c>
      <c r="S303" s="2" t="s">
        <v>85</v>
      </c>
      <c r="T303" s="14">
        <f>IF(OR(Tabela1[[#This Row],[Entrada]]="",Tabela1[[#This Row],[Saída]]=""), "", Tabela1[[#This Row],[Saída]]-Tabela1[[#This Row],[Entrada]])</f>
        <v>7.2916666666666685E-2</v>
      </c>
      <c r="U303" s="15">
        <f>IF(OR('Controle de CT'!$R303= "", 'Controle de CT'!$P303= ""), "", 'Controle de CT'!$R303-'Controle de CT'!$P303)</f>
        <v>0.10833333333333334</v>
      </c>
      <c r="V303" s="1"/>
      <c r="W303" s="2"/>
      <c r="X303" s="2"/>
    </row>
    <row r="304" spans="11:24" ht="15" hidden="1" customHeight="1">
      <c r="K304" s="5">
        <v>46080</v>
      </c>
      <c r="L304" s="8" t="s">
        <v>46</v>
      </c>
      <c r="M304" s="9" t="str">
        <f>IF(Tabela1[[#This Row],[Motorista]]="","",IFERROR(_xlfn.XLOOKUP(Tabela1[[#This Row],[Motorista]],Base!A:A,Base!B:B),""))</f>
        <v>CIF</v>
      </c>
      <c r="N304" s="20" t="str">
        <f t="shared" si="6"/>
        <v>Finalizado</v>
      </c>
      <c r="O3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4" s="2">
        <v>0.2673611111111111</v>
      </c>
      <c r="Q304" s="2">
        <v>0.31111111111111112</v>
      </c>
      <c r="R304" s="2">
        <v>0.34861111111111109</v>
      </c>
      <c r="S304" s="2" t="s">
        <v>85</v>
      </c>
      <c r="T304" s="14">
        <f>IF(OR(Tabela1[[#This Row],[Entrada]]="",Tabela1[[#This Row],[Saída]]=""), "", Tabela1[[#This Row],[Saída]]-Tabela1[[#This Row],[Entrada]])</f>
        <v>3.7499999999999978E-2</v>
      </c>
      <c r="U304" s="15">
        <f>IF(OR('Controle de CT'!$R304= "", 'Controle de CT'!$P304= ""), "", 'Controle de CT'!$R304-'Controle de CT'!$P304)</f>
        <v>8.1249999999999989E-2</v>
      </c>
      <c r="V304" s="1"/>
      <c r="W304" s="2"/>
      <c r="X304" s="2"/>
    </row>
    <row r="305" spans="11:24" ht="15" hidden="1" customHeight="1">
      <c r="K305" s="5">
        <v>46080</v>
      </c>
      <c r="L305" s="8" t="s">
        <v>104</v>
      </c>
      <c r="M305" s="9" t="str">
        <f>IF(Tabela1[[#This Row],[Motorista]]="","",IFERROR(_xlfn.XLOOKUP(Tabela1[[#This Row],[Motorista]],Base!A:A,Base!B:B),""))</f>
        <v>RZD</v>
      </c>
      <c r="N305" s="20" t="str">
        <f t="shared" si="6"/>
        <v>Finalizado</v>
      </c>
      <c r="O3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05" s="2">
        <v>0.27638888888888891</v>
      </c>
      <c r="R305" s="2" t="s">
        <v>7</v>
      </c>
      <c r="T305" s="14" t="str">
        <f>IF(OR(Tabela1[[#This Row],[Entrada]]="",Tabela1[[#This Row],[Saída]]=""), "", Tabela1[[#This Row],[Saída]]-Tabela1[[#This Row],[Entrada]])</f>
        <v/>
      </c>
      <c r="U305" s="15" t="e">
        <f>IF(OR('Controle de CT'!#REF!= "", 'Controle de CT'!#REF!= ""), "", 'Controle de CT'!#REF!-'Controle de CT'!#REF!)</f>
        <v>#REF!</v>
      </c>
      <c r="V305" s="1"/>
      <c r="W305" s="2"/>
      <c r="X305" s="2"/>
    </row>
    <row r="306" spans="11:24" ht="15" hidden="1" customHeight="1">
      <c r="K306" s="5">
        <v>46080</v>
      </c>
      <c r="L306" s="8" t="s">
        <v>54</v>
      </c>
      <c r="M306" s="9" t="str">
        <f>IF(Tabela1[[#This Row],[Motorista]]="","",IFERROR(_xlfn.XLOOKUP(Tabela1[[#This Row],[Motorista]],Base!A:A,Base!B:B),""))</f>
        <v>CIF</v>
      </c>
      <c r="N306" s="20" t="str">
        <f t="shared" si="6"/>
        <v>Finalizado</v>
      </c>
      <c r="O3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6" s="2">
        <v>0.28125</v>
      </c>
      <c r="Q306" s="2">
        <v>0.31319444444444444</v>
      </c>
      <c r="R306" s="2">
        <v>0.38472222222222224</v>
      </c>
      <c r="S306" s="2" t="s">
        <v>85</v>
      </c>
      <c r="T306" s="14">
        <f>IF(OR(Tabela1[[#This Row],[Entrada]]="",Tabela1[[#This Row],[Saída]]=""), "", Tabela1[[#This Row],[Saída]]-Tabela1[[#This Row],[Entrada]])</f>
        <v>7.1527777777777801E-2</v>
      </c>
      <c r="U306" s="15" t="e">
        <f>IF(OR('Controle de CT'!$R305= "", 'Controle de CT'!$P305= ""), "", 'Controle de CT'!$R305-'Controle de CT'!$P305)</f>
        <v>#VALUE!</v>
      </c>
      <c r="V306" s="1"/>
      <c r="W306" s="2"/>
      <c r="X306" s="2"/>
    </row>
    <row r="307" spans="11:24" ht="15" hidden="1" customHeight="1">
      <c r="K307" s="5">
        <v>46080</v>
      </c>
      <c r="L307" s="8" t="s">
        <v>91</v>
      </c>
      <c r="M307" s="9" t="str">
        <f>IF(Tabela1[[#This Row],[Motorista]]="","",IFERROR(_xlfn.XLOOKUP(Tabela1[[#This Row],[Motorista]],Base!A:A,Base!B:B),""))</f>
        <v>FOB</v>
      </c>
      <c r="N307" s="20" t="str">
        <f t="shared" si="6"/>
        <v>Finalizado</v>
      </c>
      <c r="O3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07" s="4">
        <v>0.30138888888888887</v>
      </c>
      <c r="Q307" s="4">
        <v>0.38750000000000001</v>
      </c>
      <c r="R307" s="2">
        <v>0.46527777777777779</v>
      </c>
      <c r="S307" s="2" t="s">
        <v>85</v>
      </c>
      <c r="T307" s="14">
        <f>IF(OR(Tabela1[[#This Row],[Entrada]]="",Tabela1[[#This Row],[Saída]]=""), "", Tabela1[[#This Row],[Saída]]-Tabela1[[#This Row],[Entrada]])</f>
        <v>7.7777777777777779E-2</v>
      </c>
      <c r="U307" s="15">
        <f>IF(OR('Controle de CT'!$R307= "", 'Controle de CT'!$P307= ""), "", 'Controle de CT'!$R307-'Controle de CT'!$P307)</f>
        <v>0.16388888888888892</v>
      </c>
      <c r="V307" s="1"/>
      <c r="W307" s="2"/>
      <c r="X307" s="2"/>
    </row>
    <row r="308" spans="11:24" ht="15" hidden="1" customHeight="1">
      <c r="K308" s="5">
        <v>46080</v>
      </c>
      <c r="L308" s="8" t="s">
        <v>92</v>
      </c>
      <c r="M308" s="9" t="str">
        <f>IF(Tabela1[[#This Row],[Motorista]]="","",IFERROR(_xlfn.XLOOKUP(Tabela1[[#This Row],[Motorista]],Base!A:A,Base!B:B),""))</f>
        <v>FOB</v>
      </c>
      <c r="N308" s="20" t="str">
        <f t="shared" si="6"/>
        <v>Fila de Carregamento</v>
      </c>
      <c r="O3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08" s="2">
        <v>0.33055555555555555</v>
      </c>
      <c r="Q308" s="2">
        <v>0.39791666666666664</v>
      </c>
      <c r="S308" s="2" t="s">
        <v>85</v>
      </c>
      <c r="T308" s="14" t="str">
        <f>IF(OR(Tabela1[[#This Row],[Entrada]]="",Tabela1[[#This Row],[Saída]]=""), "", Tabela1[[#This Row],[Saída]]-Tabela1[[#This Row],[Entrada]])</f>
        <v/>
      </c>
      <c r="U308" s="15" t="str">
        <f>IF(OR('Controle de CT'!$R308= "", 'Controle de CT'!$P308= ""), "", 'Controle de CT'!$R308-'Controle de CT'!$P308)</f>
        <v/>
      </c>
      <c r="V308" s="1"/>
      <c r="W308" s="2"/>
      <c r="X308" s="2"/>
    </row>
    <row r="309" spans="11:24" ht="14.45" hidden="1">
      <c r="K309" s="5">
        <v>46080</v>
      </c>
      <c r="L309" s="8" t="s">
        <v>118</v>
      </c>
      <c r="M309" s="9" t="str">
        <f>IF(Tabela1[[#This Row],[Motorista]]="","",IFERROR(_xlfn.XLOOKUP(Tabela1[[#This Row],[Motorista]],Base!A:A,Base!B:B),""))</f>
        <v>FOB</v>
      </c>
      <c r="N309" s="20" t="str">
        <f t="shared" si="6"/>
        <v>Finalizado</v>
      </c>
      <c r="O3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09" s="2">
        <v>0.3347222222222222</v>
      </c>
      <c r="Q309" s="2">
        <v>0.42708333333333331</v>
      </c>
      <c r="R309" s="2">
        <v>0.50277777777777777</v>
      </c>
      <c r="S309" s="2" t="s">
        <v>85</v>
      </c>
      <c r="T309" s="14">
        <f>IF(OR(Tabela1[[#This Row],[Entrada]]="",Tabela1[[#This Row],[Saída]]=""), "", Tabela1[[#This Row],[Saída]]-Tabela1[[#This Row],[Entrada]])</f>
        <v>7.5694444444444453E-2</v>
      </c>
      <c r="U309" s="15" t="str">
        <f>IF(OR('Controle de CT'!$R311= "", 'Controle de CT'!$P311= ""), "", 'Controle de CT'!$R311-'Controle de CT'!$P311)</f>
        <v/>
      </c>
      <c r="V309" s="1"/>
      <c r="W309" s="2"/>
      <c r="X309" s="2"/>
    </row>
    <row r="310" spans="11:24" ht="14.45" hidden="1">
      <c r="K310" s="5">
        <v>46080</v>
      </c>
      <c r="L310" s="8" t="s">
        <v>98</v>
      </c>
      <c r="M310" s="9" t="str">
        <f>IF(Tabela1[[#This Row],[Motorista]]="","",IFERROR(_xlfn.XLOOKUP(Tabela1[[#This Row],[Motorista]],Base!A:A,Base!B:B),""))</f>
        <v>FOB</v>
      </c>
      <c r="N310" s="20" t="str">
        <f t="shared" si="6"/>
        <v>Finalizado</v>
      </c>
      <c r="O3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10" s="2">
        <v>0.35138888888888886</v>
      </c>
      <c r="Q310" s="2">
        <v>0.44791666666666669</v>
      </c>
      <c r="R310" s="2">
        <v>0.50347222222222221</v>
      </c>
      <c r="S310" s="2" t="s">
        <v>85</v>
      </c>
      <c r="T310" s="14">
        <f>IF(OR(Tabela1[[#This Row],[Entrada]]="",Tabela1[[#This Row],[Saída]]=""), "", Tabela1[[#This Row],[Saída]]-Tabela1[[#This Row],[Entrada]])</f>
        <v>5.5555555555555525E-2</v>
      </c>
      <c r="U310" s="15">
        <f>IF(OR('Controle de CT'!$R309= "", 'Controle de CT'!$P309= ""), "", 'Controle de CT'!$R309-'Controle de CT'!$P309)</f>
        <v>0.16805555555555557</v>
      </c>
      <c r="V310" s="1"/>
      <c r="W310" s="2"/>
      <c r="X310" s="2"/>
    </row>
    <row r="311" spans="11:24" ht="15" hidden="1" customHeight="1">
      <c r="K311" s="5">
        <v>46080</v>
      </c>
      <c r="L311" s="8" t="s">
        <v>125</v>
      </c>
      <c r="M311" s="9" t="str">
        <f>IF(Tabela1[[#This Row],[Motorista]]="","",IFERROR(_xlfn.XLOOKUP(Tabela1[[#This Row],[Motorista]],Base!A:A,Base!B:B),""))</f>
        <v>FOB</v>
      </c>
      <c r="N311" s="20" t="str">
        <f t="shared" si="6"/>
        <v>Aguardando Entrada</v>
      </c>
      <c r="O3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1" s="2">
        <v>0.35555555555555557</v>
      </c>
      <c r="T311" s="14" t="str">
        <f>IF(OR(Tabela1[[#This Row],[Entrada]]="",Tabela1[[#This Row],[Saída]]=""), "", Tabela1[[#This Row],[Saída]]-Tabela1[[#This Row],[Entrada]])</f>
        <v/>
      </c>
      <c r="U311" s="15">
        <f>IF(OR('Controle de CT'!$R310= "", 'Controle de CT'!$P310= ""), "", 'Controle de CT'!$R310-'Controle de CT'!$P310)</f>
        <v>0.15208333333333335</v>
      </c>
      <c r="V311" s="1" t="s">
        <v>155</v>
      </c>
      <c r="W311" s="2"/>
      <c r="X311" s="2"/>
    </row>
    <row r="312" spans="11:24" ht="15" hidden="1" customHeight="1">
      <c r="K312" s="5">
        <v>46080</v>
      </c>
      <c r="L312" s="8" t="s">
        <v>58</v>
      </c>
      <c r="M312" s="9" t="str">
        <f>IF(Tabela1[[#This Row],[Motorista]]="","",IFERROR(_xlfn.XLOOKUP(Tabela1[[#This Row],[Motorista]],Base!A:A,Base!B:B),""))</f>
        <v xml:space="preserve">CIF </v>
      </c>
      <c r="N312" s="20" t="str">
        <f t="shared" si="6"/>
        <v>Finalizado</v>
      </c>
      <c r="O3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2" s="2">
        <v>0.25347222222222221</v>
      </c>
      <c r="Q312" s="2">
        <v>0.29791666666666666</v>
      </c>
      <c r="R312" s="2">
        <v>0.36736111111111114</v>
      </c>
      <c r="T312" s="14">
        <f>IF(OR(Tabela1[[#This Row],[Entrada]]="",Tabela1[[#This Row],[Saída]]=""), "", Tabela1[[#This Row],[Saída]]-Tabela1[[#This Row],[Entrada]])</f>
        <v>6.9444444444444475E-2</v>
      </c>
      <c r="U312" s="15">
        <f>IF(OR('Controle de CT'!$R312= "", 'Controle de CT'!$P312= ""), "", 'Controle de CT'!$R312-'Controle de CT'!$P312)</f>
        <v>0.11388888888888893</v>
      </c>
      <c r="V312" s="1"/>
      <c r="W312" s="2"/>
      <c r="X312" s="2"/>
    </row>
    <row r="313" spans="11:24" ht="15" hidden="1" customHeight="1">
      <c r="K313" s="5">
        <v>46080</v>
      </c>
      <c r="L313" s="8" t="s">
        <v>53</v>
      </c>
      <c r="M313" s="9" t="str">
        <f>IF(Tabela1[[#This Row],[Motorista]]="","",IFERROR(_xlfn.XLOOKUP(Tabela1[[#This Row],[Motorista]],Base!A:A,Base!B:B),""))</f>
        <v>CIF</v>
      </c>
      <c r="N313" s="20" t="str">
        <f t="shared" si="6"/>
        <v>Fila de Carregamento</v>
      </c>
      <c r="O3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3" s="2">
        <v>0.37361111111111112</v>
      </c>
      <c r="Q313" s="2">
        <v>0.3923611111111111</v>
      </c>
      <c r="S313" s="2" t="s">
        <v>85</v>
      </c>
      <c r="T313" s="14" t="str">
        <f>IF(OR(Tabela1[[#This Row],[Entrada]]="",Tabela1[[#This Row],[Saída]]=""), "", Tabela1[[#This Row],[Saída]]-Tabela1[[#This Row],[Entrada]])</f>
        <v/>
      </c>
      <c r="U313" s="15" t="str">
        <f>IF(OR('Controle de CT'!$R313= "", 'Controle de CT'!$P313= ""), "", 'Controle de CT'!$R313-'Controle de CT'!$P313)</f>
        <v/>
      </c>
      <c r="V313" s="1"/>
      <c r="W313" s="2"/>
      <c r="X313" s="2"/>
    </row>
    <row r="314" spans="11:24" ht="15" hidden="1" customHeight="1">
      <c r="K314" s="5">
        <v>46080</v>
      </c>
      <c r="L314" s="8" t="s">
        <v>49</v>
      </c>
      <c r="M314" s="9" t="str">
        <f>IF(Tabela1[[#This Row],[Motorista]]="","",IFERROR(_xlfn.XLOOKUP(Tabela1[[#This Row],[Motorista]],Base!A:A,Base!B:B),""))</f>
        <v>CIF</v>
      </c>
      <c r="N314" s="20" t="str">
        <f t="shared" si="6"/>
        <v/>
      </c>
      <c r="O3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T314" s="14" t="str">
        <f>IF(OR(Tabela1[[#This Row],[Entrada]]="",Tabela1[[#This Row],[Saída]]=""), "", Tabela1[[#This Row],[Saída]]-Tabela1[[#This Row],[Entrada]])</f>
        <v/>
      </c>
      <c r="U314" s="15" t="str">
        <f>IF(OR('Controle de CT'!$R314= "", 'Controle de CT'!$P314= ""), "", 'Controle de CT'!$R314-'Controle de CT'!$P314)</f>
        <v/>
      </c>
      <c r="V314" s="1" t="s">
        <v>156</v>
      </c>
      <c r="W314" s="2"/>
      <c r="X314" s="2"/>
    </row>
    <row r="315" spans="11:24" ht="15" hidden="1" customHeight="1">
      <c r="K315" s="5">
        <v>46080</v>
      </c>
      <c r="L315" s="8" t="s">
        <v>52</v>
      </c>
      <c r="M315" s="9" t="str">
        <f>IF(Tabela1[[#This Row],[Motorista]]="","",IFERROR(_xlfn.XLOOKUP(Tabela1[[#This Row],[Motorista]],Base!A:A,Base!B:B),""))</f>
        <v>CIF</v>
      </c>
      <c r="N315" s="20" t="str">
        <f t="shared" si="6"/>
        <v>Finalizado</v>
      </c>
      <c r="O3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5" s="2">
        <v>0.40833333333333333</v>
      </c>
      <c r="Q315" s="2">
        <v>0.4152777777777778</v>
      </c>
      <c r="R315" s="2">
        <v>0.46458333333333335</v>
      </c>
      <c r="S315" s="2" t="s">
        <v>85</v>
      </c>
      <c r="T315" s="14">
        <f>IF(OR(Tabela1[[#This Row],[Entrada]]="",Tabela1[[#This Row],[Saída]]=""), "", Tabela1[[#This Row],[Saída]]-Tabela1[[#This Row],[Entrada]])</f>
        <v>4.9305555555555547E-2</v>
      </c>
      <c r="U315" s="15">
        <f>IF(OR('Controle de CT'!$R315= "", 'Controle de CT'!$P315= ""), "", 'Controle de CT'!$R315-'Controle de CT'!$P315)</f>
        <v>5.6250000000000022E-2</v>
      </c>
      <c r="V315" s="1"/>
      <c r="W315" s="2"/>
      <c r="X315" s="2"/>
    </row>
    <row r="316" spans="11:24" ht="15" hidden="1" customHeight="1">
      <c r="K316" s="5">
        <v>46080</v>
      </c>
      <c r="L316" s="8" t="s">
        <v>157</v>
      </c>
      <c r="M316" s="9" t="str">
        <f>IF(Tabela1[[#This Row],[Motorista]]="","",IFERROR(_xlfn.XLOOKUP(Tabela1[[#This Row],[Motorista]],Base!A:A,Base!B:B),""))</f>
        <v>FOB</v>
      </c>
      <c r="N316" s="20" t="str">
        <f t="shared" si="6"/>
        <v>Fila de Carregamento</v>
      </c>
      <c r="O3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6" s="2">
        <v>0.37152777777777779</v>
      </c>
      <c r="Q316" s="2">
        <v>0.49652777777777779</v>
      </c>
      <c r="S316" s="2" t="s">
        <v>85</v>
      </c>
      <c r="T316" s="14" t="str">
        <f>IF(OR(Tabela1[[#This Row],[Entrada]]="",Tabela1[[#This Row],[Saída]]=""), "", Tabela1[[#This Row],[Saída]]-Tabela1[[#This Row],[Entrada]])</f>
        <v/>
      </c>
      <c r="U316" s="15" t="str">
        <f>IF(OR('Controle de CT'!$R316= "", 'Controle de CT'!$P316= ""), "", 'Controle de CT'!$R316-'Controle de CT'!$P316)</f>
        <v/>
      </c>
      <c r="V316" s="1"/>
      <c r="W316" s="2"/>
      <c r="X316" s="2"/>
    </row>
    <row r="317" spans="11:24" ht="15" hidden="1" customHeight="1">
      <c r="K317" s="5">
        <v>46080</v>
      </c>
      <c r="L317" s="8" t="s">
        <v>131</v>
      </c>
      <c r="M317" s="9" t="str">
        <f>IF(Tabela1[[#This Row],[Motorista]]="","",IFERROR(_xlfn.XLOOKUP(Tabela1[[#This Row],[Motorista]],Base!A:A,Base!B:B),""))</f>
        <v>FOB</v>
      </c>
      <c r="N317" s="20" t="str">
        <f t="shared" si="6"/>
        <v>Finalizado</v>
      </c>
      <c r="O3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17" s="2">
        <v>0.4152777777777778</v>
      </c>
      <c r="Q317" s="2">
        <v>0.45555555555555555</v>
      </c>
      <c r="R317" s="2">
        <v>0.51249999999999996</v>
      </c>
      <c r="S317" s="2" t="s">
        <v>85</v>
      </c>
      <c r="T317" s="14">
        <f>IF(OR(Tabela1[[#This Row],[Entrada]]="",Tabela1[[#This Row],[Saída]]=""), "", Tabela1[[#This Row],[Saída]]-Tabela1[[#This Row],[Entrada]])</f>
        <v>5.6944444444444409E-2</v>
      </c>
      <c r="U317" s="15">
        <f>IF(OR('Controle de CT'!$R317= "", 'Controle de CT'!$P317= ""), "", 'Controle de CT'!$R317-'Controle de CT'!$P317)</f>
        <v>9.7222222222222154E-2</v>
      </c>
      <c r="V317" s="1"/>
      <c r="W317" s="2"/>
      <c r="X317" s="2"/>
    </row>
    <row r="318" spans="11:24" ht="15" hidden="1" customHeight="1">
      <c r="K318" s="5">
        <v>46080</v>
      </c>
      <c r="L318" s="8" t="s">
        <v>158</v>
      </c>
      <c r="M318" s="9" t="str">
        <f>IF(Tabela1[[#This Row],[Motorista]]="","",IFERROR(_xlfn.XLOOKUP(Tabela1[[#This Row],[Motorista]],Base!A:A,Base!B:B),""))</f>
        <v>RZD</v>
      </c>
      <c r="N318" s="20" t="str">
        <f t="shared" si="6"/>
        <v>Aguardando Entrada</v>
      </c>
      <c r="O3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18" s="2">
        <v>0.44930555555555557</v>
      </c>
      <c r="T318" s="14" t="str">
        <f>IF(OR(Tabela1[[#This Row],[Entrada]]="",Tabela1[[#This Row],[Saída]]=""), "", Tabela1[[#This Row],[Saída]]-Tabela1[[#This Row],[Entrada]])</f>
        <v/>
      </c>
      <c r="U318" s="15" t="str">
        <f>IF(OR('Controle de CT'!$R318= "", 'Controle de CT'!$P318= ""), "", 'Controle de CT'!$R318-'Controle de CT'!$P318)</f>
        <v/>
      </c>
      <c r="V318" s="1"/>
      <c r="W318" s="2"/>
      <c r="X318" s="2"/>
    </row>
    <row r="319" spans="11:24" ht="15" hidden="1" customHeight="1">
      <c r="K319" s="5">
        <v>46080</v>
      </c>
      <c r="L319" s="8" t="s">
        <v>46</v>
      </c>
      <c r="M319" s="9" t="str">
        <f>IF(Tabela1[[#This Row],[Motorista]]="","",IFERROR(_xlfn.XLOOKUP(Tabela1[[#This Row],[Motorista]],Base!A:A,Base!B:B),""))</f>
        <v>CIF</v>
      </c>
      <c r="N319" s="20" t="str">
        <f t="shared" si="6"/>
        <v>Aguardando Entrada</v>
      </c>
      <c r="O3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19" s="2">
        <v>0.46041666666666664</v>
      </c>
      <c r="S319" s="2" t="s">
        <v>85</v>
      </c>
      <c r="T319" s="14" t="str">
        <f>IF(OR(Tabela1[[#This Row],[Entrada]]="",Tabela1[[#This Row],[Saída]]=""), "", Tabela1[[#This Row],[Saída]]-Tabela1[[#This Row],[Entrada]])</f>
        <v/>
      </c>
      <c r="U319" s="15" t="str">
        <f>IF(OR('Controle de CT'!$R319= "", 'Controle de CT'!$P319= ""), "", 'Controle de CT'!$R319-'Controle de CT'!$P319)</f>
        <v/>
      </c>
      <c r="V319" s="1" t="s">
        <v>144</v>
      </c>
      <c r="W319" s="2"/>
      <c r="X319" s="2"/>
    </row>
    <row r="320" spans="11:24" ht="15" hidden="1" customHeight="1">
      <c r="K320" s="5">
        <v>46080</v>
      </c>
      <c r="L320" s="8" t="s">
        <v>87</v>
      </c>
      <c r="M320" s="9" t="str">
        <f>IF(Tabela1[[#This Row],[Motorista]]="","",IFERROR(_xlfn.XLOOKUP(Tabela1[[#This Row],[Motorista]],Base!A:A,Base!B:B),""))</f>
        <v>FOB</v>
      </c>
      <c r="N320" s="20" t="str">
        <f t="shared" si="6"/>
        <v>Fila de Carregamento</v>
      </c>
      <c r="O3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20" s="2">
        <v>0.46666666666666667</v>
      </c>
      <c r="Q320" s="2">
        <v>0.50416666666666665</v>
      </c>
      <c r="S320" s="2" t="s">
        <v>85</v>
      </c>
      <c r="T320" s="14" t="str">
        <f>IF(OR(Tabela1[[#This Row],[Entrada]]="",Tabela1[[#This Row],[Saída]]=""), "", Tabela1[[#This Row],[Saída]]-Tabela1[[#This Row],[Entrada]])</f>
        <v/>
      </c>
      <c r="U320" s="15" t="str">
        <f>IF(OR('Controle de CT'!$R320= "", 'Controle de CT'!$P320= ""), "", 'Controle de CT'!$R320-'Controle de CT'!$P320)</f>
        <v/>
      </c>
      <c r="V320" s="1" t="s">
        <v>159</v>
      </c>
      <c r="W320" s="2"/>
      <c r="X320" s="2"/>
    </row>
    <row r="321" spans="11:24" ht="15" hidden="1" customHeight="1">
      <c r="K321" s="5">
        <v>46080</v>
      </c>
      <c r="L321" s="8" t="s">
        <v>158</v>
      </c>
      <c r="M321" s="9" t="str">
        <f>IF(Tabela1[[#This Row],[Motorista]]="","",IFERROR(_xlfn.XLOOKUP(Tabela1[[#This Row],[Motorista]],Base!A:A,Base!B:B),""))</f>
        <v>RZD</v>
      </c>
      <c r="N321" s="20" t="str">
        <f t="shared" si="6"/>
        <v>Fila de Carregamento</v>
      </c>
      <c r="O3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321" s="2">
        <v>0.48194444444444445</v>
      </c>
      <c r="T321" s="14" t="str">
        <f>IF(OR(Tabela1[[#This Row],[Entrada]]="",Tabela1[[#This Row],[Saída]]=""), "", Tabela1[[#This Row],[Saída]]-Tabela1[[#This Row],[Entrada]])</f>
        <v/>
      </c>
      <c r="U321" s="15" t="str">
        <f>IF(OR('Controle de CT'!$R321= "", 'Controle de CT'!$P321= ""), "", 'Controle de CT'!$R321-'Controle de CT'!$P321)</f>
        <v/>
      </c>
      <c r="V321" s="2"/>
      <c r="W321" s="2"/>
      <c r="X321" s="2"/>
    </row>
    <row r="322" spans="11:24" ht="15" hidden="1" customHeight="1">
      <c r="K322" s="5">
        <v>46080</v>
      </c>
      <c r="L322" s="8" t="s">
        <v>92</v>
      </c>
      <c r="M322" s="9" t="str">
        <f>IF(Tabela1[[#This Row],[Motorista]]="","",IFERROR(_xlfn.XLOOKUP(Tabela1[[#This Row],[Motorista]],Base!A:A,Base!B:B),""))</f>
        <v>FOB</v>
      </c>
      <c r="N322" s="20" t="str">
        <f t="shared" si="6"/>
        <v>Fila de Carregamento</v>
      </c>
      <c r="O3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22" s="2">
        <v>0.48819444444444443</v>
      </c>
      <c r="Q322" s="2">
        <v>0.51458333333333328</v>
      </c>
      <c r="S322" s="2" t="s">
        <v>85</v>
      </c>
      <c r="T322" s="14" t="str">
        <f>IF(OR(Tabela1[[#This Row],[Entrada]]="",Tabela1[[#This Row],[Saída]]=""), "", Tabela1[[#This Row],[Saída]]-Tabela1[[#This Row],[Entrada]])</f>
        <v/>
      </c>
      <c r="U322" s="15" t="str">
        <f>IF(OR('Controle de CT'!$R322= "", 'Controle de CT'!$P322= ""), "", 'Controle de CT'!$R322-'Controle de CT'!$P322)</f>
        <v/>
      </c>
      <c r="V322" s="1"/>
      <c r="W322" s="2"/>
      <c r="X322" s="2"/>
    </row>
    <row r="323" spans="11:24" ht="15" hidden="1" customHeight="1">
      <c r="K323" s="5">
        <v>46080</v>
      </c>
      <c r="L323" s="8" t="s">
        <v>123</v>
      </c>
      <c r="M323" s="9" t="str">
        <f>IF(Tabela1[[#This Row],[Motorista]]="","",IFERROR(_xlfn.XLOOKUP(Tabela1[[#This Row],[Motorista]],Base!A:A,Base!B:B),""))</f>
        <v>RZD</v>
      </c>
      <c r="N323" s="20" t="str">
        <f t="shared" si="6"/>
        <v>Aguardando Entrada</v>
      </c>
      <c r="O3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23" s="2">
        <v>0.48819444444444443</v>
      </c>
      <c r="T323" s="14" t="str">
        <f>IF(OR(Tabela1[[#This Row],[Entrada]]="",Tabela1[[#This Row],[Saída]]=""), "", Tabela1[[#This Row],[Saída]]-Tabela1[[#This Row],[Entrada]])</f>
        <v/>
      </c>
      <c r="U323" s="15" t="str">
        <f>IF(OR('Controle de CT'!$R323= "", 'Controle de CT'!$P323= ""), "", 'Controle de CT'!$R323-'Controle de CT'!$P323)</f>
        <v/>
      </c>
      <c r="V323" s="1"/>
      <c r="W323" s="2"/>
      <c r="X323" s="2"/>
    </row>
    <row r="324" spans="11:24" ht="15" hidden="1" customHeight="1">
      <c r="K324" s="5">
        <v>46080</v>
      </c>
      <c r="L324" s="8" t="s">
        <v>107</v>
      </c>
      <c r="M324" s="9" t="str">
        <f>IF(Tabela1[[#This Row],[Motorista]]="","",IFERROR(_xlfn.XLOOKUP(Tabela1[[#This Row],[Motorista]],Base!A:A,Base!B:B),""))</f>
        <v>FOB</v>
      </c>
      <c r="N324" s="20" t="str">
        <f t="shared" si="6"/>
        <v>Aguardando Entrada</v>
      </c>
      <c r="O3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24" s="2">
        <v>0.47638888888888886</v>
      </c>
      <c r="T324" s="14" t="str">
        <f>IF(OR(Tabela1[[#This Row],[Entrada]]="",Tabela1[[#This Row],[Saída]]=""), "", Tabela1[[#This Row],[Saída]]-Tabela1[[#This Row],[Entrada]])</f>
        <v/>
      </c>
      <c r="U324" s="15" t="str">
        <f>IF(OR('Controle de CT'!$R324= "", 'Controle de CT'!$P324= ""), "", 'Controle de CT'!$R324-'Controle de CT'!$P324)</f>
        <v/>
      </c>
      <c r="V324" s="1"/>
      <c r="W324" s="2"/>
      <c r="X324" s="2"/>
    </row>
    <row r="325" spans="11:24" ht="15" hidden="1" customHeight="1">
      <c r="K325" s="5">
        <v>46080</v>
      </c>
      <c r="L325" s="8" t="s">
        <v>89</v>
      </c>
      <c r="M325" s="9" t="str">
        <f>IF(Tabela1[[#This Row],[Motorista]]="","",IFERROR(_xlfn.XLOOKUP(Tabela1[[#This Row],[Motorista]],Base!A:A,Base!B:B),""))</f>
        <v>FOB</v>
      </c>
      <c r="N325" s="20" t="str">
        <f t="shared" si="6"/>
        <v>Fila de Carregamento</v>
      </c>
      <c r="O3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25" s="2">
        <v>0.51249999999999996</v>
      </c>
      <c r="Q325" s="2">
        <v>0.62638888888888888</v>
      </c>
      <c r="S325" s="2" t="s">
        <v>85</v>
      </c>
      <c r="T325" s="14" t="str">
        <f>IF(OR(Tabela1[[#This Row],[Entrada]]="",Tabela1[[#This Row],[Saída]]=""), "", Tabela1[[#This Row],[Saída]]-Tabela1[[#This Row],[Entrada]])</f>
        <v/>
      </c>
      <c r="U325" s="15" t="str">
        <f>IF(OR('Controle de CT'!$R325= "", 'Controle de CT'!$P325= ""), "", 'Controle de CT'!$R325-'Controle de CT'!$P325)</f>
        <v/>
      </c>
      <c r="V325" s="1"/>
      <c r="W325" s="2"/>
      <c r="X325" s="2"/>
    </row>
    <row r="326" spans="11:24" ht="15" hidden="1" customHeight="1">
      <c r="K326" s="5">
        <v>46080</v>
      </c>
      <c r="L326" s="8" t="s">
        <v>123</v>
      </c>
      <c r="M326" s="9" t="str">
        <f>IF(Tabela1[[#This Row],[Motorista]]="","",IFERROR(_xlfn.XLOOKUP(Tabela1[[#This Row],[Motorista]],Base!A:A,Base!B:B),""))</f>
        <v>RZD</v>
      </c>
      <c r="N326" s="20" t="str">
        <f t="shared" si="6"/>
        <v>Fila de Carregamento</v>
      </c>
      <c r="O3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326" s="2">
        <v>0.48819444444444443</v>
      </c>
      <c r="T326" s="14" t="str">
        <f>IF(OR(Tabela1[[#This Row],[Entrada]]="",Tabela1[[#This Row],[Saída]]=""), "", Tabela1[[#This Row],[Saída]]-Tabela1[[#This Row],[Entrada]])</f>
        <v/>
      </c>
      <c r="U326" s="15" t="str">
        <f>IF(OR('Controle de CT'!$R326= "", 'Controle de CT'!$P326= ""), "", 'Controle de CT'!$R326-'Controle de CT'!$P326)</f>
        <v/>
      </c>
      <c r="V326" s="1"/>
      <c r="W326" s="2"/>
      <c r="X326" s="2"/>
    </row>
    <row r="327" spans="11:24" ht="15" hidden="1" customHeight="1">
      <c r="K327" s="5">
        <v>46080</v>
      </c>
      <c r="L327" s="8" t="s">
        <v>160</v>
      </c>
      <c r="M327" s="9">
        <f>IF(Tabela1[[#This Row],[Motorista]]="","",IFERROR(_xlfn.XLOOKUP(Tabela1[[#This Row],[Motorista]],Base!A:A,Base!B:B),""))</f>
        <v>0</v>
      </c>
      <c r="N327" s="20" t="str">
        <f t="shared" si="6"/>
        <v>Fila de Carregamento</v>
      </c>
      <c r="O3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327" s="2">
        <v>0.41319444444444442</v>
      </c>
      <c r="T327" s="14" t="str">
        <f>IF(OR(Tabela1[[#This Row],[Entrada]]="",Tabela1[[#This Row],[Saída]]=""), "", Tabela1[[#This Row],[Saída]]-Tabela1[[#This Row],[Entrada]])</f>
        <v/>
      </c>
      <c r="U327" s="15" t="str">
        <f>IF(OR('Controle de CT'!$R327= "", 'Controle de CT'!$P327= ""), "", 'Controle de CT'!$R327-'Controle de CT'!$P327)</f>
        <v/>
      </c>
      <c r="V327" s="1"/>
      <c r="W327" s="2"/>
      <c r="X327" s="2"/>
    </row>
    <row r="328" spans="11:24" ht="15" hidden="1" customHeight="1">
      <c r="K328" s="5">
        <v>46080</v>
      </c>
      <c r="L328" s="8" t="s">
        <v>54</v>
      </c>
      <c r="M328" s="9" t="str">
        <f>IF(Tabela1[[#This Row],[Motorista]]="","",IFERROR(_xlfn.XLOOKUP(Tabela1[[#This Row],[Motorista]],Base!A:A,Base!B:B),""))</f>
        <v>CIF</v>
      </c>
      <c r="N328" s="20" t="str">
        <f t="shared" si="6"/>
        <v>Fila de Carregamento</v>
      </c>
      <c r="O3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328" s="2">
        <v>0.52777777777777779</v>
      </c>
      <c r="T328" s="14" t="str">
        <f>IF(OR(Tabela1[[#This Row],[Entrada]]="",Tabela1[[#This Row],[Saída]]=""), "", Tabela1[[#This Row],[Saída]]-Tabela1[[#This Row],[Entrada]])</f>
        <v/>
      </c>
      <c r="U328" s="15" t="str">
        <f>IF(OR('Controle de CT'!$R328= "", 'Controle de CT'!$P328= ""), "", 'Controle de CT'!$R328-'Controle de CT'!$P328)</f>
        <v/>
      </c>
      <c r="V328" s="1"/>
      <c r="W328" s="2"/>
      <c r="X328" s="2"/>
    </row>
    <row r="329" spans="11:24" ht="15" hidden="1" customHeight="1">
      <c r="K329" s="5">
        <v>46080</v>
      </c>
      <c r="L329" s="8" t="s">
        <v>90</v>
      </c>
      <c r="M329" s="9" t="str">
        <f>IF(Tabela1[[#This Row],[Motorista]]="","",IFERROR(_xlfn.XLOOKUP(Tabela1[[#This Row],[Motorista]],Base!A:A,Base!B:B),""))</f>
        <v>FOB</v>
      </c>
      <c r="N329" s="20" t="str">
        <f t="shared" si="6"/>
        <v>Fila de Carregamento</v>
      </c>
      <c r="O3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329" s="2">
        <v>0.53055555555555556</v>
      </c>
      <c r="T329" s="14" t="str">
        <f>IF(OR(Tabela1[[#This Row],[Entrada]]="",Tabela1[[#This Row],[Saída]]=""), "", Tabela1[[#This Row],[Saída]]-Tabela1[[#This Row],[Entrada]])</f>
        <v/>
      </c>
      <c r="U329" s="15" t="str">
        <f>IF(OR('Controle de CT'!$R329= "", 'Controle de CT'!$P329= ""), "", 'Controle de CT'!$R329-'Controle de CT'!$P329)</f>
        <v/>
      </c>
      <c r="V329" s="1"/>
      <c r="W329" s="2"/>
      <c r="X329" s="2"/>
    </row>
    <row r="330" spans="11:24" ht="15" hidden="1" customHeight="1">
      <c r="K330" s="5">
        <v>46080</v>
      </c>
      <c r="L330" s="8" t="s">
        <v>141</v>
      </c>
      <c r="M330" s="9" t="str">
        <f>IF(Tabela1[[#This Row],[Motorista]]="","",IFERROR(_xlfn.XLOOKUP(Tabela1[[#This Row],[Motorista]],Base!A:A,Base!B:B),""))</f>
        <v>FOB</v>
      </c>
      <c r="N330" s="20" t="str">
        <f t="shared" si="6"/>
        <v>Fila de Carregamento</v>
      </c>
      <c r="O3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330" s="2">
        <v>0.56041666666666667</v>
      </c>
      <c r="T330" s="14" t="str">
        <f>IF(OR(Tabela1[[#This Row],[Entrada]]="",Tabela1[[#This Row],[Saída]]=""), "", Tabela1[[#This Row],[Saída]]-Tabela1[[#This Row],[Entrada]])</f>
        <v/>
      </c>
      <c r="U330" s="15" t="str">
        <f>IF(OR('Controle de CT'!$R330= "", 'Controle de CT'!$P330= ""), "", 'Controle de CT'!$R330-'Controle de CT'!$P330)</f>
        <v/>
      </c>
      <c r="V330" s="1"/>
      <c r="W330" s="2"/>
      <c r="X330" s="2"/>
    </row>
    <row r="331" spans="11:24" ht="15" hidden="1" customHeight="1">
      <c r="K331" s="5">
        <v>46080</v>
      </c>
      <c r="L331" s="8" t="s">
        <v>98</v>
      </c>
      <c r="M331" s="9" t="str">
        <f>IF(Tabela1[[#This Row],[Motorista]]="","",IFERROR(_xlfn.XLOOKUP(Tabela1[[#This Row],[Motorista]],Base!A:A,Base!B:B),""))</f>
        <v>FOB</v>
      </c>
      <c r="N331" s="20" t="str">
        <f t="shared" si="6"/>
        <v>Fila de Carregamento</v>
      </c>
      <c r="O3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1" s="2">
        <v>0.6333333333333333</v>
      </c>
      <c r="Q331" s="2">
        <v>0.68125000000000002</v>
      </c>
      <c r="S331" s="2" t="s">
        <v>85</v>
      </c>
      <c r="T331" s="14" t="str">
        <f>IF(OR(Tabela1[[#This Row],[Entrada]]="",Tabela1[[#This Row],[Saída]]=""), "", Tabela1[[#This Row],[Saída]]-Tabela1[[#This Row],[Entrada]])</f>
        <v/>
      </c>
      <c r="U331" s="15" t="str">
        <f>IF(OR('Controle de CT'!$R331= "", 'Controle de CT'!$P331= ""), "", 'Controle de CT'!$R331-'Controle de CT'!$P331)</f>
        <v/>
      </c>
      <c r="V331" s="1"/>
      <c r="W331" s="2"/>
      <c r="X331" s="2"/>
    </row>
    <row r="332" spans="11:24" ht="15" hidden="1" customHeight="1">
      <c r="K332" s="5">
        <v>46081</v>
      </c>
      <c r="L332" s="8" t="s">
        <v>92</v>
      </c>
      <c r="M332" s="9" t="str">
        <f>IF(Tabela1[[#This Row],[Motorista]]="","",IFERROR(_xlfn.XLOOKUP(Tabela1[[#This Row],[Motorista]],Base!A:A,Base!B:B),""))</f>
        <v>FOB</v>
      </c>
      <c r="N332" s="20" t="str">
        <f t="shared" si="6"/>
        <v>Finalizado</v>
      </c>
      <c r="O3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2" s="2">
        <v>0.20972222222222223</v>
      </c>
      <c r="Q332" s="2">
        <v>0.22916666666666666</v>
      </c>
      <c r="R332" s="2">
        <v>0.25833333333333336</v>
      </c>
      <c r="S332" s="2" t="s">
        <v>85</v>
      </c>
      <c r="T332" s="14">
        <f>IF(OR(Tabela1[[#This Row],[Entrada]]="",Tabela1[[#This Row],[Saída]]=""), "", Tabela1[[#This Row],[Saída]]-Tabela1[[#This Row],[Entrada]])</f>
        <v>2.9166666666666702E-2</v>
      </c>
      <c r="U332" s="15">
        <f>IF(OR('Controle de CT'!$R332= "", 'Controle de CT'!$P332= ""), "", 'Controle de CT'!$R332-'Controle de CT'!$P332)</f>
        <v>4.8611111111111133E-2</v>
      </c>
      <c r="V332" s="1"/>
      <c r="W332" s="2"/>
      <c r="X332" s="2"/>
    </row>
    <row r="333" spans="11:24" ht="15" hidden="1" customHeight="1">
      <c r="K333" s="5">
        <v>46081</v>
      </c>
      <c r="L333" s="8" t="s">
        <v>95</v>
      </c>
      <c r="M333" s="9" t="str">
        <f>IF(Tabela1[[#This Row],[Motorista]]="","",IFERROR(_xlfn.XLOOKUP(Tabela1[[#This Row],[Motorista]],Base!A:A,Base!B:B),""))</f>
        <v>FOB</v>
      </c>
      <c r="N333" s="20" t="str">
        <f t="shared" si="6"/>
        <v>Finalizado</v>
      </c>
      <c r="O3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33" s="2">
        <v>0.25347222222222221</v>
      </c>
      <c r="Q333" s="2">
        <v>0.33333333333333331</v>
      </c>
      <c r="R333" s="2">
        <v>0.3888888888888889</v>
      </c>
      <c r="S333" s="2" t="s">
        <v>85</v>
      </c>
      <c r="T333" s="14">
        <f>IF(OR(Tabela1[[#This Row],[Entrada]]="",Tabela1[[#This Row],[Saída]]=""), "", Tabela1[[#This Row],[Saída]]-Tabela1[[#This Row],[Entrada]])</f>
        <v>5.555555555555558E-2</v>
      </c>
      <c r="U333" s="15">
        <f>IF(OR('Controle de CT'!$R333= "", 'Controle de CT'!$P333= ""), "", 'Controle de CT'!$R333-'Controle de CT'!$P333)</f>
        <v>0.13541666666666669</v>
      </c>
      <c r="V333" s="1"/>
      <c r="W333" s="2"/>
      <c r="X333" s="2"/>
    </row>
    <row r="334" spans="11:24" ht="15" hidden="1" customHeight="1">
      <c r="K334" s="5">
        <v>46081</v>
      </c>
      <c r="L334" s="8" t="s">
        <v>57</v>
      </c>
      <c r="M334" s="9" t="str">
        <f>IF(Tabela1[[#This Row],[Motorista]]="","",IFERROR(_xlfn.XLOOKUP(Tabela1[[#This Row],[Motorista]],Base!A:A,Base!B:B),""))</f>
        <v>CIF</v>
      </c>
      <c r="N334" s="20" t="str">
        <f t="shared" si="6"/>
        <v>Finalizado</v>
      </c>
      <c r="O3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4" s="2">
        <v>0.25138888888888888</v>
      </c>
      <c r="Q334" s="2">
        <v>0.27708333333333335</v>
      </c>
      <c r="R334" s="2">
        <v>0.31111111111111112</v>
      </c>
      <c r="S334" s="2" t="s">
        <v>85</v>
      </c>
      <c r="T334" s="14">
        <f>IF(OR(Tabela1[[#This Row],[Entrada]]="",Tabela1[[#This Row],[Saída]]=""), "", Tabela1[[#This Row],[Saída]]-Tabela1[[#This Row],[Entrada]])</f>
        <v>3.4027777777777768E-2</v>
      </c>
      <c r="U334" s="15">
        <f>IF(OR('Controle de CT'!$R334= "", 'Controle de CT'!$P334= ""), "", 'Controle de CT'!$R334-'Controle de CT'!$P334)</f>
        <v>5.9722222222222232E-2</v>
      </c>
      <c r="V334" s="1"/>
      <c r="W334" s="2"/>
      <c r="X334" s="2"/>
    </row>
    <row r="335" spans="11:24" ht="15" hidden="1" customHeight="1">
      <c r="K335" s="5">
        <v>46081</v>
      </c>
      <c r="L335" s="8" t="s">
        <v>112</v>
      </c>
      <c r="M335" s="9" t="str">
        <f>IF(Tabela1[[#This Row],[Motorista]]="","",IFERROR(_xlfn.XLOOKUP(Tabela1[[#This Row],[Motorista]],Base!A:A,Base!B:B),""))</f>
        <v>FOB</v>
      </c>
      <c r="N335" s="20" t="str">
        <f t="shared" ref="N335:N339" si="7">IF(R335&lt;&gt;"","Finalizado", IF(Q335&lt;&gt;"","Fila de Carregamento", IF(P335&lt;&gt;"","Aguardando Entrada","")))</f>
        <v>Finalizado</v>
      </c>
      <c r="O3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35" s="4">
        <v>0.26597222222222222</v>
      </c>
      <c r="Q335" s="4">
        <v>0.33541666666666664</v>
      </c>
      <c r="R335" s="23">
        <v>0.37916666666666665</v>
      </c>
      <c r="S335" s="16" t="s">
        <v>85</v>
      </c>
      <c r="T335" s="14">
        <f>IF(OR(Tabela1[[#This Row],[Entrada]]="",Tabela1[[#This Row],[Saída]]=""), "", Tabela1[[#This Row],[Saída]]-Tabela1[[#This Row],[Entrada]])</f>
        <v>4.3750000000000011E-2</v>
      </c>
      <c r="U335" s="15">
        <f>IF(OR('Controle de CT'!$R335= "", 'Controle de CT'!$P335= ""), "", 'Controle de CT'!$R335-'Controle de CT'!$P335)</f>
        <v>0.11319444444444443</v>
      </c>
      <c r="V335" s="1"/>
      <c r="W335" s="2"/>
      <c r="X335" s="2"/>
    </row>
    <row r="336" spans="11:24" ht="15" hidden="1" customHeight="1">
      <c r="K336" s="5">
        <v>46081</v>
      </c>
      <c r="L336" s="8" t="s">
        <v>49</v>
      </c>
      <c r="M336" s="9" t="str">
        <f>IF(Tabela1[[#This Row],[Motorista]]="","",IFERROR(_xlfn.XLOOKUP(Tabela1[[#This Row],[Motorista]],Base!A:A,Base!B:B),""))</f>
        <v>CIF</v>
      </c>
      <c r="N336" s="20" t="str">
        <f t="shared" si="7"/>
        <v>Finalizado</v>
      </c>
      <c r="O3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6" s="2">
        <v>0.25138888888888888</v>
      </c>
      <c r="Q336" s="2">
        <v>0.28194444444444444</v>
      </c>
      <c r="R336" s="16">
        <v>0.35555555555555557</v>
      </c>
      <c r="S336" s="16" t="s">
        <v>85</v>
      </c>
      <c r="T336" s="14">
        <f>IF(OR(Tabela1[[#This Row],[Entrada]]="",Tabela1[[#This Row],[Saída]]=""), "", Tabela1[[#This Row],[Saída]]-Tabela1[[#This Row],[Entrada]])</f>
        <v>7.3611111111111127E-2</v>
      </c>
      <c r="U336" s="15">
        <f>IF(OR('Controle de CT'!$R336= "", 'Controle de CT'!$P336= ""), "", 'Controle de CT'!$R336-'Controle de CT'!$P336)</f>
        <v>0.10416666666666669</v>
      </c>
      <c r="V336" s="1"/>
      <c r="W336" s="2"/>
      <c r="X336" s="2"/>
    </row>
    <row r="337" spans="11:24" ht="15" hidden="1" customHeight="1">
      <c r="K337" s="5">
        <v>46081</v>
      </c>
      <c r="L337" s="8" t="s">
        <v>47</v>
      </c>
      <c r="M337" s="9" t="str">
        <f>IF(Tabela1[[#This Row],[Motorista]]="","",IFERROR(_xlfn.XLOOKUP(Tabela1[[#This Row],[Motorista]],Base!A:A,Base!B:B),""))</f>
        <v>CIF</v>
      </c>
      <c r="N337" s="20" t="str">
        <f t="shared" si="7"/>
        <v>Finalizado</v>
      </c>
      <c r="O3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7" s="2">
        <v>0.27152777777777776</v>
      </c>
      <c r="Q337" s="2">
        <v>0.28472222222222221</v>
      </c>
      <c r="R337" s="16">
        <v>0.33194444444444443</v>
      </c>
      <c r="S337" s="16" t="s">
        <v>85</v>
      </c>
      <c r="T337" s="14">
        <f>IF(OR(Tabela1[[#This Row],[Entrada]]="",Tabela1[[#This Row],[Saída]]=""), "", Tabela1[[#This Row],[Saída]]-Tabela1[[#This Row],[Entrada]])</f>
        <v>4.7222222222222221E-2</v>
      </c>
      <c r="U337" s="15">
        <f>IF(OR('Controle de CT'!$R337= "", 'Controle de CT'!$P337= ""), "", 'Controle de CT'!$R337-'Controle de CT'!$P337)</f>
        <v>6.0416666666666674E-2</v>
      </c>
      <c r="V337" s="1"/>
      <c r="W337" s="2"/>
      <c r="X337" s="2"/>
    </row>
    <row r="338" spans="11:24" ht="15" hidden="1" customHeight="1">
      <c r="K338" s="5">
        <v>46081</v>
      </c>
      <c r="L338" s="8" t="s">
        <v>87</v>
      </c>
      <c r="M338" s="9" t="str">
        <f>IF(Tabela1[[#This Row],[Motorista]]="","",IFERROR(_xlfn.XLOOKUP(Tabela1[[#This Row],[Motorista]],Base!A:A,Base!B:B),""))</f>
        <v>FOB</v>
      </c>
      <c r="N338" s="20" t="str">
        <f t="shared" si="7"/>
        <v>Finalizado</v>
      </c>
      <c r="O3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38" s="2">
        <v>0.33124999999999999</v>
      </c>
      <c r="Q338" s="2">
        <v>0.35625000000000001</v>
      </c>
      <c r="R338" s="16">
        <v>0.4284722222222222</v>
      </c>
      <c r="S338" s="16" t="s">
        <v>85</v>
      </c>
      <c r="T338" s="14">
        <f>IF(OR(Tabela1[[#This Row],[Entrada]]="",Tabela1[[#This Row],[Saída]]=""), "", Tabela1[[#This Row],[Saída]]-Tabela1[[#This Row],[Entrada]])</f>
        <v>7.2222222222222188E-2</v>
      </c>
      <c r="U338" s="15">
        <f>IF(OR('Controle de CT'!$R338= "", 'Controle de CT'!$P338= ""), "", 'Controle de CT'!$R338-'Controle de CT'!$P338)</f>
        <v>9.722222222222221E-2</v>
      </c>
      <c r="V338" s="1"/>
      <c r="W338" s="2"/>
      <c r="X338" s="2"/>
    </row>
    <row r="339" spans="11:24" ht="15" hidden="1" customHeight="1">
      <c r="K339" s="5">
        <v>46081</v>
      </c>
      <c r="L339" s="8" t="s">
        <v>90</v>
      </c>
      <c r="M339" s="9" t="str">
        <f>IF(Tabela1[[#This Row],[Motorista]]="","",IFERROR(_xlfn.XLOOKUP(Tabela1[[#This Row],[Motorista]],Base!A:A,Base!B:B),""))</f>
        <v>FOB</v>
      </c>
      <c r="N339" s="20" t="str">
        <f t="shared" si="7"/>
        <v>Finalizado</v>
      </c>
      <c r="O3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39" s="2">
        <v>0.32708333333333334</v>
      </c>
      <c r="Q339" s="2">
        <v>0.3527777777777778</v>
      </c>
      <c r="R339" s="16">
        <v>0.42430555555555555</v>
      </c>
      <c r="S339" s="16" t="s">
        <v>85</v>
      </c>
      <c r="T339" s="14">
        <f>IF(OR(Tabela1[[#This Row],[Entrada]]="",Tabela1[[#This Row],[Saída]]=""), "", Tabela1[[#This Row],[Saída]]-Tabela1[[#This Row],[Entrada]])</f>
        <v>7.1527777777777746E-2</v>
      </c>
      <c r="U339" s="15">
        <f>IF(OR('Controle de CT'!$R339= "", 'Controle de CT'!$P339= ""), "", 'Controle de CT'!$R339-'Controle de CT'!$P339)</f>
        <v>9.722222222222221E-2</v>
      </c>
      <c r="V339" s="1"/>
      <c r="W339" s="2"/>
      <c r="X339" s="2"/>
    </row>
    <row r="340" spans="11:24" ht="15" hidden="1" customHeight="1">
      <c r="K340" s="5">
        <v>46081</v>
      </c>
      <c r="L340" s="8" t="s">
        <v>86</v>
      </c>
      <c r="M340" s="9" t="str">
        <f>IF(Tabela1[[#This Row],[Motorista]]="","",IFERROR(_xlfn.XLOOKUP(Tabela1[[#This Row],[Motorista]],Base!A:A,Base!B:B),""))</f>
        <v>FOB</v>
      </c>
      <c r="N340" s="20" t="str">
        <f t="shared" ref="N340:N348" si="8">IF(R340&lt;&gt;"","Finalizado", IF(Q340&lt;&gt;"","Fila de Carregamento", IF(P340&lt;&gt;"","Aguardando Entrada","")))</f>
        <v>Finalizado</v>
      </c>
      <c r="O3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0" s="4">
        <v>0.25277777777777777</v>
      </c>
      <c r="Q340" s="4">
        <v>0.2902777777777778</v>
      </c>
      <c r="R340" s="23">
        <v>0.36944444444444446</v>
      </c>
      <c r="S340" s="16" t="s">
        <v>85</v>
      </c>
      <c r="T340" s="14">
        <f>IF(OR(Tabela1[[#This Row],[Entrada]]="",Tabela1[[#This Row],[Saída]]=""), "", Tabela1[[#This Row],[Saída]]-Tabela1[[#This Row],[Entrada]])</f>
        <v>7.9166666666666663E-2</v>
      </c>
      <c r="U340" s="15">
        <f>IF(OR('Controle de CT'!$R340= "", 'Controle de CT'!$P340= ""), "", 'Controle de CT'!$R340-'Controle de CT'!$P340)</f>
        <v>0.1166666666666667</v>
      </c>
      <c r="V340" s="1"/>
      <c r="W340" s="2"/>
      <c r="X340" s="2"/>
    </row>
    <row r="341" spans="11:24" ht="15" hidden="1" customHeight="1">
      <c r="K341" s="5">
        <v>46081</v>
      </c>
      <c r="L341" s="8" t="s">
        <v>88</v>
      </c>
      <c r="M341" s="9" t="str">
        <f>IF(Tabela1[[#This Row],[Motorista]]="","",IFERROR(_xlfn.XLOOKUP(Tabela1[[#This Row],[Motorista]],Base!A:A,Base!B:B),""))</f>
        <v>RZD</v>
      </c>
      <c r="N341" s="20" t="str">
        <f t="shared" si="8"/>
        <v>Finalizado</v>
      </c>
      <c r="O3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1" s="4">
        <v>0.30694444444444446</v>
      </c>
      <c r="Q341" s="4">
        <v>0.33680555555555558</v>
      </c>
      <c r="R341" s="23">
        <v>0.39583333333333331</v>
      </c>
      <c r="S341" s="16" t="s">
        <v>85</v>
      </c>
      <c r="T341" s="14">
        <f>IF(OR(Tabela1[[#This Row],[Entrada]]="",Tabela1[[#This Row],[Saída]]=""), "", Tabela1[[#This Row],[Saída]]-Tabela1[[#This Row],[Entrada]])</f>
        <v>5.9027777777777735E-2</v>
      </c>
      <c r="U341" s="15">
        <f>IF(OR('Controle de CT'!$R341= "", 'Controle de CT'!$P341= ""), "", 'Controle de CT'!$R341-'Controle de CT'!$P341)</f>
        <v>8.8888888888888851E-2</v>
      </c>
      <c r="V341" s="1"/>
      <c r="W341" s="2"/>
      <c r="X341" s="2"/>
    </row>
    <row r="342" spans="11:24" ht="15" hidden="1" customHeight="1">
      <c r="K342" s="5">
        <v>46081</v>
      </c>
      <c r="L342" s="8" t="s">
        <v>92</v>
      </c>
      <c r="M342" s="9" t="str">
        <f>IF(Tabela1[[#This Row],[Motorista]]="","",IFERROR(_xlfn.XLOOKUP(Tabela1[[#This Row],[Motorista]],Base!A:A,Base!B:B),""))</f>
        <v>FOB</v>
      </c>
      <c r="N342" s="20" t="str">
        <f t="shared" si="8"/>
        <v>Finalizado</v>
      </c>
      <c r="O3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42" s="4">
        <v>0.31944444444444442</v>
      </c>
      <c r="Q342" s="4">
        <v>0.375</v>
      </c>
      <c r="R342" s="23">
        <v>0.4597222222222222</v>
      </c>
      <c r="S342" s="16" t="s">
        <v>85</v>
      </c>
      <c r="T342" s="14">
        <f>IF(OR(Tabela1[[#This Row],[Entrada]]="",Tabela1[[#This Row],[Saída]]=""), "", Tabela1[[#This Row],[Saída]]-Tabela1[[#This Row],[Entrada]])</f>
        <v>8.4722222222222199E-2</v>
      </c>
      <c r="U342" s="15">
        <f>IF(OR('Controle de CT'!$R342= "", 'Controle de CT'!$P342= ""), "", 'Controle de CT'!$R342-'Controle de CT'!$P342)</f>
        <v>0.14027777777777778</v>
      </c>
      <c r="V342" s="1"/>
      <c r="W342" s="2"/>
      <c r="X342" s="2"/>
    </row>
    <row r="343" spans="11:24" ht="15" hidden="1" customHeight="1">
      <c r="K343" s="5">
        <v>46081</v>
      </c>
      <c r="L343" s="8" t="s">
        <v>89</v>
      </c>
      <c r="M343" s="9" t="str">
        <f>IF(Tabela1[[#This Row],[Motorista]]="","",IFERROR(_xlfn.XLOOKUP(Tabela1[[#This Row],[Motorista]],Base!A:A,Base!B:B),""))</f>
        <v>FOB</v>
      </c>
      <c r="N343" s="20" t="str">
        <f t="shared" si="8"/>
        <v>Finalizado</v>
      </c>
      <c r="O3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3" s="2">
        <v>0.30972222222222223</v>
      </c>
      <c r="Q343" s="2">
        <v>0.34236111111111112</v>
      </c>
      <c r="R343" s="16">
        <v>0.42986111111111114</v>
      </c>
      <c r="S343" s="16" t="s">
        <v>85</v>
      </c>
      <c r="T343" s="14">
        <f>IF(OR(Tabela1[[#This Row],[Entrada]]="",Tabela1[[#This Row],[Saída]]=""), "", Tabela1[[#This Row],[Saída]]-Tabela1[[#This Row],[Entrada]])</f>
        <v>8.7500000000000022E-2</v>
      </c>
      <c r="U343" s="15">
        <f>IF(OR('Controle de CT'!$R343= "", 'Controle de CT'!$P343= ""), "", 'Controle de CT'!$R343-'Controle de CT'!$P343)</f>
        <v>0.12013888888888891</v>
      </c>
      <c r="V343" s="1"/>
      <c r="W343" s="2"/>
      <c r="X343" s="2"/>
    </row>
    <row r="344" spans="11:24" ht="15" hidden="1" customHeight="1">
      <c r="K344" s="5">
        <v>46081</v>
      </c>
      <c r="L344" s="8" t="s">
        <v>121</v>
      </c>
      <c r="M344" s="9" t="str">
        <f>IF(Tabela1[[#This Row],[Motorista]]="","",IFERROR(_xlfn.XLOOKUP(Tabela1[[#This Row],[Motorista]],Base!A:A,Base!B:B),""))</f>
        <v>CIF</v>
      </c>
      <c r="N344" s="20" t="str">
        <f t="shared" si="8"/>
        <v>Finalizado</v>
      </c>
      <c r="O3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4" s="2">
        <v>0.29166666666666669</v>
      </c>
      <c r="Q344" s="2">
        <v>0.3034722222222222</v>
      </c>
      <c r="R344" s="16">
        <v>0.44861111111111113</v>
      </c>
      <c r="S344" s="16" t="s">
        <v>85</v>
      </c>
      <c r="T344" s="14">
        <f>IF(OR(Tabela1[[#This Row],[Entrada]]="",Tabela1[[#This Row],[Saída]]=""), "", Tabela1[[#This Row],[Saída]]-Tabela1[[#This Row],[Entrada]])</f>
        <v>0.14513888888888893</v>
      </c>
      <c r="U344" s="15">
        <f>IF(OR('Controle de CT'!$R344= "", 'Controle de CT'!$P344= ""), "", 'Controle de CT'!$R344-'Controle de CT'!$P344)</f>
        <v>0.15694444444444444</v>
      </c>
      <c r="V344" s="1"/>
      <c r="W344" s="2"/>
      <c r="X344" s="2"/>
    </row>
    <row r="345" spans="11:24" ht="15" hidden="1" customHeight="1">
      <c r="K345" s="5">
        <v>46081</v>
      </c>
      <c r="L345" s="8" t="s">
        <v>52</v>
      </c>
      <c r="M345" s="9" t="str">
        <f>IF(Tabela1[[#This Row],[Motorista]]="","",IFERROR(_xlfn.XLOOKUP(Tabela1[[#This Row],[Motorista]],Base!A:A,Base!B:B),""))</f>
        <v>CIF</v>
      </c>
      <c r="N345" s="20" t="str">
        <f t="shared" si="8"/>
        <v>Finalizado</v>
      </c>
      <c r="O3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5" s="2">
        <v>0.38541666666666669</v>
      </c>
      <c r="Q345" s="2">
        <v>0.41319444444444442</v>
      </c>
      <c r="R345" s="16">
        <v>0.48888888888888887</v>
      </c>
      <c r="S345" s="16" t="s">
        <v>85</v>
      </c>
      <c r="T345" s="14">
        <f>IF(OR(Tabela1[[#This Row],[Entrada]]="",Tabela1[[#This Row],[Saída]]=""), "", Tabela1[[#This Row],[Saída]]-Tabela1[[#This Row],[Entrada]])</f>
        <v>7.5694444444444453E-2</v>
      </c>
      <c r="U345" s="15">
        <f>IF(OR('Controle de CT'!$R345= "", 'Controle de CT'!$P345= ""), "", 'Controle de CT'!$R345-'Controle de CT'!$P345)</f>
        <v>0.10347222222222219</v>
      </c>
      <c r="V345" s="1"/>
      <c r="W345" s="2"/>
      <c r="X345" s="2"/>
    </row>
    <row r="346" spans="11:24" ht="15" hidden="1" customHeight="1">
      <c r="K346" s="5">
        <v>46081</v>
      </c>
      <c r="L346" s="8" t="s">
        <v>57</v>
      </c>
      <c r="M346" s="9" t="str">
        <f>IF(Tabela1[[#This Row],[Motorista]]="","",IFERROR(_xlfn.XLOOKUP(Tabela1[[#This Row],[Motorista]],Base!A:A,Base!B:B),""))</f>
        <v>CIF</v>
      </c>
      <c r="N346" s="20" t="str">
        <f t="shared" si="8"/>
        <v>Finalizado</v>
      </c>
      <c r="O3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46" s="2">
        <v>0.40277777777777779</v>
      </c>
      <c r="Q346" s="2">
        <v>0.4152777777777778</v>
      </c>
      <c r="R346" s="16">
        <v>0.47569444444444442</v>
      </c>
      <c r="S346" s="16" t="s">
        <v>85</v>
      </c>
      <c r="T346" s="14">
        <f>IF(OR(Tabela1[[#This Row],[Entrada]]="",Tabela1[[#This Row],[Saída]]=""), "", Tabela1[[#This Row],[Saída]]-Tabela1[[#This Row],[Entrada]])</f>
        <v>6.0416666666666619E-2</v>
      </c>
      <c r="U346" s="15">
        <f>IF(OR('Controle de CT'!$R346= "", 'Controle de CT'!$P346= ""), "", 'Controle de CT'!$R346-'Controle de CT'!$P346)</f>
        <v>7.291666666666663E-2</v>
      </c>
      <c r="V346" s="1"/>
      <c r="W346" s="2"/>
      <c r="X346" s="2"/>
    </row>
    <row r="347" spans="11:24" ht="15" hidden="1" customHeight="1">
      <c r="K347" s="5">
        <v>46081</v>
      </c>
      <c r="L347" s="8" t="s">
        <v>46</v>
      </c>
      <c r="M347" s="9" t="str">
        <f>IF(Tabela1[[#This Row],[Motorista]]="","",IFERROR(_xlfn.XLOOKUP(Tabela1[[#This Row],[Motorista]],Base!A:A,Base!B:B),""))</f>
        <v>CIF</v>
      </c>
      <c r="N347" s="20" t="str">
        <f t="shared" si="8"/>
        <v>Finalizado</v>
      </c>
      <c r="O3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47" s="2">
        <v>0.40277777777777779</v>
      </c>
      <c r="Q347" s="2">
        <v>0.44374999999999998</v>
      </c>
      <c r="R347" s="16">
        <v>0.48749999999999999</v>
      </c>
      <c r="S347" s="16" t="s">
        <v>85</v>
      </c>
      <c r="T347" s="14">
        <f>IF(OR(Tabela1[[#This Row],[Entrada]]="",Tabela1[[#This Row],[Saída]]=""), "", Tabela1[[#This Row],[Saída]]-Tabela1[[#This Row],[Entrada]])</f>
        <v>4.3750000000000011E-2</v>
      </c>
      <c r="U347" s="15">
        <f>IF(OR('Controle de CT'!$R347= "", 'Controle de CT'!$P347= ""), "", 'Controle de CT'!$R347-'Controle de CT'!$P347)</f>
        <v>8.4722222222222199E-2</v>
      </c>
      <c r="V347" s="1"/>
      <c r="W347" s="2"/>
      <c r="X347" s="2"/>
    </row>
    <row r="348" spans="11:24" ht="15" hidden="1" customHeight="1">
      <c r="K348" s="5">
        <v>46081</v>
      </c>
      <c r="L348" s="8" t="s">
        <v>58</v>
      </c>
      <c r="M348" s="9" t="str">
        <f>IF(Tabela1[[#This Row],[Motorista]]="","",IFERROR(_xlfn.XLOOKUP(Tabela1[[#This Row],[Motorista]],Base!A:A,Base!B:B),""))</f>
        <v xml:space="preserve">CIF </v>
      </c>
      <c r="N348" s="20" t="str">
        <f t="shared" si="8"/>
        <v>Finalizado</v>
      </c>
      <c r="O3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8" s="2">
        <v>0.40902777777777777</v>
      </c>
      <c r="Q348" s="2">
        <v>0.44861111111111113</v>
      </c>
      <c r="R348" s="16">
        <v>0.49791666666666667</v>
      </c>
      <c r="S348" s="16" t="s">
        <v>85</v>
      </c>
      <c r="T348" s="14">
        <f>IF(OR(Tabela1[[#This Row],[Entrada]]="",Tabela1[[#This Row],[Saída]]=""), "", Tabela1[[#This Row],[Saída]]-Tabela1[[#This Row],[Entrada]])</f>
        <v>4.9305555555555547E-2</v>
      </c>
      <c r="U348" s="15">
        <f>IF(OR('Controle de CT'!$R348= "", 'Controle de CT'!$P348= ""), "", 'Controle de CT'!$R348-'Controle de CT'!$P348)</f>
        <v>8.8888888888888906E-2</v>
      </c>
      <c r="V348" s="1"/>
      <c r="W348" s="2"/>
      <c r="X348" s="2"/>
    </row>
    <row r="349" spans="11:24" ht="15" hidden="1" customHeight="1">
      <c r="K349" s="5">
        <v>46081</v>
      </c>
      <c r="L349" s="8" t="s">
        <v>98</v>
      </c>
      <c r="M349" s="9" t="str">
        <f>IF(Tabela1[[#This Row],[Motorista]]="","",IFERROR(_xlfn.XLOOKUP(Tabela1[[#This Row],[Motorista]],Base!A:A,Base!B:B),""))</f>
        <v>FOB</v>
      </c>
      <c r="N349" s="20" t="str">
        <f t="shared" ref="N349:N352" si="9">IF(R349&lt;&gt;"","Finalizado", IF(Q349&lt;&gt;"","Fila de Carregamento", IF(P349&lt;&gt;"","Aguardando Entrada","")))</f>
        <v>Finalizado</v>
      </c>
      <c r="O3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49" s="4">
        <v>0.4</v>
      </c>
      <c r="Q349" s="4">
        <v>0.48680555555555555</v>
      </c>
      <c r="R349" s="23">
        <v>0.51666666666666672</v>
      </c>
      <c r="S349" s="16" t="s">
        <v>85</v>
      </c>
      <c r="T349" s="14">
        <f>IF(OR(Tabela1[[#This Row],[Entrada]]="",Tabela1[[#This Row],[Saída]]=""), "", Tabela1[[#This Row],[Saída]]-Tabela1[[#This Row],[Entrada]])</f>
        <v>2.9861111111111172E-2</v>
      </c>
      <c r="U349" s="15">
        <f>IF(OR('Controle de CT'!$R349= "", 'Controle de CT'!$P349= ""), "", 'Controle de CT'!$R349-'Controle de CT'!$P349)</f>
        <v>0.1166666666666667</v>
      </c>
      <c r="V349" s="1"/>
      <c r="W349" s="2"/>
      <c r="X349" s="2"/>
    </row>
    <row r="350" spans="11:24" ht="15" hidden="1" customHeight="1">
      <c r="K350" s="5">
        <v>46081</v>
      </c>
      <c r="L350" s="8" t="s">
        <v>54</v>
      </c>
      <c r="M350" s="9" t="str">
        <f>IF(Tabela1[[#This Row],[Motorista]]="","",IFERROR(_xlfn.XLOOKUP(Tabela1[[#This Row],[Motorista]],Base!A:A,Base!B:B),""))</f>
        <v>CIF</v>
      </c>
      <c r="N350" s="20" t="str">
        <f t="shared" si="9"/>
        <v>Finalizado</v>
      </c>
      <c r="O3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0" s="2">
        <v>0.41111111111111109</v>
      </c>
      <c r="Q350" s="2">
        <v>0.45347222222222222</v>
      </c>
      <c r="R350" s="16">
        <v>0.52986111111111112</v>
      </c>
      <c r="S350" s="16" t="s">
        <v>85</v>
      </c>
      <c r="T350" s="14">
        <f>IF(OR(Tabela1[[#This Row],[Entrada]]="",Tabela1[[#This Row],[Saída]]=""), "", Tabela1[[#This Row],[Saída]]-Tabela1[[#This Row],[Entrada]])</f>
        <v>7.6388888888888895E-2</v>
      </c>
      <c r="U350" s="15">
        <f>IF(OR('Controle de CT'!$R350= "", 'Controle de CT'!$P350= ""), "", 'Controle de CT'!$R350-'Controle de CT'!$P350)</f>
        <v>0.11875000000000002</v>
      </c>
      <c r="V350" s="1"/>
      <c r="W350" s="2"/>
      <c r="X350" s="2"/>
    </row>
    <row r="351" spans="11:24" ht="15" hidden="1" customHeight="1">
      <c r="K351" s="5">
        <v>46081</v>
      </c>
      <c r="L351" s="8" t="s">
        <v>116</v>
      </c>
      <c r="M351" s="9" t="str">
        <f>IF(Tabela1[[#This Row],[Motorista]]="","",IFERROR(_xlfn.XLOOKUP(Tabela1[[#This Row],[Motorista]],Base!A:A,Base!B:B),""))</f>
        <v xml:space="preserve">CIF </v>
      </c>
      <c r="N351" s="20" t="str">
        <f t="shared" si="9"/>
        <v>Finalizado</v>
      </c>
      <c r="O3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1" s="2">
        <v>0.4152777777777778</v>
      </c>
      <c r="R351" s="16">
        <v>0.51041666666666663</v>
      </c>
      <c r="S351" s="16" t="s">
        <v>85</v>
      </c>
      <c r="T351" s="14" t="str">
        <f>IF(OR(Tabela1[[#This Row],[Entrada]]="",Tabela1[[#This Row],[Saída]]=""), "", Tabela1[[#This Row],[Saída]]-Tabela1[[#This Row],[Entrada]])</f>
        <v/>
      </c>
      <c r="U351" s="15">
        <f>IF(OR('Controle de CT'!$R351= "", 'Controle de CT'!$P351= ""), "", 'Controle de CT'!$R351-'Controle de CT'!$P351)</f>
        <v>9.5138888888888828E-2</v>
      </c>
      <c r="V351" s="1"/>
      <c r="W351" s="2"/>
      <c r="X351" s="2"/>
    </row>
    <row r="352" spans="11:24" ht="15" hidden="1" customHeight="1">
      <c r="K352" s="5">
        <v>46081</v>
      </c>
      <c r="L352" s="8" t="s">
        <v>146</v>
      </c>
      <c r="M352" s="9" t="str">
        <f>IF(Tabela1[[#This Row],[Motorista]]="","",IFERROR(_xlfn.XLOOKUP(Tabela1[[#This Row],[Motorista]],Base!A:A,Base!B:B),""))</f>
        <v>Transferência</v>
      </c>
      <c r="N352" s="20" t="str">
        <f t="shared" si="9"/>
        <v>Finalizado</v>
      </c>
      <c r="O3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2" s="2">
        <v>0.42291666666666666</v>
      </c>
      <c r="R352" s="16">
        <v>0.50069444444444444</v>
      </c>
      <c r="S352" s="16" t="s">
        <v>85</v>
      </c>
      <c r="T352" s="14" t="str">
        <f>IF(OR(Tabela1[[#This Row],[Entrada]]="",Tabela1[[#This Row],[Saída]]=""), "", Tabela1[[#This Row],[Saída]]-Tabela1[[#This Row],[Entrada]])</f>
        <v/>
      </c>
      <c r="U352" s="15">
        <f>IF(OR('Controle de CT'!$R352= "", 'Controle de CT'!$P352= ""), "", 'Controle de CT'!$R352-'Controle de CT'!$P352)</f>
        <v>7.7777777777777779E-2</v>
      </c>
      <c r="V352" s="1"/>
      <c r="W352" s="2"/>
      <c r="X352" s="2"/>
    </row>
    <row r="353" spans="11:24" ht="15" hidden="1" customHeight="1">
      <c r="K353" s="5">
        <v>46081</v>
      </c>
      <c r="L353" s="8" t="s">
        <v>51</v>
      </c>
      <c r="M353" s="9" t="str">
        <f>IF(Tabela1[[#This Row],[Motorista]]="","",IFERROR(_xlfn.XLOOKUP(Tabela1[[#This Row],[Motorista]],Base!A:A,Base!B:B),""))</f>
        <v>CIF</v>
      </c>
      <c r="N353" s="20" t="str">
        <f>IF(R353&lt;&gt;"","Finalizado", IF(Q353&lt;&gt;"","Fila de Carregamento", IF(P353&lt;&gt;"","Aguardando Entrada","")))</f>
        <v>Finalizado</v>
      </c>
      <c r="O3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3" s="4">
        <v>0.36249999999999999</v>
      </c>
      <c r="Q353" s="4">
        <v>0.38611111111111113</v>
      </c>
      <c r="R353" s="23">
        <v>0.43888888888888888</v>
      </c>
      <c r="S353" s="16" t="s">
        <v>85</v>
      </c>
      <c r="T353" s="14">
        <f>IF(OR(Tabela1[[#This Row],[Entrada]]="",Tabela1[[#This Row],[Saída]]=""), "", Tabela1[[#This Row],[Saída]]-Tabela1[[#This Row],[Entrada]])</f>
        <v>5.2777777777777757E-2</v>
      </c>
      <c r="U353" s="15">
        <f>IF(OR('Controle de CT'!$R353= "", 'Controle de CT'!$P353= ""), "", 'Controle de CT'!$R353-'Controle de CT'!$P353)</f>
        <v>7.6388888888888895E-2</v>
      </c>
      <c r="V353" s="1"/>
      <c r="W353" s="2"/>
      <c r="X353" s="2"/>
    </row>
    <row r="354" spans="11:24" ht="15" hidden="1" customHeight="1">
      <c r="K354" s="5">
        <v>46081</v>
      </c>
      <c r="L354" s="8" t="s">
        <v>45</v>
      </c>
      <c r="M354" s="9" t="str">
        <f>IF(Tabela1[[#This Row],[Motorista]]="","",IFERROR(_xlfn.XLOOKUP(Tabela1[[#This Row],[Motorista]],Base!A:A,Base!B:B),""))</f>
        <v>CIF</v>
      </c>
      <c r="N354" s="20" t="str">
        <f>IF(R354&lt;&gt;"","Finalizado", IF(Q354&lt;&gt;"","Fila de Carregamento", IF(P354&lt;&gt;"","Aguardando Entrada","")))</f>
        <v>Finalizado</v>
      </c>
      <c r="O3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4" s="4">
        <v>0.36666666666666664</v>
      </c>
      <c r="Q354" s="4">
        <v>0.39027777777777778</v>
      </c>
      <c r="R354" s="23">
        <v>0.45763888888888887</v>
      </c>
      <c r="S354" s="16" t="s">
        <v>85</v>
      </c>
      <c r="T354" s="14">
        <f>IF(OR(Tabela1[[#This Row],[Entrada]]="",Tabela1[[#This Row],[Saída]]=""), "", Tabela1[[#This Row],[Saída]]-Tabela1[[#This Row],[Entrada]])</f>
        <v>6.7361111111111094E-2</v>
      </c>
      <c r="U354" s="15">
        <f>IF(OR('Controle de CT'!$R354= "", 'Controle de CT'!$P354= ""), "", 'Controle de CT'!$R354-'Controle de CT'!$P354)</f>
        <v>9.0972222222222232E-2</v>
      </c>
      <c r="V354" s="1"/>
      <c r="W354" s="2"/>
      <c r="X354" s="2"/>
    </row>
    <row r="355" spans="11:24" ht="15" hidden="1" customHeight="1">
      <c r="K355" s="5">
        <v>46081</v>
      </c>
      <c r="L355" s="8" t="s">
        <v>90</v>
      </c>
      <c r="M355" s="9" t="str">
        <f>IF(Tabela1[[#This Row],[Motorista]]="","",IFERROR(_xlfn.XLOOKUP(Tabela1[[#This Row],[Motorista]],Base!A:A,Base!B:B),""))</f>
        <v>FOB</v>
      </c>
      <c r="N355" s="20" t="str">
        <f t="shared" ref="N355:N356" si="10">IF(R355&lt;&gt;"","Finalizado", IF(Q355&lt;&gt;"","Fila de Carregamento", IF(P355&lt;&gt;"","Aguardando Entrada","")))</f>
        <v>Finalizado</v>
      </c>
      <c r="O3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55" s="4">
        <v>0.4465277777777778</v>
      </c>
      <c r="Q355" s="4">
        <v>0.57013888888888886</v>
      </c>
      <c r="R355" s="23">
        <v>0.60416666666666663</v>
      </c>
      <c r="S355" s="16" t="s">
        <v>85</v>
      </c>
      <c r="T355" s="14">
        <f>IF(OR(Tabela1[[#This Row],[Entrada]]="",Tabela1[[#This Row],[Saída]]=""), "", Tabela1[[#This Row],[Saída]]-Tabela1[[#This Row],[Entrada]])</f>
        <v>3.4027777777777768E-2</v>
      </c>
      <c r="U355" s="15">
        <f>IF(OR('Controle de CT'!$R355= "", 'Controle de CT'!$P355= ""), "", 'Controle de CT'!$R355-'Controle de CT'!$P355)</f>
        <v>0.15763888888888883</v>
      </c>
      <c r="V355" s="1"/>
      <c r="W355" s="2"/>
      <c r="X355" s="2"/>
    </row>
    <row r="356" spans="11:24" ht="15" hidden="1" customHeight="1">
      <c r="K356" s="5">
        <v>46081</v>
      </c>
      <c r="L356" s="8" t="s">
        <v>49</v>
      </c>
      <c r="M356" s="9" t="str">
        <f>IF(Tabela1[[#This Row],[Motorista]]="","",IFERROR(_xlfn.XLOOKUP(Tabela1[[#This Row],[Motorista]],Base!A:A,Base!B:B),""))</f>
        <v>CIF</v>
      </c>
      <c r="N356" s="20" t="str">
        <f t="shared" si="10"/>
        <v>Finalizado</v>
      </c>
      <c r="O3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56" s="2">
        <v>0.45277777777777778</v>
      </c>
      <c r="Q356" s="2">
        <v>0.47916666666666669</v>
      </c>
      <c r="R356" s="16">
        <v>0.54166666666666663</v>
      </c>
      <c r="S356" s="16" t="s">
        <v>85</v>
      </c>
      <c r="T356" s="14">
        <f>IF(OR(Tabela1[[#This Row],[Entrada]]="",Tabela1[[#This Row],[Saída]]=""), "", Tabela1[[#This Row],[Saída]]-Tabela1[[#This Row],[Entrada]])</f>
        <v>6.2499999999999944E-2</v>
      </c>
      <c r="U356" s="15">
        <f>IF(OR('Controle de CT'!$R356= "", 'Controle de CT'!$P356= ""), "", 'Controle de CT'!$R356-'Controle de CT'!$P356)</f>
        <v>8.8888888888888851E-2</v>
      </c>
      <c r="V356" s="1"/>
      <c r="W356" s="2"/>
      <c r="X356" s="2"/>
    </row>
    <row r="357" spans="11:24" ht="15" hidden="1" customHeight="1">
      <c r="K357" s="5">
        <v>46081</v>
      </c>
      <c r="L357" s="8" t="s">
        <v>47</v>
      </c>
      <c r="M357" s="9" t="str">
        <f>IF(Tabela1[[#This Row],[Motorista]]="","",IFERROR(_xlfn.XLOOKUP(Tabela1[[#This Row],[Motorista]],Base!A:A,Base!B:B),""))</f>
        <v>CIF</v>
      </c>
      <c r="N357" s="20" t="str">
        <f t="shared" ref="N357:N403" si="11">IF(R357&lt;&gt;"","Finalizado", IF(Q357&lt;&gt;"","Fila de Carregamento", IF(P357&lt;&gt;"","Aguardando Entrada","")))</f>
        <v>Finalizado</v>
      </c>
      <c r="O3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57" s="4">
        <v>0.45833333333333331</v>
      </c>
      <c r="Q357" s="4">
        <v>0.49583333333333335</v>
      </c>
      <c r="R357" s="23">
        <v>0.56874999999999998</v>
      </c>
      <c r="S357" s="16" t="s">
        <v>85</v>
      </c>
      <c r="T357" s="14">
        <f>IF(OR(Tabela1[[#This Row],[Entrada]]="",Tabela1[[#This Row],[Saída]]=""), "", Tabela1[[#This Row],[Saída]]-Tabela1[[#This Row],[Entrada]])</f>
        <v>7.291666666666663E-2</v>
      </c>
      <c r="U357" s="15">
        <f>IF(OR('Controle de CT'!$R357= "", 'Controle de CT'!$P357= ""), "", 'Controle de CT'!$R357-'Controle de CT'!$P357)</f>
        <v>0.11041666666666666</v>
      </c>
      <c r="V357" s="1"/>
      <c r="W357" s="2"/>
      <c r="X357" s="2"/>
    </row>
    <row r="358" spans="11:24" ht="15" hidden="1" customHeight="1">
      <c r="K358" s="5">
        <v>46081</v>
      </c>
      <c r="L358" s="8" t="s">
        <v>46</v>
      </c>
      <c r="M358" s="9" t="str">
        <f>IF(Tabela1[[#This Row],[Motorista]]="","",IFERROR(_xlfn.XLOOKUP(Tabela1[[#This Row],[Motorista]],Base!A:A,Base!B:B),""))</f>
        <v>CIF</v>
      </c>
      <c r="N358" s="20" t="str">
        <f t="shared" si="11"/>
        <v>Finalizado</v>
      </c>
      <c r="O3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58" s="4">
        <v>0.56944444444444442</v>
      </c>
      <c r="Q358" s="4">
        <v>0.58333333333333337</v>
      </c>
      <c r="R358" s="23">
        <v>0.61041666666666672</v>
      </c>
      <c r="S358" s="16" t="s">
        <v>85</v>
      </c>
      <c r="T358" s="14">
        <f>IF(OR(Tabela1[[#This Row],[Entrada]]="",Tabela1[[#This Row],[Saída]]=""), "", Tabela1[[#This Row],[Saída]]-Tabela1[[#This Row],[Entrada]])</f>
        <v>2.7083333333333348E-2</v>
      </c>
      <c r="U358" s="15">
        <f>IF(OR('Controle de CT'!$R358= "", 'Controle de CT'!$P358= ""), "", 'Controle de CT'!$R358-'Controle de CT'!$P358)</f>
        <v>4.0972222222222299E-2</v>
      </c>
      <c r="V358" s="1"/>
      <c r="W358" s="2"/>
      <c r="X358" s="2"/>
    </row>
    <row r="359" spans="11:24" ht="15" hidden="1" customHeight="1">
      <c r="K359" s="5">
        <v>46083</v>
      </c>
      <c r="L359" s="8" t="s">
        <v>137</v>
      </c>
      <c r="M359" s="9" t="str">
        <f>IF(Tabela1[[#This Row],[Motorista]]="","",IFERROR(_xlfn.XLOOKUP(Tabela1[[#This Row],[Motorista]],Base!A:A,Base!B:B),""))</f>
        <v>RZD</v>
      </c>
      <c r="N359" s="20" t="str">
        <f t="shared" si="11"/>
        <v>Aguardando Entrada</v>
      </c>
      <c r="O3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59" s="4">
        <v>0.25763888888888886</v>
      </c>
      <c r="Q359" s="4"/>
      <c r="R359" s="23"/>
      <c r="S359" s="16"/>
      <c r="T359" s="14" t="str">
        <f>IF(OR(Tabela1[[#This Row],[Entrada]]="",Tabela1[[#This Row],[Saída]]=""), "", Tabela1[[#This Row],[Saída]]-Tabela1[[#This Row],[Entrada]])</f>
        <v/>
      </c>
      <c r="U359" s="15" t="str">
        <f>IF(OR('Controle de CT'!$R359= "", 'Controle de CT'!$P359= ""), "", 'Controle de CT'!$R359-'Controle de CT'!$P359)</f>
        <v/>
      </c>
      <c r="V359" s="1"/>
      <c r="W359" s="2"/>
      <c r="X359" s="2"/>
    </row>
    <row r="360" spans="11:24" ht="15" hidden="1" customHeight="1">
      <c r="K360" s="5">
        <v>46083</v>
      </c>
      <c r="L360" s="8" t="s">
        <v>104</v>
      </c>
      <c r="M360" s="9" t="str">
        <f>IF(Tabela1[[#This Row],[Motorista]]="","",IFERROR(_xlfn.XLOOKUP(Tabela1[[#This Row],[Motorista]],Base!A:A,Base!B:B),""))</f>
        <v>RZD</v>
      </c>
      <c r="N360" s="20" t="str">
        <f t="shared" si="11"/>
        <v>Aguardando Entrada</v>
      </c>
      <c r="O3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0" s="4">
        <v>0.25763888888888886</v>
      </c>
      <c r="Q360" s="4"/>
      <c r="R360" s="23"/>
      <c r="S360" s="16"/>
      <c r="T360" s="14" t="str">
        <f>IF(OR(Tabela1[[#This Row],[Entrada]]="",Tabela1[[#This Row],[Saída]]=""), "", Tabela1[[#This Row],[Saída]]-Tabela1[[#This Row],[Entrada]])</f>
        <v/>
      </c>
      <c r="U360" s="15" t="str">
        <f>IF(OR('Controle de CT'!$R360= "", 'Controle de CT'!$P360= ""), "", 'Controle de CT'!$R360-'Controle de CT'!$P360)</f>
        <v/>
      </c>
      <c r="V360" s="1"/>
      <c r="W360" s="2"/>
      <c r="X360" s="2"/>
    </row>
    <row r="361" spans="11:24" ht="15" hidden="1" customHeight="1">
      <c r="K361" s="5">
        <v>46083</v>
      </c>
      <c r="L361" s="8" t="s">
        <v>56</v>
      </c>
      <c r="M361" s="9" t="str">
        <f>IF(Tabela1[[#This Row],[Motorista]]="","",IFERROR(_xlfn.XLOOKUP(Tabela1[[#This Row],[Motorista]],Base!A:A,Base!B:B),""))</f>
        <v/>
      </c>
      <c r="N361" s="20" t="str">
        <f t="shared" si="11"/>
        <v>Finalizado</v>
      </c>
      <c r="O3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1" s="4">
        <v>0.26805555555555555</v>
      </c>
      <c r="Q361" s="4">
        <v>0.28333333333333333</v>
      </c>
      <c r="R361" s="23">
        <v>0.36875000000000002</v>
      </c>
      <c r="S361" s="16" t="s">
        <v>85</v>
      </c>
      <c r="T361" s="14">
        <f>IF(OR(Tabela1[[#This Row],[Entrada]]="",Tabela1[[#This Row],[Saída]]=""), "", Tabela1[[#This Row],[Saída]]-Tabela1[[#This Row],[Entrada]])</f>
        <v>8.5416666666666696E-2</v>
      </c>
      <c r="U361" s="15">
        <f>IF(OR('Controle de CT'!$R361= "", 'Controle de CT'!$P361= ""), "", 'Controle de CT'!$R361-'Controle de CT'!$P361)</f>
        <v>0.10069444444444448</v>
      </c>
      <c r="V361" s="1"/>
      <c r="W361" s="2"/>
      <c r="X361" s="2"/>
    </row>
    <row r="362" spans="11:24" ht="15" hidden="1" customHeight="1">
      <c r="K362" s="5">
        <v>46083</v>
      </c>
      <c r="L362" s="8" t="s">
        <v>47</v>
      </c>
      <c r="M362" s="9" t="str">
        <f>IF(Tabela1[[#This Row],[Motorista]]="","",IFERROR(_xlfn.XLOOKUP(Tabela1[[#This Row],[Motorista]],Base!A:A,Base!B:B),""))</f>
        <v>CIF</v>
      </c>
      <c r="N362" s="20" t="str">
        <f t="shared" si="11"/>
        <v>Finalizado</v>
      </c>
      <c r="O3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2" s="4">
        <v>0.26805555555555555</v>
      </c>
      <c r="Q362" s="4">
        <v>0.35972222222222222</v>
      </c>
      <c r="R362" s="23">
        <v>0.40138888888888891</v>
      </c>
      <c r="S362" s="16" t="s">
        <v>97</v>
      </c>
      <c r="T362" s="14">
        <f>IF(OR(Tabela1[[#This Row],[Entrada]]="",Tabela1[[#This Row],[Saída]]=""), "", Tabela1[[#This Row],[Saída]]-Tabela1[[#This Row],[Entrada]])</f>
        <v>4.1666666666666685E-2</v>
      </c>
      <c r="U362" s="15">
        <f>IF(OR('Controle de CT'!$R362= "", 'Controle de CT'!$P362= ""), "", 'Controle de CT'!$R362-'Controle de CT'!$P362)</f>
        <v>0.13333333333333336</v>
      </c>
      <c r="V362" s="1"/>
      <c r="W362" s="2"/>
      <c r="X362" s="2"/>
    </row>
    <row r="363" spans="11:24" ht="15" hidden="1" customHeight="1">
      <c r="K363" s="5">
        <v>46083</v>
      </c>
      <c r="L363" s="8" t="s">
        <v>57</v>
      </c>
      <c r="M363" s="9" t="str">
        <f>IF(Tabela1[[#This Row],[Motorista]]="","",IFERROR(_xlfn.XLOOKUP(Tabela1[[#This Row],[Motorista]],Base!A:A,Base!B:B),""))</f>
        <v>CIF</v>
      </c>
      <c r="N363" s="20" t="str">
        <f t="shared" si="11"/>
        <v>Finalizado</v>
      </c>
      <c r="O3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3" s="2">
        <v>0.26874999999999999</v>
      </c>
      <c r="Q363" s="2">
        <v>0.36805555555555558</v>
      </c>
      <c r="R363" s="16">
        <v>0.42222222222222222</v>
      </c>
      <c r="S363" s="16" t="s">
        <v>85</v>
      </c>
      <c r="T363" s="14">
        <f>IF(OR(Tabela1[[#This Row],[Entrada]]="",Tabela1[[#This Row],[Saída]]=""), "", Tabela1[[#This Row],[Saída]]-Tabela1[[#This Row],[Entrada]])</f>
        <v>5.4166666666666641E-2</v>
      </c>
      <c r="U363" s="15">
        <f>IF(OR('Controle de CT'!$R363= "", 'Controle de CT'!$P363= ""), "", 'Controle de CT'!$R363-'Controle de CT'!$P363)</f>
        <v>0.15347222222222223</v>
      </c>
      <c r="V363" s="1"/>
      <c r="W363" s="2"/>
      <c r="X363" s="2"/>
    </row>
    <row r="364" spans="11:24" ht="15" hidden="1" customHeight="1">
      <c r="K364" s="5">
        <v>46083</v>
      </c>
      <c r="L364" s="8" t="s">
        <v>87</v>
      </c>
      <c r="M364" s="9" t="str">
        <f>IF(Tabela1[[#This Row],[Motorista]]="","",IFERROR(_xlfn.XLOOKUP(Tabela1[[#This Row],[Motorista]],Base!A:A,Base!B:B),""))</f>
        <v>FOB</v>
      </c>
      <c r="N364" s="20" t="str">
        <f t="shared" si="11"/>
        <v>Finalizado</v>
      </c>
      <c r="O3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4" s="4">
        <v>0.28125</v>
      </c>
      <c r="Q364" s="4">
        <v>0.38263888888888886</v>
      </c>
      <c r="R364" s="23">
        <v>0.4152777777777778</v>
      </c>
      <c r="S364" s="16" t="s">
        <v>85</v>
      </c>
      <c r="T364" s="14">
        <f>IF(OR(Tabela1[[#This Row],[Entrada]]="",Tabela1[[#This Row],[Saída]]=""), "", Tabela1[[#This Row],[Saída]]-Tabela1[[#This Row],[Entrada]])</f>
        <v>3.2638888888888939E-2</v>
      </c>
      <c r="U364" s="15">
        <f>IF(OR('Controle de CT'!$R364= "", 'Controle de CT'!$P364= ""), "", 'Controle de CT'!$R364-'Controle de CT'!$P364)</f>
        <v>0.1340277777777778</v>
      </c>
      <c r="V364" s="1"/>
      <c r="W364" s="2"/>
      <c r="X364" s="2"/>
    </row>
    <row r="365" spans="11:24" ht="15" hidden="1" customHeight="1">
      <c r="K365" s="5">
        <v>46083</v>
      </c>
      <c r="L365" s="8" t="s">
        <v>86</v>
      </c>
      <c r="M365" s="9" t="str">
        <f>IF(Tabela1[[#This Row],[Motorista]]="","",IFERROR(_xlfn.XLOOKUP(Tabela1[[#This Row],[Motorista]],Base!A:A,Base!B:B),""))</f>
        <v>FOB</v>
      </c>
      <c r="N365" s="20" t="str">
        <f t="shared" si="11"/>
        <v>Finalizado</v>
      </c>
      <c r="O3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5" s="4">
        <v>0.2902777777777778</v>
      </c>
      <c r="Q365" s="4">
        <v>0.34652777777777777</v>
      </c>
      <c r="R365" s="23">
        <v>0.38541666666666669</v>
      </c>
      <c r="S365" s="16" t="s">
        <v>85</v>
      </c>
      <c r="T365" s="14">
        <f>IF(OR(Tabela1[[#This Row],[Entrada]]="",Tabela1[[#This Row],[Saída]]=""), "", Tabela1[[#This Row],[Saída]]-Tabela1[[#This Row],[Entrada]])</f>
        <v>3.8888888888888917E-2</v>
      </c>
      <c r="U365" s="15">
        <f>IF(OR('Controle de CT'!$R365= "", 'Controle de CT'!$P365= ""), "", 'Controle de CT'!$R365-'Controle de CT'!$P365)</f>
        <v>9.5138888888888884E-2</v>
      </c>
      <c r="V365" s="1"/>
      <c r="W365" s="2"/>
      <c r="X365" s="2"/>
    </row>
    <row r="366" spans="11:24" ht="15" hidden="1" customHeight="1">
      <c r="K366" s="5">
        <v>46083</v>
      </c>
      <c r="L366" s="8" t="s">
        <v>92</v>
      </c>
      <c r="M366" s="9" t="str">
        <f>IF(Tabela1[[#This Row],[Motorista]]="","",IFERROR(_xlfn.XLOOKUP(Tabela1[[#This Row],[Motorista]],Base!A:A,Base!B:B),""))</f>
        <v>FOB</v>
      </c>
      <c r="N366" s="20" t="str">
        <f t="shared" si="11"/>
        <v>Finalizado</v>
      </c>
      <c r="O3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66" s="2">
        <v>0.30416666666666664</v>
      </c>
      <c r="Q366" s="2">
        <v>0.35972222222222222</v>
      </c>
      <c r="R366" s="16">
        <v>0.40694444444444444</v>
      </c>
      <c r="S366" s="16" t="s">
        <v>85</v>
      </c>
      <c r="T366" s="14">
        <f>IF(OR(Tabela1[[#This Row],[Entrada]]="",Tabela1[[#This Row],[Saída]]=""), "", Tabela1[[#This Row],[Saída]]-Tabela1[[#This Row],[Entrada]])</f>
        <v>4.7222222222222221E-2</v>
      </c>
      <c r="U366" s="15">
        <f>IF(OR('Controle de CT'!$R366= "", 'Controle de CT'!$P366= ""), "", 'Controle de CT'!$R366-'Controle de CT'!$P366)</f>
        <v>0.1027777777777778</v>
      </c>
      <c r="V366" s="1"/>
      <c r="W366" s="2"/>
      <c r="X366" s="2"/>
    </row>
    <row r="367" spans="11:24" ht="15" hidden="1" customHeight="1">
      <c r="K367" s="5">
        <v>46084</v>
      </c>
      <c r="L367" s="8" t="s">
        <v>52</v>
      </c>
      <c r="M367" s="9" t="str">
        <f>IF(Tabela1[[#This Row],[Motorista]]="","",IFERROR(_xlfn.XLOOKUP(Tabela1[[#This Row],[Motorista]],Base!A:A,Base!B:B),""))</f>
        <v>CIF</v>
      </c>
      <c r="N367" s="20" t="str">
        <f t="shared" si="11"/>
        <v>Finalizado</v>
      </c>
      <c r="O3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67" s="2">
        <v>0.25</v>
      </c>
      <c r="Q367" s="2">
        <v>0.28125</v>
      </c>
      <c r="R367" s="16">
        <v>0.32569444444444445</v>
      </c>
      <c r="S367" s="16" t="s">
        <v>85</v>
      </c>
      <c r="T367" s="14">
        <f>IF(OR(Tabela1[[#This Row],[Entrada]]="",Tabela1[[#This Row],[Saída]]=""), "", Tabela1[[#This Row],[Saída]]-Tabela1[[#This Row],[Entrada]])</f>
        <v>4.4444444444444453E-2</v>
      </c>
      <c r="U367" s="15">
        <f>IF(OR('Controle de CT'!$R371= "", 'Controle de CT'!$P371= ""), "", 'Controle de CT'!$R371-'Controle de CT'!$P371)</f>
        <v>0.10972222222222222</v>
      </c>
      <c r="V367" s="1"/>
      <c r="W367" s="2"/>
      <c r="X367" s="2"/>
    </row>
    <row r="368" spans="11:24" ht="15" hidden="1" customHeight="1">
      <c r="K368" s="5">
        <v>46084</v>
      </c>
      <c r="L368" s="8" t="s">
        <v>46</v>
      </c>
      <c r="M368" s="9" t="str">
        <f>IF(Tabela1[[#This Row],[Motorista]]="","",IFERROR(_xlfn.XLOOKUP(Tabela1[[#This Row],[Motorista]],Base!A:A,Base!B:B),""))</f>
        <v>CIF</v>
      </c>
      <c r="N368" s="20" t="str">
        <f t="shared" si="11"/>
        <v>Finalizado</v>
      </c>
      <c r="O3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68" s="2">
        <v>0.25624999999999998</v>
      </c>
      <c r="Q368" s="2">
        <v>0.28888888888888886</v>
      </c>
      <c r="R368" s="16">
        <v>0.32916666666666666</v>
      </c>
      <c r="S368" s="16" t="s">
        <v>85</v>
      </c>
      <c r="T368" s="14">
        <f>IF(OR(Tabela1[[#This Row],[Entrada]]="",Tabela1[[#This Row],[Saída]]=""), "", Tabela1[[#This Row],[Saída]]-Tabela1[[#This Row],[Entrada]])</f>
        <v>4.0277777777777801E-2</v>
      </c>
      <c r="U368" s="15" t="str">
        <f>IF(OR('Controle de CT'!$R372= "", 'Controle de CT'!$P372= ""), "", 'Controle de CT'!$R372-'Controle de CT'!$P372)</f>
        <v/>
      </c>
      <c r="V368" s="1"/>
      <c r="W368" s="2"/>
      <c r="X368" s="2"/>
    </row>
    <row r="369" spans="11:24" ht="15" hidden="1" customHeight="1">
      <c r="K369" s="5">
        <v>46084</v>
      </c>
      <c r="L369" s="8" t="s">
        <v>56</v>
      </c>
      <c r="M369" s="9" t="str">
        <f>IF(Tabela1[[#This Row],[Motorista]]="","",IFERROR(_xlfn.XLOOKUP(Tabela1[[#This Row],[Motorista]],Base!A:A,Base!B:B),""))</f>
        <v/>
      </c>
      <c r="N369" s="20" t="str">
        <f t="shared" si="11"/>
        <v>Finalizado</v>
      </c>
      <c r="O3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69" s="2">
        <v>0.25972222222222224</v>
      </c>
      <c r="Q369" s="2">
        <v>0.28819444444444442</v>
      </c>
      <c r="R369" s="16">
        <v>0.31458333333333333</v>
      </c>
      <c r="S369" s="16" t="s">
        <v>85</v>
      </c>
      <c r="T369" s="14">
        <f>IF(OR(Tabela1[[#This Row],[Entrada]]="",Tabela1[[#This Row],[Saída]]=""), "", Tabela1[[#This Row],[Saída]]-Tabela1[[#This Row],[Entrada]])</f>
        <v>2.6388888888888906E-2</v>
      </c>
      <c r="U369" s="15" t="str">
        <f>IF(OR('Controle de CT'!$R373= "", 'Controle de CT'!$P373= ""), "", 'Controle de CT'!$R373-'Controle de CT'!$P373)</f>
        <v/>
      </c>
      <c r="V369" s="1"/>
      <c r="W369" s="2"/>
      <c r="X369" s="2"/>
    </row>
    <row r="370" spans="11:24" ht="15" hidden="1" customHeight="1">
      <c r="K370" s="5">
        <v>46084</v>
      </c>
      <c r="L370" s="8" t="s">
        <v>47</v>
      </c>
      <c r="M370" s="9" t="str">
        <f>IF(Tabela1[[#This Row],[Motorista]]="","",IFERROR(_xlfn.XLOOKUP(Tabela1[[#This Row],[Motorista]],Base!A:A,Base!B:B),""))</f>
        <v>CIF</v>
      </c>
      <c r="N370" s="20" t="str">
        <f t="shared" si="11"/>
        <v>Finalizado</v>
      </c>
      <c r="O3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370" s="2">
        <v>0.26180555555555557</v>
      </c>
      <c r="Q370" s="2">
        <v>0.29305555555555557</v>
      </c>
      <c r="R370" s="16">
        <v>0.35486111111111113</v>
      </c>
      <c r="S370" s="16" t="s">
        <v>85</v>
      </c>
      <c r="T370" s="14">
        <f>IF(OR(Tabela1[[#This Row],[Entrada]]="",Tabela1[[#This Row],[Saída]]=""), "", Tabela1[[#This Row],[Saída]]-Tabela1[[#This Row],[Entrada]])</f>
        <v>6.1805555555555558E-2</v>
      </c>
      <c r="U370" s="15" t="str">
        <f>IF(OR('Controle de CT'!$R374= "", 'Controle de CT'!$P374= ""), "", 'Controle de CT'!$R374-'Controle de CT'!$P374)</f>
        <v/>
      </c>
      <c r="V370" s="1"/>
      <c r="W370" s="2"/>
      <c r="X370" s="2"/>
    </row>
    <row r="371" spans="11:24" ht="15" hidden="1" customHeight="1">
      <c r="K371" s="5">
        <v>46084</v>
      </c>
      <c r="L371" s="8" t="s">
        <v>104</v>
      </c>
      <c r="M371" s="9" t="str">
        <f>IF(Tabela1[[#This Row],[Motorista]]="","",IFERROR(_xlfn.XLOOKUP(Tabela1[[#This Row],[Motorista]],Base!A:A,Base!B:B),""))</f>
        <v>RZD</v>
      </c>
      <c r="N371" s="20" t="str">
        <f t="shared" si="11"/>
        <v>Finalizado</v>
      </c>
      <c r="O3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1" s="2">
        <v>0.26805555555555555</v>
      </c>
      <c r="Q371" s="2">
        <v>0.3</v>
      </c>
      <c r="R371" s="16">
        <v>0.37777777777777777</v>
      </c>
      <c r="S371" s="16"/>
      <c r="T371" s="14">
        <f>IF(OR(Tabela1[[#This Row],[Entrada]]="",Tabela1[[#This Row],[Saída]]=""), "", Tabela1[[#This Row],[Saída]]-Tabela1[[#This Row],[Entrada]])</f>
        <v>7.7777777777777779E-2</v>
      </c>
      <c r="U371" s="15">
        <f>IF(OR('Controle de CT'!$R367= "", 'Controle de CT'!$P367= ""), "", 'Controle de CT'!$R367-'Controle de CT'!$P367)</f>
        <v>7.5694444444444453E-2</v>
      </c>
      <c r="V371" s="1"/>
      <c r="W371" s="2"/>
      <c r="X371" s="2"/>
    </row>
    <row r="372" spans="11:24" ht="15" hidden="1" customHeight="1">
      <c r="K372" s="5">
        <v>46084</v>
      </c>
      <c r="L372" s="8" t="s">
        <v>88</v>
      </c>
      <c r="M372" s="9" t="str">
        <f>IF(Tabela1[[#This Row],[Motorista]]="","",IFERROR(_xlfn.XLOOKUP(Tabela1[[#This Row],[Motorista]],Base!A:A,Base!B:B),""))</f>
        <v>RZD</v>
      </c>
      <c r="N372" s="20" t="str">
        <f t="shared" si="11"/>
        <v>Aguardando Entrada</v>
      </c>
      <c r="O3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2" s="2">
        <v>0.26874999999999999</v>
      </c>
      <c r="R372" s="16"/>
      <c r="S372" s="16"/>
      <c r="T372" s="14" t="str">
        <f>IF(OR(Tabela1[[#This Row],[Entrada]]="",Tabela1[[#This Row],[Saída]]=""), "", Tabela1[[#This Row],[Saída]]-Tabela1[[#This Row],[Entrada]])</f>
        <v/>
      </c>
      <c r="U372" s="15">
        <f>IF(OR('Controle de CT'!$R368= "", 'Controle de CT'!$P368= ""), "", 'Controle de CT'!$R368-'Controle de CT'!$P368)</f>
        <v>7.2916666666666685E-2</v>
      </c>
      <c r="V372" s="1"/>
      <c r="W372" s="2"/>
      <c r="X372" s="2"/>
    </row>
    <row r="373" spans="11:24" ht="15" hidden="1" customHeight="1">
      <c r="K373" s="5">
        <v>46084</v>
      </c>
      <c r="L373" s="8" t="s">
        <v>137</v>
      </c>
      <c r="M373" s="9" t="str">
        <f>IF(Tabela1[[#This Row],[Motorista]]="","",IFERROR(_xlfn.XLOOKUP(Tabela1[[#This Row],[Motorista]],Base!A:A,Base!B:B),""))</f>
        <v>RZD</v>
      </c>
      <c r="N373" s="20" t="str">
        <f t="shared" si="11"/>
        <v>Fila de Carregamento</v>
      </c>
      <c r="O3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3" s="2">
        <v>0.26874999999999999</v>
      </c>
      <c r="Q373" s="2">
        <v>0.32222222222222224</v>
      </c>
      <c r="R373" s="16"/>
      <c r="S373" s="16"/>
      <c r="T373" s="14" t="str">
        <f>IF(OR(Tabela1[[#This Row],[Entrada]]="",Tabela1[[#This Row],[Saída]]=""), "", Tabela1[[#This Row],[Saída]]-Tabela1[[#This Row],[Entrada]])</f>
        <v/>
      </c>
      <c r="U373" s="15">
        <f>IF(OR('Controle de CT'!$R369= "", 'Controle de CT'!$P369= ""), "", 'Controle de CT'!$R369-'Controle de CT'!$P369)</f>
        <v>5.4861111111111083E-2</v>
      </c>
      <c r="V373" s="1"/>
      <c r="W373" s="2"/>
      <c r="X373" s="2"/>
    </row>
    <row r="374" spans="11:24" ht="15" hidden="1" customHeight="1">
      <c r="K374" s="5">
        <v>46084</v>
      </c>
      <c r="L374" s="8" t="s">
        <v>123</v>
      </c>
      <c r="M374" s="9" t="str">
        <f>IF(Tabela1[[#This Row],[Motorista]]="","",IFERROR(_xlfn.XLOOKUP(Tabela1[[#This Row],[Motorista]],Base!A:A,Base!B:B),""))</f>
        <v>RZD</v>
      </c>
      <c r="N374" s="20" t="str">
        <f t="shared" si="11"/>
        <v>Fila de Carregamento</v>
      </c>
      <c r="O3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4" s="2">
        <v>0.26874999999999999</v>
      </c>
      <c r="Q374" s="2">
        <v>0.33333333333333331</v>
      </c>
      <c r="R374" s="16"/>
      <c r="S374" s="16"/>
      <c r="T374" s="14" t="str">
        <f>IF(OR(Tabela1[[#This Row],[Entrada]]="",Tabela1[[#This Row],[Saída]]=""), "", Tabela1[[#This Row],[Saída]]-Tabela1[[#This Row],[Entrada]])</f>
        <v/>
      </c>
      <c r="U374" s="15">
        <f>IF(OR('Controle de CT'!$R370= "", 'Controle de CT'!$P370= ""), "", 'Controle de CT'!$R370-'Controle de CT'!$P370)</f>
        <v>9.3055555555555558E-2</v>
      </c>
      <c r="V374" s="1"/>
      <c r="W374" s="2"/>
      <c r="X374" s="2"/>
    </row>
    <row r="375" spans="11:24" ht="15" hidden="1" customHeight="1">
      <c r="K375" s="5">
        <v>46084</v>
      </c>
      <c r="L375" s="8" t="s">
        <v>87</v>
      </c>
      <c r="M375" s="9" t="str">
        <f>IF(Tabela1[[#This Row],[Motorista]]="","",IFERROR(_xlfn.XLOOKUP(Tabela1[[#This Row],[Motorista]],Base!A:A,Base!B:B),""))</f>
        <v>FOB</v>
      </c>
      <c r="N375" s="20" t="str">
        <f t="shared" si="11"/>
        <v>Finalizado</v>
      </c>
      <c r="O3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75" s="2">
        <v>0.31041666666666667</v>
      </c>
      <c r="Q375" s="2">
        <v>0.34513888888888888</v>
      </c>
      <c r="R375" s="16">
        <v>0.38541666666666669</v>
      </c>
      <c r="S375" s="16" t="s">
        <v>85</v>
      </c>
      <c r="T375" s="14">
        <f>IF(OR(Tabela1[[#This Row],[Entrada]]="",Tabela1[[#This Row],[Saída]]=""), "", Tabela1[[#This Row],[Saída]]-Tabela1[[#This Row],[Entrada]])</f>
        <v>4.0277777777777801E-2</v>
      </c>
      <c r="U375" s="15">
        <f>IF(OR('Controle de CT'!$R375= "", 'Controle de CT'!$P375= ""), "", 'Controle de CT'!$R375-'Controle de CT'!$P375)</f>
        <v>7.5000000000000011E-2</v>
      </c>
      <c r="V375" s="1"/>
      <c r="W375" s="2"/>
      <c r="X375" s="2"/>
    </row>
    <row r="376" spans="11:24" ht="15" hidden="1" customHeight="1">
      <c r="K376" s="5">
        <v>46084</v>
      </c>
      <c r="L376" s="8" t="s">
        <v>86</v>
      </c>
      <c r="M376" s="9" t="str">
        <f>IF(Tabela1[[#This Row],[Motorista]]="","",IFERROR(_xlfn.XLOOKUP(Tabela1[[#This Row],[Motorista]],Base!A:A,Base!B:B),""))</f>
        <v>FOB</v>
      </c>
      <c r="N376" s="20" t="str">
        <f t="shared" si="11"/>
        <v>Finalizado</v>
      </c>
      <c r="O3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76" s="2">
        <v>0.2902777777777778</v>
      </c>
      <c r="Q376" s="2">
        <v>0.30625000000000002</v>
      </c>
      <c r="R376" s="16">
        <v>0.3527777777777778</v>
      </c>
      <c r="S376" s="16" t="s">
        <v>85</v>
      </c>
      <c r="T376" s="14">
        <f>IF(OR(Tabela1[[#This Row],[Entrada]]="",Tabela1[[#This Row],[Saída]]=""), "", Tabela1[[#This Row],[Saída]]-Tabela1[[#This Row],[Entrada]])</f>
        <v>4.6527777777777779E-2</v>
      </c>
      <c r="U376" s="15">
        <f>IF(OR('Controle de CT'!$R376= "", 'Controle de CT'!$P376= ""), "", 'Controle de CT'!$R376-'Controle de CT'!$P376)</f>
        <v>6.25E-2</v>
      </c>
      <c r="V376" s="1"/>
      <c r="W376" s="2"/>
      <c r="X376" s="2"/>
    </row>
    <row r="377" spans="11:24" ht="15" hidden="1" customHeight="1">
      <c r="K377" s="5">
        <v>46084</v>
      </c>
      <c r="L377" s="8" t="s">
        <v>90</v>
      </c>
      <c r="M377" s="9" t="str">
        <f>IF(Tabela1[[#This Row],[Motorista]]="","",IFERROR(_xlfn.XLOOKUP(Tabela1[[#This Row],[Motorista]],Base!A:A,Base!B:B),""))</f>
        <v>FOB</v>
      </c>
      <c r="N377" s="20" t="str">
        <f t="shared" si="11"/>
        <v>Finalizado</v>
      </c>
      <c r="O3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377" s="2">
        <v>0.31041666666666667</v>
      </c>
      <c r="Q377" s="2">
        <v>0.35833333333333334</v>
      </c>
      <c r="R377" s="16">
        <v>0.39166666666666666</v>
      </c>
      <c r="S377" s="16" t="s">
        <v>85</v>
      </c>
      <c r="T377" s="14">
        <f>IF(OR(Tabela1[[#This Row],[Entrada]]="",Tabela1[[#This Row],[Saída]]=""), "", Tabela1[[#This Row],[Saída]]-Tabela1[[#This Row],[Entrada]])</f>
        <v>3.3333333333333326E-2</v>
      </c>
      <c r="U377" s="15">
        <f>IF(OR('Controle de CT'!$R377= "", 'Controle de CT'!$P377= ""), "", 'Controle de CT'!$R377-'Controle de CT'!$P377)</f>
        <v>8.1249999999999989E-2</v>
      </c>
      <c r="V377" s="1"/>
      <c r="W377" s="2"/>
      <c r="X377" s="2"/>
    </row>
    <row r="378" spans="11:24" ht="15" hidden="1" customHeight="1">
      <c r="K378" s="5">
        <v>46084</v>
      </c>
      <c r="L378" s="8" t="s">
        <v>106</v>
      </c>
      <c r="M378" s="9" t="str">
        <f>IF(Tabela1[[#This Row],[Motorista]]="","",IFERROR(_xlfn.XLOOKUP(Tabela1[[#This Row],[Motorista]],Base!A:A,Base!B:B),""))</f>
        <v>FOB</v>
      </c>
      <c r="N378" s="20" t="str">
        <f t="shared" si="11"/>
        <v/>
      </c>
      <c r="O3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78" s="4"/>
      <c r="Q378" s="4"/>
      <c r="R378" s="23"/>
      <c r="S378" s="16"/>
      <c r="T378" s="14" t="str">
        <f>IF(OR(Tabela1[[#This Row],[Entrada]]="",Tabela1[[#This Row],[Saída]]=""), "", Tabela1[[#This Row],[Saída]]-Tabela1[[#This Row],[Entrada]])</f>
        <v/>
      </c>
      <c r="U378" s="15" t="str">
        <f>IF(OR('Controle de CT'!$R378= "", 'Controle de CT'!$P378= ""), "", 'Controle de CT'!$R378-'Controle de CT'!$P378)</f>
        <v/>
      </c>
      <c r="V378" s="1"/>
      <c r="W378" s="2"/>
      <c r="X378" s="2"/>
    </row>
    <row r="379" spans="11:24" ht="15" hidden="1" customHeight="1">
      <c r="K379" s="5">
        <v>46084</v>
      </c>
      <c r="L379" s="8" t="s">
        <v>93</v>
      </c>
      <c r="M379" s="9" t="str">
        <f>IF(Tabela1[[#This Row],[Motorista]]="","",IFERROR(_xlfn.XLOOKUP(Tabela1[[#This Row],[Motorista]],Base!A:A,Base!B:B),""))</f>
        <v>FOB</v>
      </c>
      <c r="N379" s="20" t="str">
        <f t="shared" si="11"/>
        <v>Finalizado</v>
      </c>
      <c r="O3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79" s="2">
        <v>0.35625000000000001</v>
      </c>
      <c r="Q379" s="2">
        <v>0.39027777777777778</v>
      </c>
      <c r="R379" s="16">
        <v>0.43680555555555556</v>
      </c>
      <c r="S379" s="16" t="s">
        <v>85</v>
      </c>
      <c r="T379" s="14">
        <f>IF(OR(Tabela1[[#This Row],[Entrada]]="",Tabela1[[#This Row],[Saída]]=""), "", Tabela1[[#This Row],[Saída]]-Tabela1[[#This Row],[Entrada]])</f>
        <v>4.6527777777777779E-2</v>
      </c>
      <c r="U379" s="15">
        <f>IF(OR('Controle de CT'!$R379= "", 'Controle de CT'!$P379= ""), "", 'Controle de CT'!$R379-'Controle de CT'!$P379)</f>
        <v>8.0555555555555547E-2</v>
      </c>
      <c r="V379" s="1"/>
      <c r="W379" s="2"/>
      <c r="X379" s="2"/>
    </row>
    <row r="380" spans="11:24" ht="15" hidden="1" customHeight="1">
      <c r="K380" s="5">
        <v>46084</v>
      </c>
      <c r="L380" s="8" t="s">
        <v>92</v>
      </c>
      <c r="M380" s="9" t="str">
        <f>IF(Tabela1[[#This Row],[Motorista]]="","",IFERROR(_xlfn.XLOOKUP(Tabela1[[#This Row],[Motorista]],Base!A:A,Base!B:B),""))</f>
        <v>FOB</v>
      </c>
      <c r="N380" s="20" t="str">
        <f t="shared" si="11"/>
        <v>Finalizado</v>
      </c>
      <c r="O3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0" s="2">
        <v>0.33055555555555555</v>
      </c>
      <c r="Q380" s="2">
        <v>0.42708333333333331</v>
      </c>
      <c r="R380" s="16">
        <v>0.45833333333333331</v>
      </c>
      <c r="S380" s="16" t="s">
        <v>85</v>
      </c>
      <c r="T380" s="14">
        <f>IF(OR(Tabela1[[#This Row],[Entrada]]="",Tabela1[[#This Row],[Saída]]=""), "", Tabela1[[#This Row],[Saída]]-Tabela1[[#This Row],[Entrada]])</f>
        <v>3.125E-2</v>
      </c>
      <c r="U380" s="15">
        <f>IF(OR('Controle de CT'!$R380= "", 'Controle de CT'!$P380= ""), "", 'Controle de CT'!$R380-'Controle de CT'!$P380)</f>
        <v>0.12777777777777777</v>
      </c>
      <c r="V380" s="1"/>
      <c r="W380" s="2"/>
      <c r="X380" s="2"/>
    </row>
    <row r="381" spans="11:24" ht="15" hidden="1" customHeight="1">
      <c r="K381" s="5">
        <v>46084</v>
      </c>
      <c r="L381" s="8" t="s">
        <v>126</v>
      </c>
      <c r="M381" s="9" t="str">
        <f>IF(Tabela1[[#This Row],[Motorista]]="","",IFERROR(_xlfn.XLOOKUP(Tabela1[[#This Row],[Motorista]],Base!A:A,Base!B:B),""))</f>
        <v>Transferência</v>
      </c>
      <c r="N381" s="20" t="str">
        <f t="shared" si="11"/>
        <v>Finalizado</v>
      </c>
      <c r="O3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381" s="16">
        <v>0.33819444444444446</v>
      </c>
      <c r="S381" s="16" t="s">
        <v>85</v>
      </c>
      <c r="T381" s="14" t="str">
        <f>IF(OR(Tabela1[[#This Row],[Entrada]]="",Tabela1[[#This Row],[Saída]]=""), "", Tabela1[[#This Row],[Saída]]-Tabela1[[#This Row],[Entrada]])</f>
        <v/>
      </c>
      <c r="U381" s="15" t="str">
        <f>IF(OR('Controle de CT'!$R381= "", 'Controle de CT'!$P381= ""), "", 'Controle de CT'!$R381-'Controle de CT'!$P381)</f>
        <v/>
      </c>
      <c r="V381" s="1"/>
      <c r="W381" s="2"/>
      <c r="X381" s="2"/>
    </row>
    <row r="382" spans="11:24" ht="15" hidden="1" customHeight="1">
      <c r="K382" s="5">
        <v>46084</v>
      </c>
      <c r="L382" s="8" t="s">
        <v>98</v>
      </c>
      <c r="M382" s="9" t="str">
        <f>IF(Tabela1[[#This Row],[Motorista]]="","",IFERROR(_xlfn.XLOOKUP(Tabela1[[#This Row],[Motorista]],Base!A:A,Base!B:B),""))</f>
        <v>FOB</v>
      </c>
      <c r="N382" s="20" t="str">
        <f t="shared" si="11"/>
        <v>Finalizado</v>
      </c>
      <c r="O3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2" s="2">
        <v>0.36458333333333331</v>
      </c>
      <c r="Q382" s="2">
        <v>0.39583333333333331</v>
      </c>
      <c r="R382" s="16">
        <v>0.44722222222222224</v>
      </c>
      <c r="S382" s="16" t="s">
        <v>85</v>
      </c>
      <c r="T382" s="14">
        <f>IF(OR(Tabela1[[#This Row],[Entrada]]="",Tabela1[[#This Row],[Saída]]=""), "", Tabela1[[#This Row],[Saída]]-Tabela1[[#This Row],[Entrada]])</f>
        <v>5.1388888888888928E-2</v>
      </c>
      <c r="U382" s="15">
        <f>IF(OR('Controle de CT'!$R382= "", 'Controle de CT'!$P382= ""), "", 'Controle de CT'!$R382-'Controle de CT'!$P382)</f>
        <v>8.2638888888888928E-2</v>
      </c>
      <c r="V382" s="1"/>
      <c r="W382" s="2"/>
      <c r="X382" s="2"/>
    </row>
    <row r="383" spans="11:24" ht="15" hidden="1" customHeight="1">
      <c r="K383" s="5">
        <v>46084</v>
      </c>
      <c r="L383" s="8" t="s">
        <v>101</v>
      </c>
      <c r="M383" s="9" t="str">
        <f>IF(Tabela1[[#This Row],[Motorista]]="","",IFERROR(_xlfn.XLOOKUP(Tabela1[[#This Row],[Motorista]],Base!A:A,Base!B:B),""))</f>
        <v>FOB</v>
      </c>
      <c r="N383" s="20" t="str">
        <f t="shared" si="11"/>
        <v>Finalizado</v>
      </c>
      <c r="O3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83" s="2">
        <v>0.35138888888888886</v>
      </c>
      <c r="Q383" s="2">
        <v>0.42986111111111114</v>
      </c>
      <c r="R383" s="16">
        <v>0.46666666666666667</v>
      </c>
      <c r="S383" s="16" t="s">
        <v>85</v>
      </c>
      <c r="T383" s="14">
        <f>IF(OR(Tabela1[[#This Row],[Entrada]]="",Tabela1[[#This Row],[Saída]]=""), "", Tabela1[[#This Row],[Saída]]-Tabela1[[#This Row],[Entrada]])</f>
        <v>3.6805555555555536E-2</v>
      </c>
      <c r="U383" s="15">
        <f>IF(OR('Controle de CT'!$R383= "", 'Controle de CT'!$P383= ""), "", 'Controle de CT'!$R383-'Controle de CT'!$P383)</f>
        <v>0.11527777777777781</v>
      </c>
      <c r="V383" s="1"/>
      <c r="W383" s="2"/>
      <c r="X383" s="2"/>
    </row>
    <row r="384" spans="11:24" ht="15" hidden="1" customHeight="1">
      <c r="K384" s="5">
        <v>46084</v>
      </c>
      <c r="L384" s="8" t="s">
        <v>53</v>
      </c>
      <c r="M384" s="9" t="str">
        <f>IF(Tabela1[[#This Row],[Motorista]]="","",IFERROR(_xlfn.XLOOKUP(Tabela1[[#This Row],[Motorista]],Base!A:A,Base!B:B),""))</f>
        <v>CIF</v>
      </c>
      <c r="N384" s="20" t="str">
        <f t="shared" si="11"/>
        <v>Finalizado</v>
      </c>
      <c r="O3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4" s="2">
        <v>0.36875000000000002</v>
      </c>
      <c r="Q384" s="2">
        <v>0.38611111111111113</v>
      </c>
      <c r="R384" s="16">
        <v>0.5</v>
      </c>
      <c r="S384" s="16" t="s">
        <v>85</v>
      </c>
      <c r="T384" s="14">
        <f>IF(OR(Tabela1[[#This Row],[Entrada]]="",Tabela1[[#This Row],[Saída]]=""), "", Tabela1[[#This Row],[Saída]]-Tabela1[[#This Row],[Entrada]])</f>
        <v>0.11388888888888887</v>
      </c>
      <c r="U384" s="15">
        <f>IF(OR('Controle de CT'!$R384= "", 'Controle de CT'!$P384= ""), "", 'Controle de CT'!$R384-'Controle de CT'!$P384)</f>
        <v>0.13124999999999998</v>
      </c>
      <c r="V384" s="1"/>
      <c r="W384" s="2"/>
      <c r="X384" s="2"/>
    </row>
    <row r="385" spans="11:24" ht="15" hidden="1" customHeight="1">
      <c r="K385" s="5">
        <v>46084</v>
      </c>
      <c r="L385" s="8" t="s">
        <v>56</v>
      </c>
      <c r="M385" s="9" t="str">
        <f>IF(Tabela1[[#This Row],[Motorista]]="","",IFERROR(_xlfn.XLOOKUP(Tabela1[[#This Row],[Motorista]],Base!A:A,Base!B:B),""))</f>
        <v/>
      </c>
      <c r="N385" s="20" t="str">
        <f t="shared" si="11"/>
        <v>Finalizado</v>
      </c>
      <c r="O3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85" s="2">
        <v>0.39513888888888887</v>
      </c>
      <c r="Q385" s="2">
        <v>0.40972222222222221</v>
      </c>
      <c r="R385" s="16">
        <v>0.46041666666666664</v>
      </c>
      <c r="S385" s="16" t="s">
        <v>85</v>
      </c>
      <c r="T385" s="14">
        <f>IF(OR(Tabela1[[#This Row],[Entrada]]="",Tabela1[[#This Row],[Saída]]=""), "", Tabela1[[#This Row],[Saída]]-Tabela1[[#This Row],[Entrada]])</f>
        <v>5.0694444444444431E-2</v>
      </c>
      <c r="U385" s="15">
        <f>IF(OR('Controle de CT'!$R385= "", 'Controle de CT'!$P385= ""), "", 'Controle de CT'!$R385-'Controle de CT'!$P385)</f>
        <v>6.5277777777777768E-2</v>
      </c>
      <c r="V385" s="1"/>
      <c r="W385" s="2"/>
      <c r="X385" s="2"/>
    </row>
    <row r="386" spans="11:24" ht="15" hidden="1" customHeight="1">
      <c r="K386" s="5">
        <v>46084</v>
      </c>
      <c r="L386" s="8" t="s">
        <v>145</v>
      </c>
      <c r="M386" s="9" t="str">
        <f>IF(Tabela1[[#This Row],[Motorista]]="","",IFERROR(_xlfn.XLOOKUP(Tabela1[[#This Row],[Motorista]],Base!A:A,Base!B:B),""))</f>
        <v>FOB</v>
      </c>
      <c r="N386" s="20" t="str">
        <f t="shared" si="11"/>
        <v>Aguardando Entrada</v>
      </c>
      <c r="O3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6" s="2">
        <v>0.39305555555555555</v>
      </c>
      <c r="R386" s="16"/>
      <c r="S386" s="16"/>
      <c r="T386" s="14" t="str">
        <f>IF(OR(Tabela1[[#This Row],[Entrada]]="",Tabela1[[#This Row],[Saída]]=""), "", Tabela1[[#This Row],[Saída]]-Tabela1[[#This Row],[Entrada]])</f>
        <v/>
      </c>
      <c r="U386" s="15" t="str">
        <f>IF(OR('Controle de CT'!$R386= "", 'Controle de CT'!$P386= ""), "", 'Controle de CT'!$R386-'Controle de CT'!$P386)</f>
        <v/>
      </c>
      <c r="V386" s="1"/>
      <c r="W386" s="2"/>
      <c r="X386" s="2"/>
    </row>
    <row r="387" spans="11:24" ht="15" hidden="1" customHeight="1">
      <c r="K387" s="5">
        <v>46084</v>
      </c>
      <c r="L387" s="8" t="s">
        <v>161</v>
      </c>
      <c r="M387" s="9" t="str">
        <f>IF(Tabela1[[#This Row],[Motorista]]="","",IFERROR(_xlfn.XLOOKUP(Tabela1[[#This Row],[Motorista]],Base!A:A,Base!B:B),""))</f>
        <v>Transferência</v>
      </c>
      <c r="N387" s="20" t="str">
        <f t="shared" si="11"/>
        <v>Finalizado</v>
      </c>
      <c r="O3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87" s="2">
        <v>0.40416666666666667</v>
      </c>
      <c r="Q387" s="2">
        <v>0.41666666666666669</v>
      </c>
      <c r="R387" s="16">
        <v>0.53194444444444444</v>
      </c>
      <c r="S387" s="16"/>
      <c r="T387" s="14">
        <f>IF(OR(Tabela1[[#This Row],[Entrada]]="",Tabela1[[#This Row],[Saída]]=""), "", Tabela1[[#This Row],[Saída]]-Tabela1[[#This Row],[Entrada]])</f>
        <v>0.11527777777777776</v>
      </c>
      <c r="U387" s="15">
        <f>IF(OR('Controle de CT'!$R387= "", 'Controle de CT'!$P387= ""), "", 'Controle de CT'!$R387-'Controle de CT'!$P387)</f>
        <v>0.12777777777777777</v>
      </c>
      <c r="V387" s="1"/>
      <c r="W387" s="2"/>
      <c r="X387" s="2"/>
    </row>
    <row r="388" spans="11:24" ht="15" hidden="1" customHeight="1">
      <c r="K388" s="5">
        <v>46084</v>
      </c>
      <c r="L388" s="8" t="s">
        <v>42</v>
      </c>
      <c r="M388" s="9" t="str">
        <f>IF(Tabela1[[#This Row],[Motorista]]="","",IFERROR(_xlfn.XLOOKUP(Tabela1[[#This Row],[Motorista]],Base!A:A,Base!B:B),""))</f>
        <v>CIF</v>
      </c>
      <c r="N388" s="20" t="str">
        <f t="shared" si="11"/>
        <v>Finalizado</v>
      </c>
      <c r="O3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88" s="2">
        <v>0.45</v>
      </c>
      <c r="Q388" s="2">
        <v>0.41458333333333336</v>
      </c>
      <c r="R388" s="16">
        <v>0.49375000000000002</v>
      </c>
      <c r="S388" s="16" t="s">
        <v>85</v>
      </c>
      <c r="T388" s="14">
        <f>IF(OR(Tabela1[[#This Row],[Entrada]]="",Tabela1[[#This Row],[Saída]]=""), "", Tabela1[[#This Row],[Saída]]-Tabela1[[#This Row],[Entrada]])</f>
        <v>7.9166666666666663E-2</v>
      </c>
      <c r="U388" s="15">
        <f>IF(OR('Controle de CT'!$R388= "", 'Controle de CT'!$P388= ""), "", 'Controle de CT'!$R388-'Controle de CT'!$P388)</f>
        <v>4.3750000000000011E-2</v>
      </c>
      <c r="V388" s="1"/>
      <c r="W388" s="2"/>
      <c r="X388" s="2"/>
    </row>
    <row r="389" spans="11:24" ht="15" hidden="1" customHeight="1">
      <c r="K389" s="5">
        <v>46084</v>
      </c>
      <c r="L389" s="8" t="s">
        <v>47</v>
      </c>
      <c r="M389" s="9" t="str">
        <f>IF(Tabela1[[#This Row],[Motorista]]="","",IFERROR(_xlfn.XLOOKUP(Tabela1[[#This Row],[Motorista]],Base!A:A,Base!B:B),""))</f>
        <v>CIF</v>
      </c>
      <c r="N389" s="20" t="str">
        <f t="shared" si="11"/>
        <v>Finalizado</v>
      </c>
      <c r="O3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389" s="2">
        <v>0.42222222222222222</v>
      </c>
      <c r="Q389" s="2">
        <v>0.44374999999999998</v>
      </c>
      <c r="R389" s="16">
        <v>0.50138888888888888</v>
      </c>
      <c r="S389" s="16" t="s">
        <v>85</v>
      </c>
      <c r="T389" s="14">
        <f>IF(OR(Tabela1[[#This Row],[Entrada]]="",Tabela1[[#This Row],[Saída]]=""), "", Tabela1[[#This Row],[Saída]]-Tabela1[[#This Row],[Entrada]])</f>
        <v>5.7638888888888906E-2</v>
      </c>
      <c r="U389" s="15">
        <f>IF(OR('Controle de CT'!$R389= "", 'Controle de CT'!$P389= ""), "", 'Controle de CT'!$R389-'Controle de CT'!$P389)</f>
        <v>7.9166666666666663E-2</v>
      </c>
      <c r="V389" s="1"/>
      <c r="W389" s="2"/>
      <c r="X389" s="2"/>
    </row>
    <row r="390" spans="11:24" ht="15" hidden="1" customHeight="1">
      <c r="K390" s="5">
        <v>46084</v>
      </c>
      <c r="L390" s="8" t="s">
        <v>121</v>
      </c>
      <c r="M390" s="9" t="str">
        <f>IF(Tabela1[[#This Row],[Motorista]]="","",IFERROR(_xlfn.XLOOKUP(Tabela1[[#This Row],[Motorista]],Base!A:A,Base!B:B),""))</f>
        <v>CIF</v>
      </c>
      <c r="N390" s="20" t="str">
        <f t="shared" si="11"/>
        <v>Finalizado</v>
      </c>
      <c r="O3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90" s="2">
        <v>0.42708333333333331</v>
      </c>
      <c r="Q390" s="2">
        <v>0.4375</v>
      </c>
      <c r="R390" s="16">
        <v>0.5493055555555556</v>
      </c>
      <c r="S390" s="16" t="s">
        <v>85</v>
      </c>
      <c r="T390" s="14">
        <f>IF(OR(Tabela1[[#This Row],[Entrada]]="",Tabela1[[#This Row],[Saída]]=""), "", Tabela1[[#This Row],[Saída]]-Tabela1[[#This Row],[Entrada]])</f>
        <v>0.1118055555555556</v>
      </c>
      <c r="U390" s="15">
        <f>IF(OR('Controle de CT'!$R390= "", 'Controle de CT'!$P390= ""), "", 'Controle de CT'!$R390-'Controle de CT'!$P390)</f>
        <v>0.12222222222222229</v>
      </c>
      <c r="V390" s="1"/>
      <c r="W390" s="2"/>
      <c r="X390" s="2"/>
    </row>
    <row r="391" spans="11:24" ht="15" hidden="1" customHeight="1">
      <c r="K391" s="5">
        <v>46084</v>
      </c>
      <c r="L391" s="8" t="s">
        <v>87</v>
      </c>
      <c r="M391" s="9" t="str">
        <f>IF(Tabela1[[#This Row],[Motorista]]="","",IFERROR(_xlfn.XLOOKUP(Tabela1[[#This Row],[Motorista]],Base!A:A,Base!B:B),""))</f>
        <v>FOB</v>
      </c>
      <c r="N391" s="20" t="str">
        <f t="shared" si="11"/>
        <v>Fila de Carregamento</v>
      </c>
      <c r="O3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91" s="2">
        <v>0.47986111111111113</v>
      </c>
      <c r="Q391" s="2">
        <v>0.50138888888888888</v>
      </c>
      <c r="R391" s="16"/>
      <c r="S391" s="16"/>
      <c r="T391" s="14" t="str">
        <f>IF(OR(Tabela1[[#This Row],[Entrada]]="",Tabela1[[#This Row],[Saída]]=""), "", Tabela1[[#This Row],[Saída]]-Tabela1[[#This Row],[Entrada]])</f>
        <v/>
      </c>
      <c r="U391" s="15" t="str">
        <f>IF(OR('Controle de CT'!$R391= "", 'Controle de CT'!$P391= ""), "", 'Controle de CT'!$R391-'Controle de CT'!$P391)</f>
        <v/>
      </c>
      <c r="V391" s="1"/>
      <c r="W391" s="2"/>
      <c r="X391" s="2"/>
    </row>
    <row r="392" spans="11:24" ht="15" hidden="1" customHeight="1">
      <c r="K392" s="5">
        <v>46084</v>
      </c>
      <c r="L392" s="8" t="s">
        <v>90</v>
      </c>
      <c r="M392" s="9" t="str">
        <f>IF(Tabela1[[#This Row],[Motorista]]="","",IFERROR(_xlfn.XLOOKUP(Tabela1[[#This Row],[Motorista]],Base!A:A,Base!B:B),""))</f>
        <v>FOB</v>
      </c>
      <c r="N392" s="20" t="str">
        <f t="shared" si="11"/>
        <v>Finalizado</v>
      </c>
      <c r="O3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392" s="2">
        <v>0.50069444444444444</v>
      </c>
      <c r="R392" s="16">
        <v>0.58472222222222225</v>
      </c>
      <c r="S392" s="16" t="s">
        <v>85</v>
      </c>
      <c r="T392" s="14" t="str">
        <f>IF(OR(Tabela1[[#This Row],[Entrada]]="",Tabela1[[#This Row],[Saída]]=""), "", Tabela1[[#This Row],[Saída]]-Tabela1[[#This Row],[Entrada]])</f>
        <v/>
      </c>
      <c r="U392" s="15">
        <f>IF(OR('Controle de CT'!$R392= "", 'Controle de CT'!$P392= ""), "", 'Controle de CT'!$R392-'Controle de CT'!$P392)</f>
        <v>8.4027777777777812E-2</v>
      </c>
      <c r="V392" s="1"/>
      <c r="W392" s="2"/>
      <c r="X392" s="2"/>
    </row>
    <row r="393" spans="11:24" ht="15" hidden="1" customHeight="1">
      <c r="K393" s="5">
        <v>46084</v>
      </c>
      <c r="L393" s="8" t="s">
        <v>125</v>
      </c>
      <c r="M393" s="9" t="str">
        <f>IF(Tabela1[[#This Row],[Motorista]]="","",IFERROR(_xlfn.XLOOKUP(Tabela1[[#This Row],[Motorista]],Base!A:A,Base!B:B),""))</f>
        <v>FOB</v>
      </c>
      <c r="N393" s="20" t="str">
        <f t="shared" si="11"/>
        <v>Aguardando Entrada</v>
      </c>
      <c r="O3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93" s="2">
        <v>0.50277777777777777</v>
      </c>
      <c r="R393" s="16"/>
      <c r="S393" s="16"/>
      <c r="T393" s="14" t="str">
        <f>IF(OR(Tabela1[[#This Row],[Entrada]]="",Tabela1[[#This Row],[Saída]]=""), "", Tabela1[[#This Row],[Saída]]-Tabela1[[#This Row],[Entrada]])</f>
        <v/>
      </c>
      <c r="U393" s="15" t="str">
        <f>IF(OR('Controle de CT'!$R393= "", 'Controle de CT'!$P393= ""), "", 'Controle de CT'!$R393-'Controle de CT'!$P393)</f>
        <v/>
      </c>
      <c r="V393" s="1"/>
      <c r="W393" s="2"/>
      <c r="X393" s="2"/>
    </row>
    <row r="394" spans="11:24" ht="15" hidden="1" customHeight="1">
      <c r="K394" s="5">
        <v>46084</v>
      </c>
      <c r="L394" s="8" t="s">
        <v>86</v>
      </c>
      <c r="M394" s="9" t="str">
        <f>IF(Tabela1[[#This Row],[Motorista]]="","",IFERROR(_xlfn.XLOOKUP(Tabela1[[#This Row],[Motorista]],Base!A:A,Base!B:B),""))</f>
        <v>FOB</v>
      </c>
      <c r="N394" s="20" t="str">
        <f t="shared" si="11"/>
        <v>Finalizado</v>
      </c>
      <c r="O3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94" s="2">
        <v>0.54097222222222219</v>
      </c>
      <c r="Q394" s="2">
        <v>0.56597222222222221</v>
      </c>
      <c r="R394" s="16">
        <v>0.61458333333333337</v>
      </c>
      <c r="S394" s="16" t="s">
        <v>85</v>
      </c>
      <c r="T394" s="14">
        <f>IF(OR(Tabela1[[#This Row],[Entrada]]="",Tabela1[[#This Row],[Saída]]=""), "", Tabela1[[#This Row],[Saída]]-Tabela1[[#This Row],[Entrada]])</f>
        <v>4.861111111111116E-2</v>
      </c>
      <c r="U394" s="15">
        <f>IF(OR('Controle de CT'!$R394= "", 'Controle de CT'!$P394= ""), "", 'Controle de CT'!$R394-'Controle de CT'!$P394)</f>
        <v>7.3611111111111183E-2</v>
      </c>
      <c r="V394" s="1"/>
      <c r="W394" s="2"/>
      <c r="X394" s="2"/>
    </row>
    <row r="395" spans="11:24" ht="15" hidden="1" customHeight="1">
      <c r="K395" s="5">
        <v>46084</v>
      </c>
      <c r="L395" s="8" t="s">
        <v>46</v>
      </c>
      <c r="M395" s="9" t="str">
        <f>IF(Tabela1[[#This Row],[Motorista]]="","",IFERROR(_xlfn.XLOOKUP(Tabela1[[#This Row],[Motorista]],Base!A:A,Base!B:B),""))</f>
        <v>CIF</v>
      </c>
      <c r="N395" s="20" t="str">
        <f t="shared" si="11"/>
        <v>Finalizado</v>
      </c>
      <c r="O3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95" s="2">
        <v>0.44791666666666669</v>
      </c>
      <c r="Q395" s="2">
        <v>0.4597222222222222</v>
      </c>
      <c r="R395" s="16">
        <v>0.54236111111111107</v>
      </c>
      <c r="S395" s="16" t="s">
        <v>85</v>
      </c>
      <c r="T395" s="14">
        <f>IF(OR(Tabela1[[#This Row],[Entrada]]="",Tabela1[[#This Row],[Saída]]=""), "", Tabela1[[#This Row],[Saída]]-Tabela1[[#This Row],[Entrada]])</f>
        <v>8.2638888888888873E-2</v>
      </c>
      <c r="U395" s="15">
        <f>IF(OR('Controle de CT'!$R395= "", 'Controle de CT'!$P395= ""), "", 'Controle de CT'!$R395-'Controle de CT'!$P395)</f>
        <v>9.4444444444444386E-2</v>
      </c>
      <c r="V395" s="1"/>
      <c r="W395" s="2"/>
      <c r="X395" s="2"/>
    </row>
    <row r="396" spans="11:24" ht="15" hidden="1" customHeight="1">
      <c r="K396" s="5">
        <v>46084</v>
      </c>
      <c r="L396" s="8" t="s">
        <v>54</v>
      </c>
      <c r="M396" s="9" t="str">
        <f>IF(Tabela1[[#This Row],[Motorista]]="","",IFERROR(_xlfn.XLOOKUP(Tabela1[[#This Row],[Motorista]],Base!A:A,Base!B:B),""))</f>
        <v>CIF</v>
      </c>
      <c r="N396" s="20" t="str">
        <f t="shared" si="11"/>
        <v>Finalizado</v>
      </c>
      <c r="O3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396" s="2">
        <v>0.49722222222222223</v>
      </c>
      <c r="Q396" s="2">
        <v>0.49930555555555556</v>
      </c>
      <c r="R396" s="16">
        <v>0.57708333333333328</v>
      </c>
      <c r="S396" s="16" t="s">
        <v>85</v>
      </c>
      <c r="T396" s="14">
        <f>IF(OR(Tabela1[[#This Row],[Entrada]]="",Tabela1[[#This Row],[Saída]]=""), "", Tabela1[[#This Row],[Saída]]-Tabela1[[#This Row],[Entrada]])</f>
        <v>7.7777777777777724E-2</v>
      </c>
      <c r="U396" s="15">
        <f>IF(OR('Controle de CT'!$R396= "", 'Controle de CT'!$P396= ""), "", 'Controle de CT'!$R396-'Controle de CT'!$P396)</f>
        <v>7.9861111111111049E-2</v>
      </c>
      <c r="V396" s="1"/>
      <c r="W396" s="2"/>
      <c r="X396" s="2"/>
    </row>
    <row r="397" spans="11:24" ht="15" hidden="1" customHeight="1">
      <c r="K397" s="5">
        <v>46084</v>
      </c>
      <c r="L397" s="8" t="s">
        <v>52</v>
      </c>
      <c r="M397" s="9" t="str">
        <f>IF(Tabela1[[#This Row],[Motorista]]="","",IFERROR(_xlfn.XLOOKUP(Tabela1[[#This Row],[Motorista]],Base!A:A,Base!B:B),""))</f>
        <v>CIF</v>
      </c>
      <c r="N397" s="20" t="str">
        <f t="shared" si="11"/>
        <v>Finalizado</v>
      </c>
      <c r="O3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97" s="2">
        <v>0.45069444444444445</v>
      </c>
      <c r="Q397" s="2">
        <v>0.46736111111111112</v>
      </c>
      <c r="R397" s="16">
        <v>0.56111111111111112</v>
      </c>
      <c r="S397" s="16" t="s">
        <v>85</v>
      </c>
      <c r="T397" s="14">
        <f>IF(OR(Tabela1[[#This Row],[Entrada]]="",Tabela1[[#This Row],[Saída]]=""), "", Tabela1[[#This Row],[Saída]]-Tabela1[[#This Row],[Entrada]])</f>
        <v>9.375E-2</v>
      </c>
      <c r="U397" s="15">
        <f>IF(OR('Controle de CT'!$R397= "", 'Controle de CT'!$P397= ""), "", 'Controle de CT'!$R397-'Controle de CT'!$P397)</f>
        <v>0.11041666666666666</v>
      </c>
      <c r="V397" s="1"/>
      <c r="W397" s="2"/>
      <c r="X397" s="2"/>
    </row>
    <row r="398" spans="11:24" ht="15" hidden="1" customHeight="1">
      <c r="K398" s="5">
        <v>46084</v>
      </c>
      <c r="L398" s="8" t="s">
        <v>42</v>
      </c>
      <c r="M398" s="9" t="str">
        <f>IF(Tabela1[[#This Row],[Motorista]]="","",IFERROR(_xlfn.XLOOKUP(Tabela1[[#This Row],[Motorista]],Base!A:A,Base!B:B),""))</f>
        <v>CIF</v>
      </c>
      <c r="N398" s="20" t="str">
        <f t="shared" si="11"/>
        <v>Finalizado</v>
      </c>
      <c r="O3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398" s="2">
        <v>0.40833333333333333</v>
      </c>
      <c r="Q398" s="2">
        <v>0.41458333333333336</v>
      </c>
      <c r="R398" s="16">
        <v>0.49375000000000002</v>
      </c>
      <c r="S398" s="16" t="s">
        <v>85</v>
      </c>
      <c r="T398" s="14">
        <f>IF(OR(Tabela1[[#This Row],[Entrada]]="",Tabela1[[#This Row],[Saída]]=""), "", Tabela1[[#This Row],[Saída]]-Tabela1[[#This Row],[Entrada]])</f>
        <v>7.9166666666666663E-2</v>
      </c>
      <c r="U398" s="15">
        <f>IF(OR('Controle de CT'!$R398= "", 'Controle de CT'!$P398= ""), "", 'Controle de CT'!$R398-'Controle de CT'!$P398)</f>
        <v>8.5416666666666696E-2</v>
      </c>
      <c r="V398" s="1"/>
      <c r="W398" s="2"/>
      <c r="X398" s="2"/>
    </row>
    <row r="399" spans="11:24" ht="15" hidden="1" customHeight="1">
      <c r="K399" s="5">
        <v>46084</v>
      </c>
      <c r="L399" s="8" t="s">
        <v>47</v>
      </c>
      <c r="M399" s="9" t="str">
        <f>IF(Tabela1[[#This Row],[Motorista]]="","",IFERROR(_xlfn.XLOOKUP(Tabela1[[#This Row],[Motorista]],Base!A:A,Base!B:B),""))</f>
        <v>CIF</v>
      </c>
      <c r="N399" s="20" t="str">
        <f t="shared" si="11"/>
        <v>Finalizado</v>
      </c>
      <c r="O3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399" s="2">
        <v>0.42222222222222222</v>
      </c>
      <c r="Q399" s="2">
        <v>0.44374999999999998</v>
      </c>
      <c r="R399" s="16">
        <v>0.50138888888888888</v>
      </c>
      <c r="S399" s="16" t="s">
        <v>85</v>
      </c>
      <c r="T399" s="14">
        <f>IF(OR(Tabela1[[#This Row],[Entrada]]="",Tabela1[[#This Row],[Saída]]=""), "", Tabela1[[#This Row],[Saída]]-Tabela1[[#This Row],[Entrada]])</f>
        <v>5.7638888888888906E-2</v>
      </c>
      <c r="U399" s="15">
        <f>IF(OR('Controle de CT'!$R399= "", 'Controle de CT'!$P399= ""), "", 'Controle de CT'!$R399-'Controle de CT'!$P399)</f>
        <v>7.9166666666666663E-2</v>
      </c>
      <c r="V399" s="1"/>
      <c r="W399" s="2"/>
      <c r="X399" s="2"/>
    </row>
    <row r="400" spans="11:24" ht="15" hidden="1" customHeight="1">
      <c r="K400" s="5">
        <v>46084</v>
      </c>
      <c r="L400" s="8" t="s">
        <v>93</v>
      </c>
      <c r="M400" s="9" t="str">
        <f>IF(Tabela1[[#This Row],[Motorista]]="","",IFERROR(_xlfn.XLOOKUP(Tabela1[[#This Row],[Motorista]],Base!A:A,Base!B:B),""))</f>
        <v>FOB</v>
      </c>
      <c r="N400" s="20" t="str">
        <f t="shared" si="11"/>
        <v>Finalizado</v>
      </c>
      <c r="O4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400" s="2">
        <v>0.59652777777777777</v>
      </c>
      <c r="R400" s="16">
        <v>0.63888888888888884</v>
      </c>
      <c r="S400" s="16" t="s">
        <v>85</v>
      </c>
      <c r="T400" s="14">
        <f>IF(OR(Tabela1[[#This Row],[Entrada]]="",Tabela1[[#This Row],[Saída]]=""), "", Tabela1[[#This Row],[Saída]]-Tabela1[[#This Row],[Entrada]])</f>
        <v>4.2361111111111072E-2</v>
      </c>
      <c r="U400" s="15" t="str">
        <f>IF(OR('Controle de CT'!$R400= "", 'Controle de CT'!$P400= ""), "", 'Controle de CT'!$R400-'Controle de CT'!$P400)</f>
        <v/>
      </c>
      <c r="V400" s="1"/>
      <c r="W400" s="2"/>
      <c r="X400" s="2"/>
    </row>
    <row r="401" spans="11:24" ht="15" hidden="1" customHeight="1">
      <c r="K401" s="5">
        <v>46084</v>
      </c>
      <c r="L401" s="8" t="s">
        <v>101</v>
      </c>
      <c r="M401" s="9" t="str">
        <f>IF(Tabela1[[#This Row],[Motorista]]="","",IFERROR(_xlfn.XLOOKUP(Tabela1[[#This Row],[Motorista]],Base!A:A,Base!B:B),""))</f>
        <v>FOB</v>
      </c>
      <c r="N401" s="20" t="str">
        <f t="shared" si="11"/>
        <v>Fila de Carregamento</v>
      </c>
      <c r="O4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01" s="4">
        <v>0.6479166666666667</v>
      </c>
      <c r="Q401" s="4">
        <v>0.68055555555555558</v>
      </c>
      <c r="R401" s="23"/>
      <c r="S401" s="16" t="s">
        <v>85</v>
      </c>
      <c r="T401" s="14" t="str">
        <f>IF(OR(Tabela1[[#This Row],[Entrada]]="",Tabela1[[#This Row],[Saída]]=""), "", Tabela1[[#This Row],[Saída]]-Tabela1[[#This Row],[Entrada]])</f>
        <v/>
      </c>
      <c r="U401" s="15" t="str">
        <f>IF(OR('Controle de CT'!$R401= "", 'Controle de CT'!$P401= ""), "", 'Controle de CT'!$R401-'Controle de CT'!$P401)</f>
        <v/>
      </c>
      <c r="V401" s="1"/>
      <c r="W401" s="2"/>
      <c r="X401" s="2"/>
    </row>
    <row r="402" spans="11:24" ht="15" hidden="1" customHeight="1">
      <c r="K402" s="5">
        <v>46084</v>
      </c>
      <c r="L402" s="8" t="s">
        <v>90</v>
      </c>
      <c r="M402" s="9" t="str">
        <f>IF(Tabela1[[#This Row],[Motorista]]="","",IFERROR(_xlfn.XLOOKUP(Tabela1[[#This Row],[Motorista]],Base!A:A,Base!B:B),""))</f>
        <v>FOB</v>
      </c>
      <c r="N402" s="20" t="str">
        <f t="shared" si="11"/>
        <v>Finalizado</v>
      </c>
      <c r="O4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02" s="4">
        <v>0.67013888888888884</v>
      </c>
      <c r="Q402" s="4"/>
      <c r="R402" s="23">
        <v>0.63541666666666663</v>
      </c>
      <c r="S402" s="16" t="s">
        <v>85</v>
      </c>
      <c r="T402" s="14" t="str">
        <f>IF(OR(Tabela1[[#This Row],[Entrada]]="",Tabela1[[#This Row],[Saída]]=""), "", Tabela1[[#This Row],[Saída]]-Tabela1[[#This Row],[Entrada]])</f>
        <v/>
      </c>
      <c r="U402" s="15">
        <f>IF(OR('Controle de CT'!$R402= "", 'Controle de CT'!$P402= ""), "", 'Controle de CT'!$R402-'Controle de CT'!$P402)</f>
        <v>-3.472222222222221E-2</v>
      </c>
      <c r="V402" s="1"/>
      <c r="W402" s="2"/>
      <c r="X402" s="2"/>
    </row>
    <row r="403" spans="11:24" ht="15" hidden="1" customHeight="1">
      <c r="K403" s="5">
        <v>46085</v>
      </c>
      <c r="L403" s="8" t="s">
        <v>47</v>
      </c>
      <c r="M403" s="9" t="str">
        <f>IF(Tabela1[[#This Row],[Motorista]]="","",IFERROR(_xlfn.XLOOKUP(Tabela1[[#This Row],[Motorista]],Base!A:A,Base!B:B),""))</f>
        <v>CIF</v>
      </c>
      <c r="N403" s="20" t="str">
        <f t="shared" si="11"/>
        <v>Finalizado</v>
      </c>
      <c r="O4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03" s="4">
        <v>0.25069444444444444</v>
      </c>
      <c r="Q403" s="4">
        <v>0.29375000000000001</v>
      </c>
      <c r="R403" s="23">
        <v>0.34722222222222221</v>
      </c>
      <c r="S403" s="16" t="s">
        <v>85</v>
      </c>
      <c r="T403" s="14">
        <f>IF(OR(Tabela1[[#This Row],[Entrada]]="",Tabela1[[#This Row],[Saída]]=""), "", Tabela1[[#This Row],[Saída]]-Tabela1[[#This Row],[Entrada]])</f>
        <v>5.3472222222222199E-2</v>
      </c>
      <c r="U403" s="15">
        <f>IF(OR('Controle de CT'!$R403= "", 'Controle de CT'!$P403= ""), "", 'Controle de CT'!$R403-'Controle de CT'!$P403)</f>
        <v>9.6527777777777768E-2</v>
      </c>
      <c r="V403" s="1"/>
      <c r="W403" s="2"/>
      <c r="X403" s="2"/>
    </row>
    <row r="404" spans="11:24" ht="15" hidden="1" customHeight="1">
      <c r="K404" s="5">
        <v>46085</v>
      </c>
      <c r="L404" s="8" t="s">
        <v>57</v>
      </c>
      <c r="M404" s="9" t="str">
        <f>IF(Tabela1[[#This Row],[Motorista]]="","",IFERROR(_xlfn.XLOOKUP(Tabela1[[#This Row],[Motorista]],Base!A:A,Base!B:B),""))</f>
        <v>CIF</v>
      </c>
      <c r="N404" s="20" t="str">
        <f t="shared" ref="N404:N409" si="12">IF(R404&lt;&gt;"","Finalizado", IF(Q404&lt;&gt;"","Fila de Carregamento", IF(P404&lt;&gt;"","Aguardando Entrada","")))</f>
        <v>Finalizado</v>
      </c>
      <c r="O4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04" s="4">
        <v>0.25624999999999998</v>
      </c>
      <c r="Q404" s="4">
        <v>0.30833333333333335</v>
      </c>
      <c r="R404" s="23">
        <v>0.36319444444444443</v>
      </c>
      <c r="S404" s="16" t="s">
        <v>85</v>
      </c>
      <c r="T404" s="14">
        <f>IF(OR(Tabela1[[#This Row],[Entrada]]="",Tabela1[[#This Row],[Saída]]=""), "", Tabela1[[#This Row],[Saída]]-Tabela1[[#This Row],[Entrada]])</f>
        <v>5.4861111111111083E-2</v>
      </c>
      <c r="U404" s="15">
        <f>IF(OR('Controle de CT'!$R404= "", 'Controle de CT'!$P404= ""), "", 'Controle de CT'!$R404-'Controle de CT'!$P404)</f>
        <v>0.10694444444444445</v>
      </c>
      <c r="V404" s="1"/>
      <c r="W404" s="2"/>
      <c r="X404" s="2"/>
    </row>
    <row r="405" spans="11:24" ht="15" hidden="1" customHeight="1">
      <c r="K405" s="5">
        <v>46085</v>
      </c>
      <c r="L405" s="8" t="s">
        <v>52</v>
      </c>
      <c r="M405" s="9" t="str">
        <f>IF(Tabela1[[#This Row],[Motorista]]="","",IFERROR(_xlfn.XLOOKUP(Tabela1[[#This Row],[Motorista]],Base!A:A,Base!B:B),""))</f>
        <v>CIF</v>
      </c>
      <c r="N405" s="20" t="str">
        <f t="shared" si="12"/>
        <v>Finalizado</v>
      </c>
      <c r="O4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05" s="4">
        <v>0.27430555555555558</v>
      </c>
      <c r="Q405" s="4">
        <v>0.30833333333333335</v>
      </c>
      <c r="R405" s="23">
        <v>0.37013888888888891</v>
      </c>
      <c r="S405" s="16" t="s">
        <v>85</v>
      </c>
      <c r="T405" s="14">
        <f>IF(OR(Tabela1[[#This Row],[Entrada]]="",Tabela1[[#This Row],[Saída]]=""), "", Tabela1[[#This Row],[Saída]]-Tabela1[[#This Row],[Entrada]])</f>
        <v>6.1805555555555558E-2</v>
      </c>
      <c r="U405" s="15">
        <f>IF(OR('Controle de CT'!$R405= "", 'Controle de CT'!$P405= ""), "", 'Controle de CT'!$R405-'Controle de CT'!$P405)</f>
        <v>9.5833333333333326E-2</v>
      </c>
      <c r="V405" s="1"/>
      <c r="W405" s="2"/>
      <c r="X405" s="2"/>
    </row>
    <row r="406" spans="11:24" ht="15" hidden="1" customHeight="1">
      <c r="K406" s="5">
        <v>46085</v>
      </c>
      <c r="L406" s="8" t="s">
        <v>54</v>
      </c>
      <c r="M406" s="9" t="str">
        <f>IF(Tabela1[[#This Row],[Motorista]]="","",IFERROR(_xlfn.XLOOKUP(Tabela1[[#This Row],[Motorista]],Base!A:A,Base!B:B),""))</f>
        <v>CIF</v>
      </c>
      <c r="N406" s="20" t="str">
        <f t="shared" si="12"/>
        <v>Finalizado</v>
      </c>
      <c r="O4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06" s="4">
        <v>0.28333333333333333</v>
      </c>
      <c r="Q406" s="4">
        <v>0.31597222222222221</v>
      </c>
      <c r="R406" s="23">
        <v>0.37152777777777779</v>
      </c>
      <c r="S406" s="16" t="s">
        <v>85</v>
      </c>
      <c r="T406" s="14">
        <f>IF(OR(Tabela1[[#This Row],[Entrada]]="",Tabela1[[#This Row],[Saída]]=""), "", Tabela1[[#This Row],[Saída]]-Tabela1[[#This Row],[Entrada]])</f>
        <v>5.555555555555558E-2</v>
      </c>
      <c r="U406" s="15">
        <f>IF(OR('Controle de CT'!$R406= "", 'Controle de CT'!$P406= ""), "", 'Controle de CT'!$R406-'Controle de CT'!$P406)</f>
        <v>8.8194444444444464E-2</v>
      </c>
      <c r="V406" s="1"/>
      <c r="W406" s="2"/>
      <c r="X406" s="2"/>
    </row>
    <row r="407" spans="11:24" ht="15" hidden="1" customHeight="1">
      <c r="K407" s="5">
        <v>46085</v>
      </c>
      <c r="L407" s="8" t="s">
        <v>56</v>
      </c>
      <c r="M407" s="9" t="str">
        <f>IF(Tabela1[[#This Row],[Motorista]]="","",IFERROR(_xlfn.XLOOKUP(Tabela1[[#This Row],[Motorista]],Base!A:A,Base!B:B),""))</f>
        <v/>
      </c>
      <c r="N407" s="20" t="str">
        <f t="shared" si="12"/>
        <v>Finalizado</v>
      </c>
      <c r="O4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07" s="4">
        <v>0.31597222222222221</v>
      </c>
      <c r="Q407" s="4">
        <v>0.3215277777777778</v>
      </c>
      <c r="R407" s="23">
        <v>0.3840277777777778</v>
      </c>
      <c r="S407" s="16" t="s">
        <v>85</v>
      </c>
      <c r="T407" s="14">
        <f>IF(OR(Tabela1[[#This Row],[Entrada]]="",Tabela1[[#This Row],[Saída]]=""), "", Tabela1[[#This Row],[Saída]]-Tabela1[[#This Row],[Entrada]])</f>
        <v>6.25E-2</v>
      </c>
      <c r="U407" s="15">
        <f>IF(OR('Controle de CT'!$R407= "", 'Controle de CT'!$P407= ""), "", 'Controle de CT'!$R407-'Controle de CT'!$P407)</f>
        <v>6.8055555555555591E-2</v>
      </c>
      <c r="V407" s="1"/>
      <c r="W407" s="2"/>
      <c r="X407" s="2"/>
    </row>
    <row r="408" spans="11:24" ht="15" hidden="1" customHeight="1">
      <c r="K408" s="5">
        <v>46085</v>
      </c>
      <c r="L408" s="8" t="s">
        <v>162</v>
      </c>
      <c r="M408" s="9" t="str">
        <f>IF(Tabela1[[#This Row],[Motorista]]="","",IFERROR(_xlfn.XLOOKUP(Tabela1[[#This Row],[Motorista]],Base!A:A,Base!B:B),""))</f>
        <v>FOB</v>
      </c>
      <c r="N408" s="20" t="str">
        <f t="shared" si="12"/>
        <v>Finalizado</v>
      </c>
      <c r="O4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08" s="4">
        <v>0.24861111111111112</v>
      </c>
      <c r="Q408" s="4">
        <v>0.26944444444444443</v>
      </c>
      <c r="R408" s="23">
        <v>0.33333333333333331</v>
      </c>
      <c r="S408" s="16" t="s">
        <v>85</v>
      </c>
      <c r="T408" s="14">
        <f>IF(OR(Tabela1[[#This Row],[Entrada]]="",Tabela1[[#This Row],[Saída]]=""), "", Tabela1[[#This Row],[Saída]]-Tabela1[[#This Row],[Entrada]])</f>
        <v>6.3888888888888884E-2</v>
      </c>
      <c r="U408" s="15">
        <f>IF(OR('Controle de CT'!$R408= "", 'Controle de CT'!$P408= ""), "", 'Controle de CT'!$R408-'Controle de CT'!$P408)</f>
        <v>8.4722222222222199E-2</v>
      </c>
      <c r="V408" s="1"/>
      <c r="W408" s="2"/>
      <c r="X408" s="2"/>
    </row>
    <row r="409" spans="11:24" ht="15" hidden="1" customHeight="1">
      <c r="K409" s="5">
        <v>46085</v>
      </c>
      <c r="L409" s="8" t="s">
        <v>109</v>
      </c>
      <c r="M409" s="9" t="str">
        <f>IF(Tabela1[[#This Row],[Motorista]]="","",IFERROR(_xlfn.XLOOKUP(Tabela1[[#This Row],[Motorista]],Base!A:A,Base!B:B),""))</f>
        <v>Transferência</v>
      </c>
      <c r="N409" s="20" t="str">
        <f t="shared" si="12"/>
        <v>Finalizado</v>
      </c>
      <c r="O4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09" s="4">
        <v>0.29166666666666669</v>
      </c>
      <c r="Q409" s="4">
        <v>0.54166666666666663</v>
      </c>
      <c r="R409" s="23">
        <v>0.62152777777777779</v>
      </c>
      <c r="S409" s="16" t="s">
        <v>85</v>
      </c>
      <c r="T409" s="14">
        <f>IF(OR(Tabela1[[#This Row],[Entrada]]="",Tabela1[[#This Row],[Saída]]=""), "", Tabela1[[#This Row],[Saída]]-Tabela1[[#This Row],[Entrada]])</f>
        <v>7.986111111111116E-2</v>
      </c>
      <c r="U409" s="15">
        <f>IF(OR('Controle de CT'!$R409= "", 'Controle de CT'!$P409= ""), "", 'Controle de CT'!$R409-'Controle de CT'!$P409)</f>
        <v>0.3298611111111111</v>
      </c>
      <c r="V409" s="1"/>
      <c r="W409" s="2"/>
      <c r="X409" s="2"/>
    </row>
    <row r="410" spans="11:24" ht="15" hidden="1" customHeight="1">
      <c r="K410" s="5">
        <v>46085</v>
      </c>
      <c r="L410" s="8" t="s">
        <v>87</v>
      </c>
      <c r="M410" s="9" t="str">
        <f>IF(Tabela1[[#This Row],[Motorista]]="","",IFERROR(_xlfn.XLOOKUP(Tabela1[[#This Row],[Motorista]],Base!A:A,Base!B:B),""))</f>
        <v>FOB</v>
      </c>
      <c r="N410" s="20" t="str">
        <f t="shared" ref="N410:N413" si="13">IF(R410&lt;&gt;"","Finalizado", IF(Q410&lt;&gt;"","Fila de Carregamento", IF(P410&lt;&gt;"","Aguardando Entrada","")))</f>
        <v>Finalizado</v>
      </c>
      <c r="O4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0" s="4">
        <v>0.32083333333333336</v>
      </c>
      <c r="Q410" s="4">
        <v>0.35625000000000001</v>
      </c>
      <c r="R410" s="23">
        <v>0.40277777777777779</v>
      </c>
      <c r="S410" s="16" t="s">
        <v>85</v>
      </c>
      <c r="T410" s="14">
        <f>IF(OR(Tabela1[[#This Row],[Entrada]]="",Tabela1[[#This Row],[Saída]]=""), "", Tabela1[[#This Row],[Saída]]-Tabela1[[#This Row],[Entrada]])</f>
        <v>4.6527777777777779E-2</v>
      </c>
      <c r="U410" s="15">
        <f>IF(OR('Controle de CT'!$R410= "", 'Controle de CT'!$P410= ""), "", 'Controle de CT'!$R410-'Controle de CT'!$P410)</f>
        <v>8.1944444444444431E-2</v>
      </c>
      <c r="V410" s="1"/>
      <c r="W410" s="2"/>
      <c r="X410" s="2"/>
    </row>
    <row r="411" spans="11:24" ht="15" hidden="1" customHeight="1">
      <c r="K411" s="5">
        <v>46085</v>
      </c>
      <c r="L411" s="8" t="s">
        <v>90</v>
      </c>
      <c r="M411" s="9" t="str">
        <f>IF(Tabela1[[#This Row],[Motorista]]="","",IFERROR(_xlfn.XLOOKUP(Tabela1[[#This Row],[Motorista]],Base!A:A,Base!B:B),""))</f>
        <v>FOB</v>
      </c>
      <c r="N411" s="20" t="str">
        <f t="shared" si="13"/>
        <v>Finalizado</v>
      </c>
      <c r="O4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1" s="2">
        <v>0.32083333333333336</v>
      </c>
      <c r="Q411" s="2">
        <v>0.38194444444444442</v>
      </c>
      <c r="R411" s="16">
        <v>0.45833333333333331</v>
      </c>
      <c r="S411" s="16" t="s">
        <v>85</v>
      </c>
      <c r="T411" s="14">
        <f>IF(OR(Tabela1[[#This Row],[Entrada]]="",Tabela1[[#This Row],[Saída]]=""), "", Tabela1[[#This Row],[Saída]]-Tabela1[[#This Row],[Entrada]])</f>
        <v>7.6388888888888895E-2</v>
      </c>
      <c r="U411" s="15">
        <f>IF(OR('Controle de CT'!$R411= "", 'Controle de CT'!$P411= ""), "", 'Controle de CT'!$R411-'Controle de CT'!$P411)</f>
        <v>0.13749999999999996</v>
      </c>
      <c r="V411" s="1"/>
      <c r="W411" s="2"/>
      <c r="X411" s="2"/>
    </row>
    <row r="412" spans="11:24" ht="15" hidden="1" customHeight="1">
      <c r="K412" s="5">
        <v>46085</v>
      </c>
      <c r="L412" s="8" t="s">
        <v>92</v>
      </c>
      <c r="M412" s="9" t="str">
        <f>IF(Tabela1[[#This Row],[Motorista]]="","",IFERROR(_xlfn.XLOOKUP(Tabela1[[#This Row],[Motorista]],Base!A:A,Base!B:B),""))</f>
        <v>FOB</v>
      </c>
      <c r="N412" s="20" t="str">
        <f t="shared" si="13"/>
        <v>Finalizado</v>
      </c>
      <c r="O4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12" s="2">
        <v>0.32222222222222224</v>
      </c>
      <c r="Q412" s="2">
        <v>0.37777777777777777</v>
      </c>
      <c r="R412" s="16">
        <v>0.41458333333333336</v>
      </c>
      <c r="S412" s="16" t="s">
        <v>85</v>
      </c>
      <c r="T412" s="14">
        <f>IF(OR(Tabela1[[#This Row],[Entrada]]="",Tabela1[[#This Row],[Saída]]=""), "", Tabela1[[#This Row],[Saída]]-Tabela1[[#This Row],[Entrada]])</f>
        <v>3.6805555555555591E-2</v>
      </c>
      <c r="U412" s="15">
        <f>IF(OR('Controle de CT'!$R412= "", 'Controle de CT'!$P412= ""), "", 'Controle de CT'!$R412-'Controle de CT'!$P412)</f>
        <v>9.2361111111111116E-2</v>
      </c>
      <c r="V412" s="1"/>
      <c r="W412" s="2"/>
      <c r="X412" s="2"/>
    </row>
    <row r="413" spans="11:24" ht="15" hidden="1" customHeight="1">
      <c r="K413" s="5">
        <v>46085</v>
      </c>
      <c r="L413" s="8" t="s">
        <v>44</v>
      </c>
      <c r="M413" s="9" t="str">
        <f>IF(Tabela1[[#This Row],[Motorista]]="","",IFERROR(_xlfn.XLOOKUP(Tabela1[[#This Row],[Motorista]],Base!A:A,Base!B:B),""))</f>
        <v>CIF</v>
      </c>
      <c r="N413" s="20" t="str">
        <f t="shared" si="13"/>
        <v>Finalizado</v>
      </c>
      <c r="O4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3" s="2">
        <v>0.32569444444444445</v>
      </c>
      <c r="Q413" s="2">
        <v>0.34722222222222221</v>
      </c>
      <c r="R413" s="16">
        <v>0.41666666666666669</v>
      </c>
      <c r="S413" s="16" t="s">
        <v>85</v>
      </c>
      <c r="T413" s="14">
        <f>IF(OR(Tabela1[[#This Row],[Entrada]]="",Tabela1[[#This Row],[Saída]]=""), "", Tabela1[[#This Row],[Saída]]-Tabela1[[#This Row],[Entrada]])</f>
        <v>6.9444444444444475E-2</v>
      </c>
      <c r="U413" s="15">
        <f>IF(OR('Controle de CT'!$R413= "", 'Controle de CT'!$P413= ""), "", 'Controle de CT'!$R413-'Controle de CT'!$P413)</f>
        <v>9.0972222222222232E-2</v>
      </c>
      <c r="V413" s="1"/>
      <c r="W413" s="2"/>
      <c r="X413" s="2"/>
    </row>
    <row r="414" spans="11:24" ht="15" hidden="1" customHeight="1">
      <c r="K414" s="5">
        <v>46085</v>
      </c>
      <c r="L414" s="8" t="s">
        <v>89</v>
      </c>
      <c r="M414" s="9" t="str">
        <f>IF(Tabela1[[#This Row],[Motorista]]="","",IFERROR(_xlfn.XLOOKUP(Tabela1[[#This Row],[Motorista]],Base!A:A,Base!B:B),""))</f>
        <v>FOB</v>
      </c>
      <c r="N414" s="20" t="str">
        <f>IF(R414&lt;&gt;"","Finalizado", IF(Q414&lt;&gt;"","Fila de Carregamento", IF(P414&lt;&gt;"","Aguardando Entrada","")))</f>
        <v>Finalizado</v>
      </c>
      <c r="O4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14" s="4">
        <v>0.35208333333333336</v>
      </c>
      <c r="Q414" s="4">
        <v>0.38611111111111113</v>
      </c>
      <c r="R414" s="23">
        <v>0.44444444444444442</v>
      </c>
      <c r="S414" s="16" t="s">
        <v>85</v>
      </c>
      <c r="T414" s="14">
        <f>IF(OR(Tabela1[[#This Row],[Entrada]]="",Tabela1[[#This Row],[Saída]]=""), "", Tabela1[[#This Row],[Saída]]-Tabela1[[#This Row],[Entrada]])</f>
        <v>5.8333333333333293E-2</v>
      </c>
      <c r="U414" s="15">
        <f>IF(OR('Controle de CT'!$R414= "", 'Controle de CT'!$P414= ""), "", 'Controle de CT'!$R414-'Controle de CT'!$P414)</f>
        <v>9.2361111111111061E-2</v>
      </c>
      <c r="V414" s="1"/>
      <c r="W414" s="2"/>
      <c r="X414" s="2"/>
    </row>
    <row r="415" spans="11:24" ht="15" hidden="1" customHeight="1">
      <c r="K415" s="5">
        <v>46085</v>
      </c>
      <c r="L415" s="8" t="s">
        <v>98</v>
      </c>
      <c r="M415" s="9" t="str">
        <f>IF(Tabela1[[#This Row],[Motorista]]="","",IFERROR(_xlfn.XLOOKUP(Tabela1[[#This Row],[Motorista]],Base!A:A,Base!B:B),""))</f>
        <v>FOB</v>
      </c>
      <c r="N415" s="20" t="str">
        <f>IF(R415&lt;&gt;"","Finalizado", IF(Q415&lt;&gt;"","Fila de Carregamento", IF(P415&lt;&gt;"","Aguardando Entrada","")))</f>
        <v>Finalizado</v>
      </c>
      <c r="O4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15" s="4">
        <v>0.35347222222222224</v>
      </c>
      <c r="Q415" s="4">
        <v>0.3972222222222222</v>
      </c>
      <c r="R415" s="23">
        <v>0.46527777777777779</v>
      </c>
      <c r="S415" s="16" t="s">
        <v>85</v>
      </c>
      <c r="T415" s="14">
        <f>IF(OR(Tabela1[[#This Row],[Entrada]]="",Tabela1[[#This Row],[Saída]]=""), "", Tabela1[[#This Row],[Saída]]-Tabela1[[#This Row],[Entrada]])</f>
        <v>6.8055555555555591E-2</v>
      </c>
      <c r="U415" s="15">
        <f>IF(OR('Controle de CT'!$R415= "", 'Controle de CT'!$P415= ""), "", 'Controle de CT'!$R415-'Controle de CT'!$P415)</f>
        <v>0.11180555555555555</v>
      </c>
      <c r="V415" s="1"/>
      <c r="W415" s="2"/>
      <c r="X415" s="2"/>
    </row>
    <row r="416" spans="11:24" ht="15" hidden="1" customHeight="1">
      <c r="K416" s="5">
        <v>46085</v>
      </c>
      <c r="L416" s="8" t="s">
        <v>45</v>
      </c>
      <c r="M416" s="9" t="str">
        <f>IF(Tabela1[[#This Row],[Motorista]]="","",IFERROR(_xlfn.XLOOKUP(Tabela1[[#This Row],[Motorista]],Base!A:A,Base!B:B),""))</f>
        <v>CIF</v>
      </c>
      <c r="N416" s="20" t="str">
        <f>IF(R416&lt;&gt;"","Finalizado", IF(Q416&lt;&gt;"","Fila de Carregamento", IF(P416&lt;&gt;"","Aguardando Entrada","")))</f>
        <v>Finalizado</v>
      </c>
      <c r="O4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6" s="4">
        <v>0.3972222222222222</v>
      </c>
      <c r="Q416" s="4">
        <v>0.40625</v>
      </c>
      <c r="R416" s="23">
        <v>0.44444444444444442</v>
      </c>
      <c r="S416" s="16" t="s">
        <v>85</v>
      </c>
      <c r="T416" s="14">
        <f>IF(OR(Tabela1[[#This Row],[Entrada]]="",Tabela1[[#This Row],[Saída]]=""), "", Tabela1[[#This Row],[Saída]]-Tabela1[[#This Row],[Entrada]])</f>
        <v>3.819444444444442E-2</v>
      </c>
      <c r="U416" s="15">
        <f>IF(OR('Controle de CT'!$R416= "", 'Controle de CT'!$P416= ""), "", 'Controle de CT'!$R416-'Controle de CT'!$P416)</f>
        <v>4.7222222222222221E-2</v>
      </c>
      <c r="V416" s="1"/>
      <c r="W416" s="2"/>
      <c r="X416" s="2"/>
    </row>
    <row r="417" spans="11:24" ht="15" hidden="1" customHeight="1">
      <c r="K417" s="5">
        <v>46085</v>
      </c>
      <c r="L417" s="8" t="s">
        <v>55</v>
      </c>
      <c r="M417" s="9" t="str">
        <f>IF(Tabela1[[#This Row],[Motorista]]="","",IFERROR(_xlfn.XLOOKUP(Tabela1[[#This Row],[Motorista]],Base!A:A,Base!B:B),""))</f>
        <v>CIF</v>
      </c>
      <c r="N417" s="20" t="str">
        <f t="shared" ref="N417:N421" si="14">IF(R417&lt;&gt;"","Finalizado", IF(Q417&lt;&gt;"","Fila de Carregamento", IF(P417&lt;&gt;"","Aguardando Entrada","")))</f>
        <v>Finalizado</v>
      </c>
      <c r="O4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17" s="4">
        <v>0.43055555555555558</v>
      </c>
      <c r="Q417" s="4">
        <v>0.44722222222222224</v>
      </c>
      <c r="R417" s="23">
        <v>0.50486111111111109</v>
      </c>
      <c r="S417" s="16" t="s">
        <v>85</v>
      </c>
      <c r="T417" s="14">
        <f>IF(OR(Tabela1[[#This Row],[Entrada]]="",Tabela1[[#This Row],[Saída]]=""), "", Tabela1[[#This Row],[Saída]]-Tabela1[[#This Row],[Entrada]])</f>
        <v>5.7638888888888851E-2</v>
      </c>
      <c r="U417" s="15">
        <f>IF(OR('Controle de CT'!$R417= "", 'Controle de CT'!$P417= ""), "", 'Controle de CT'!$R417-'Controle de CT'!$P417)</f>
        <v>7.4305555555555514E-2</v>
      </c>
      <c r="V417" s="1"/>
      <c r="W417" s="2"/>
      <c r="X417" s="2"/>
    </row>
    <row r="418" spans="11:24" ht="15" hidden="1" customHeight="1">
      <c r="K418" s="5">
        <v>46085</v>
      </c>
      <c r="L418" s="8" t="s">
        <v>47</v>
      </c>
      <c r="M418" s="9" t="str">
        <f>IF(Tabela1[[#This Row],[Motorista]]="","",IFERROR(_xlfn.XLOOKUP(Tabela1[[#This Row],[Motorista]],Base!A:A,Base!B:B),""))</f>
        <v>CIF</v>
      </c>
      <c r="N418" s="20" t="str">
        <f t="shared" si="14"/>
        <v>Finalizado</v>
      </c>
      <c r="O4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18" s="2">
        <v>0.44722222222222224</v>
      </c>
      <c r="Q418" s="2">
        <v>0.45763888888888887</v>
      </c>
      <c r="R418" s="16">
        <v>0.50694444444444442</v>
      </c>
      <c r="S418" s="16" t="s">
        <v>85</v>
      </c>
      <c r="T418" s="14">
        <f>IF(OR(Tabela1[[#This Row],[Entrada]]="",Tabela1[[#This Row],[Saída]]=""), "", Tabela1[[#This Row],[Saída]]-Tabela1[[#This Row],[Entrada]])</f>
        <v>4.9305555555555547E-2</v>
      </c>
      <c r="U418" s="15">
        <f>IF(OR('Controle de CT'!$R418= "", 'Controle de CT'!$P418= ""), "", 'Controle de CT'!$R418-'Controle de CT'!$P418)</f>
        <v>5.9722222222222177E-2</v>
      </c>
      <c r="V418" s="1"/>
      <c r="W418" s="2"/>
      <c r="X418" s="2"/>
    </row>
    <row r="419" spans="11:24" ht="15" hidden="1" customHeight="1">
      <c r="K419" s="5">
        <v>46085</v>
      </c>
      <c r="L419" s="8" t="s">
        <v>57</v>
      </c>
      <c r="M419" s="9" t="str">
        <f>IF(Tabela1[[#This Row],[Motorista]]="","",IFERROR(_xlfn.XLOOKUP(Tabela1[[#This Row],[Motorista]],Base!A:A,Base!B:B),""))</f>
        <v>CIF</v>
      </c>
      <c r="N419" s="20" t="str">
        <f t="shared" si="14"/>
        <v>Finalizado</v>
      </c>
      <c r="O4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19" s="2">
        <v>0.46458333333333335</v>
      </c>
      <c r="Q419" s="2">
        <v>0.49583333333333335</v>
      </c>
      <c r="R419" s="16">
        <v>0.53333333333333333</v>
      </c>
      <c r="S419" s="16" t="s">
        <v>85</v>
      </c>
      <c r="T419" s="14">
        <f>IF(OR(Tabela1[[#This Row],[Entrada]]="",Tabela1[[#This Row],[Saída]]=""), "", Tabela1[[#This Row],[Saída]]-Tabela1[[#This Row],[Entrada]])</f>
        <v>3.7499999999999978E-2</v>
      </c>
      <c r="U419" s="15">
        <f>IF(OR('Controle de CT'!$R419= "", 'Controle de CT'!$P419= ""), "", 'Controle de CT'!$R419-'Controle de CT'!$P419)</f>
        <v>6.8749999999999978E-2</v>
      </c>
      <c r="V419" s="1"/>
      <c r="W419" s="2"/>
      <c r="X419" s="2"/>
    </row>
    <row r="420" spans="11:24" ht="15" hidden="1" customHeight="1">
      <c r="K420" s="5">
        <v>46085</v>
      </c>
      <c r="L420" s="8" t="s">
        <v>49</v>
      </c>
      <c r="M420" s="9" t="str">
        <f>IF(Tabela1[[#This Row],[Motorista]]="","",IFERROR(_xlfn.XLOOKUP(Tabela1[[#This Row],[Motorista]],Base!A:A,Base!B:B),""))</f>
        <v>CIF</v>
      </c>
      <c r="N420" s="20" t="str">
        <f t="shared" si="14"/>
        <v>Finalizado</v>
      </c>
      <c r="O4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0" s="2">
        <v>0.50555555555555554</v>
      </c>
      <c r="Q420" s="2">
        <v>0.53749999999999998</v>
      </c>
      <c r="R420" s="16">
        <v>0.61319444444444449</v>
      </c>
      <c r="S420" s="16" t="s">
        <v>85</v>
      </c>
      <c r="T420" s="14">
        <f>IF(OR(Tabela1[[#This Row],[Entrada]]="",Tabela1[[#This Row],[Saída]]=""), "", Tabela1[[#This Row],[Saída]]-Tabela1[[#This Row],[Entrada]])</f>
        <v>7.5694444444444509E-2</v>
      </c>
      <c r="U420" s="15">
        <f>IF(OR('Controle de CT'!$R420= "", 'Controle de CT'!$P420= ""), "", 'Controle de CT'!$R420-'Controle de CT'!$P420)</f>
        <v>0.10763888888888895</v>
      </c>
      <c r="V420" s="1"/>
      <c r="W420" s="2"/>
      <c r="X420" s="2"/>
    </row>
    <row r="421" spans="11:24" ht="15" hidden="1" customHeight="1">
      <c r="K421" s="5">
        <v>46085</v>
      </c>
      <c r="L421" s="8" t="s">
        <v>92</v>
      </c>
      <c r="M421" s="9" t="str">
        <f>IF(Tabela1[[#This Row],[Motorista]]="","",IFERROR(_xlfn.XLOOKUP(Tabela1[[#This Row],[Motorista]],Base!A:A,Base!B:B),""))</f>
        <v>FOB</v>
      </c>
      <c r="N421" s="20" t="str">
        <f t="shared" si="14"/>
        <v>Finalizado</v>
      </c>
      <c r="O4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21" s="2">
        <v>0.5083333333333333</v>
      </c>
      <c r="Q421" s="2">
        <v>0.54305555555555551</v>
      </c>
      <c r="R421" s="16">
        <v>0.64166666666666672</v>
      </c>
      <c r="S421" s="16" t="s">
        <v>85</v>
      </c>
      <c r="T421" s="14">
        <f>IF(OR(Tabela1[[#This Row],[Entrada]]="",Tabela1[[#This Row],[Saída]]=""), "", Tabela1[[#This Row],[Saída]]-Tabela1[[#This Row],[Entrada]])</f>
        <v>9.8611111111111205E-2</v>
      </c>
      <c r="U421" s="15">
        <f>IF(OR('Controle de CT'!$R421= "", 'Controle de CT'!$P421= ""), "", 'Controle de CT'!$R421-'Controle de CT'!$P421)</f>
        <v>0.13333333333333341</v>
      </c>
      <c r="V421" s="1"/>
      <c r="W421" s="2"/>
      <c r="X421" s="2"/>
    </row>
    <row r="422" spans="11:24" ht="15" hidden="1" customHeight="1">
      <c r="K422" s="5">
        <v>46085</v>
      </c>
      <c r="L422" s="8" t="s">
        <v>162</v>
      </c>
      <c r="M422" s="9" t="str">
        <f>IF(Tabela1[[#This Row],[Motorista]]="","",IFERROR(_xlfn.XLOOKUP(Tabela1[[#This Row],[Motorista]],Base!A:A,Base!B:B),""))</f>
        <v>FOB</v>
      </c>
      <c r="N422" s="20" t="str">
        <f t="shared" ref="N422:N424" si="15">IF(R422&lt;&gt;"","Finalizado", IF(Q422&lt;&gt;"","Fila de Carregamento", IF(P422&lt;&gt;"","Aguardando Entrada","")))</f>
        <v>Finalizado</v>
      </c>
      <c r="O4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22" s="4">
        <v>0.5131944444444444</v>
      </c>
      <c r="Q422" s="4">
        <v>0.54305555555555551</v>
      </c>
      <c r="R422" s="23">
        <v>0.64236111111111116</v>
      </c>
      <c r="S422" s="16" t="s">
        <v>85</v>
      </c>
      <c r="T422" s="14">
        <f>IF(OR(Tabela1[[#This Row],[Entrada]]="",Tabela1[[#This Row],[Saída]]=""), "", Tabela1[[#This Row],[Saída]]-Tabela1[[#This Row],[Entrada]])</f>
        <v>9.9305555555555647E-2</v>
      </c>
      <c r="U422" s="15">
        <f>IF(OR('Controle de CT'!$R422= "", 'Controle de CT'!$P422= ""), "", 'Controle de CT'!$R422-'Controle de CT'!$P422)</f>
        <v>0.12916666666666676</v>
      </c>
      <c r="V422" s="1"/>
      <c r="W422" s="2"/>
      <c r="X422" s="2"/>
    </row>
    <row r="423" spans="11:24" ht="15" hidden="1" customHeight="1">
      <c r="K423" s="5">
        <v>46085</v>
      </c>
      <c r="L423" s="8" t="s">
        <v>112</v>
      </c>
      <c r="M423" s="9" t="str">
        <f>IF(Tabela1[[#This Row],[Motorista]]="","",IFERROR(_xlfn.XLOOKUP(Tabela1[[#This Row],[Motorista]],Base!A:A,Base!B:B),""))</f>
        <v>FOB</v>
      </c>
      <c r="N423" s="20" t="str">
        <f t="shared" si="15"/>
        <v>Finalizado</v>
      </c>
      <c r="O4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3" s="2">
        <v>0.54166666666666663</v>
      </c>
      <c r="Q423" s="2">
        <v>0.6118055555555556</v>
      </c>
      <c r="R423" s="16">
        <v>0.63541666666666663</v>
      </c>
      <c r="S423" s="16" t="s">
        <v>85</v>
      </c>
      <c r="T423" s="14">
        <f>IF(OR(Tabela1[[#This Row],[Entrada]]="",Tabela1[[#This Row],[Saída]]=""), "", Tabela1[[#This Row],[Saída]]-Tabela1[[#This Row],[Entrada]])</f>
        <v>2.3611111111111027E-2</v>
      </c>
      <c r="U423" s="15">
        <f>IF(OR('Controle de CT'!$R423= "", 'Controle de CT'!$P423= ""), "", 'Controle de CT'!$R423-'Controle de CT'!$P423)</f>
        <v>9.375E-2</v>
      </c>
      <c r="V423" s="1"/>
      <c r="W423" s="2"/>
      <c r="X423" s="2"/>
    </row>
    <row r="424" spans="11:24" ht="15" hidden="1" customHeight="1">
      <c r="K424" s="5">
        <v>46085</v>
      </c>
      <c r="L424" s="8" t="s">
        <v>101</v>
      </c>
      <c r="M424" s="9" t="str">
        <f>IF(Tabela1[[#This Row],[Motorista]]="","",IFERROR(_xlfn.XLOOKUP(Tabela1[[#This Row],[Motorista]],Base!A:A,Base!B:B),""))</f>
        <v>FOB</v>
      </c>
      <c r="N424" s="20" t="str">
        <f t="shared" si="15"/>
        <v>Finalizado</v>
      </c>
      <c r="O4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4" s="2">
        <v>0.54236111111111107</v>
      </c>
      <c r="Q424" s="2">
        <v>0.6118055555555556</v>
      </c>
      <c r="R424" s="16">
        <v>0.67361111111111116</v>
      </c>
      <c r="S424" s="16" t="s">
        <v>85</v>
      </c>
      <c r="T424" s="14">
        <f>IF(OR(Tabela1[[#This Row],[Entrada]]="",Tabela1[[#This Row],[Saída]]=""), "", Tabela1[[#This Row],[Saída]]-Tabela1[[#This Row],[Entrada]])</f>
        <v>6.1805555555555558E-2</v>
      </c>
      <c r="U424" s="15">
        <f>IF(OR('Controle de CT'!$R424= "", 'Controle de CT'!$P424= ""), "", 'Controle de CT'!$R424-'Controle de CT'!$P424)</f>
        <v>0.13125000000000009</v>
      </c>
      <c r="V424" s="1"/>
      <c r="W424" s="2"/>
      <c r="X424" s="2"/>
    </row>
    <row r="425" spans="11:24" ht="15" hidden="1" customHeight="1">
      <c r="K425" s="5">
        <v>46085</v>
      </c>
      <c r="L425" s="8" t="s">
        <v>56</v>
      </c>
      <c r="M425" s="9" t="str">
        <f>IF(Tabela1[[#This Row],[Motorista]]="","",IFERROR(_xlfn.XLOOKUP(Tabela1[[#This Row],[Motorista]],Base!A:A,Base!B:B),""))</f>
        <v/>
      </c>
      <c r="N425" s="20" t="str">
        <f t="shared" ref="N425:N435" si="16">IF(R425&lt;&gt;"","Finalizado", IF(Q425&lt;&gt;"","Fila de Carregamento", IF(P425&lt;&gt;"","Aguardando Entrada","")))</f>
        <v>Finalizado</v>
      </c>
      <c r="O4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25" s="4">
        <v>0.55000000000000004</v>
      </c>
      <c r="Q425" s="4">
        <v>0.57777777777777772</v>
      </c>
      <c r="R425" s="23">
        <v>0.6479166666666667</v>
      </c>
      <c r="S425" s="16" t="s">
        <v>85</v>
      </c>
      <c r="T425" s="14">
        <f>IF(OR(Tabela1[[#This Row],[Entrada]]="",Tabela1[[#This Row],[Saída]]=""), "", Tabela1[[#This Row],[Saída]]-Tabela1[[#This Row],[Entrada]])</f>
        <v>7.0138888888888973E-2</v>
      </c>
      <c r="U425" s="15">
        <f>IF(OR('Controle de CT'!$R425= "", 'Controle de CT'!$P425= ""), "", 'Controle de CT'!$R425-'Controle de CT'!$P425)</f>
        <v>9.7916666666666652E-2</v>
      </c>
      <c r="V425" s="1"/>
      <c r="W425" s="2"/>
      <c r="X425" s="2"/>
    </row>
    <row r="426" spans="11:24" ht="15" hidden="1" customHeight="1">
      <c r="K426" s="5">
        <v>46085</v>
      </c>
      <c r="L426" s="8" t="s">
        <v>117</v>
      </c>
      <c r="M426" s="9" t="str">
        <f>IF(Tabela1[[#This Row],[Motorista]]="","",IFERROR(_xlfn.XLOOKUP(Tabela1[[#This Row],[Motorista]],Base!A:A,Base!B:B),""))</f>
        <v>FOB</v>
      </c>
      <c r="N426" s="20" t="str">
        <f t="shared" si="16"/>
        <v>Finalizado</v>
      </c>
      <c r="O4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6" s="4">
        <v>0.56041666666666667</v>
      </c>
      <c r="Q426" s="4">
        <v>0.66319444444444442</v>
      </c>
      <c r="R426" s="23">
        <v>0.7</v>
      </c>
      <c r="S426" s="16" t="s">
        <v>85</v>
      </c>
      <c r="T426" s="14">
        <f>IF(OR(Tabela1[[#This Row],[Entrada]]="",Tabela1[[#This Row],[Saída]]=""), "", Tabela1[[#This Row],[Saída]]-Tabela1[[#This Row],[Entrada]])</f>
        <v>3.6805555555555536E-2</v>
      </c>
      <c r="U426" s="15">
        <f>IF(OR('Controle de CT'!$R426= "", 'Controle de CT'!$P426= ""), "", 'Controle de CT'!$R426-'Controle de CT'!$P426)</f>
        <v>0.13958333333333328</v>
      </c>
      <c r="V426" s="1"/>
      <c r="W426" s="2"/>
      <c r="X426" s="2"/>
    </row>
    <row r="427" spans="11:24" ht="15" hidden="1" customHeight="1">
      <c r="K427" s="5">
        <v>46085</v>
      </c>
      <c r="L427" s="8" t="s">
        <v>137</v>
      </c>
      <c r="M427" s="9" t="str">
        <f>IF(Tabela1[[#This Row],[Motorista]]="","",IFERROR(_xlfn.XLOOKUP(Tabela1[[#This Row],[Motorista]],Base!A:A,Base!B:B),""))</f>
        <v>RZD</v>
      </c>
      <c r="N427" s="20" t="str">
        <f t="shared" si="16"/>
        <v>Finalizado</v>
      </c>
      <c r="O4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7" s="4">
        <v>0.57499999999999996</v>
      </c>
      <c r="Q427" s="4">
        <v>0.61458333333333337</v>
      </c>
      <c r="R427" s="23">
        <v>0.64583333333333337</v>
      </c>
      <c r="S427" s="16"/>
      <c r="T427" s="14">
        <f>IF(OR(Tabela1[[#This Row],[Entrada]]="",Tabela1[[#This Row],[Saída]]=""), "", Tabela1[[#This Row],[Saída]]-Tabela1[[#This Row],[Entrada]])</f>
        <v>3.125E-2</v>
      </c>
      <c r="U427" s="15">
        <f>IF(OR('Controle de CT'!$R427= "", 'Controle de CT'!$P427= ""), "", 'Controle de CT'!$R427-'Controle de CT'!$P427)</f>
        <v>7.0833333333333415E-2</v>
      </c>
      <c r="V427" s="1"/>
      <c r="W427" s="2"/>
      <c r="X427" s="2"/>
    </row>
    <row r="428" spans="11:24" ht="15" hidden="1" customHeight="1">
      <c r="K428" s="5">
        <v>46085</v>
      </c>
      <c r="L428" s="8" t="s">
        <v>163</v>
      </c>
      <c r="M428" s="9" t="str">
        <f>IF(Tabela1[[#This Row],[Motorista]]="","",IFERROR(_xlfn.XLOOKUP(Tabela1[[#This Row],[Motorista]],Base!A:A,Base!B:B),""))</f>
        <v>Transferência</v>
      </c>
      <c r="N428" s="20" t="str">
        <f t="shared" si="16"/>
        <v>Fila de Carregamento</v>
      </c>
      <c r="O4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8" s="4">
        <v>0.61388888888888893</v>
      </c>
      <c r="Q428" s="4">
        <v>0.65416666666666667</v>
      </c>
      <c r="R428" s="23"/>
      <c r="S428" s="16"/>
      <c r="T428" s="14" t="str">
        <f>IF(OR(Tabela1[[#This Row],[Entrada]]="",Tabela1[[#This Row],[Saída]]=""), "", Tabela1[[#This Row],[Saída]]-Tabela1[[#This Row],[Entrada]])</f>
        <v/>
      </c>
      <c r="U428" s="15" t="str">
        <f>IF(OR('Controle de CT'!$R428= "", 'Controle de CT'!$P428= ""), "", 'Controle de CT'!$R428-'Controle de CT'!$P428)</f>
        <v/>
      </c>
      <c r="V428" s="1"/>
      <c r="W428" s="2"/>
      <c r="X428" s="2"/>
    </row>
    <row r="429" spans="11:24" ht="15" hidden="1" customHeight="1">
      <c r="K429" s="5">
        <v>46085</v>
      </c>
      <c r="L429" s="8" t="s">
        <v>105</v>
      </c>
      <c r="M429" s="9" t="str">
        <f>IF(Tabela1[[#This Row],[Motorista]]="","",IFERROR(_xlfn.XLOOKUP(Tabela1[[#This Row],[Motorista]],Base!A:A,Base!B:B),""))</f>
        <v>Transferência</v>
      </c>
      <c r="N429" s="20" t="str">
        <f t="shared" si="16"/>
        <v>Finalizado</v>
      </c>
      <c r="O4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29" s="4">
        <v>0.59513888888888888</v>
      </c>
      <c r="Q429" s="4">
        <v>0.58333333333333337</v>
      </c>
      <c r="R429" s="23">
        <v>0.74513888888888891</v>
      </c>
      <c r="S429" s="16"/>
      <c r="T429" s="14">
        <f>IF(OR(Tabela1[[#This Row],[Entrada]]="",Tabela1[[#This Row],[Saída]]=""), "", Tabela1[[#This Row],[Saída]]-Tabela1[[#This Row],[Entrada]])</f>
        <v>0.16180555555555554</v>
      </c>
      <c r="U429" s="15">
        <f>IF(OR('Controle de CT'!$R429= "", 'Controle de CT'!$P429= ""), "", 'Controle de CT'!$R429-'Controle de CT'!$P429)</f>
        <v>0.15000000000000002</v>
      </c>
      <c r="V429" s="1"/>
      <c r="W429" s="2"/>
      <c r="X429" s="2"/>
    </row>
    <row r="430" spans="11:24" ht="15" hidden="1" customHeight="1">
      <c r="K430" s="5">
        <v>46085</v>
      </c>
      <c r="L430" s="8" t="s">
        <v>89</v>
      </c>
      <c r="M430" s="9" t="str">
        <f>IF(Tabela1[[#This Row],[Motorista]]="","",IFERROR(_xlfn.XLOOKUP(Tabela1[[#This Row],[Motorista]],Base!A:A,Base!B:B),""))</f>
        <v>FOB</v>
      </c>
      <c r="N430" s="20" t="str">
        <f t="shared" si="16"/>
        <v>Finalizado</v>
      </c>
      <c r="O4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30" s="4">
        <v>0.60624999999999996</v>
      </c>
      <c r="Q430" s="4">
        <v>0.63472222222222219</v>
      </c>
      <c r="R430" s="23">
        <v>0.70277777777777772</v>
      </c>
      <c r="S430" s="16" t="s">
        <v>85</v>
      </c>
      <c r="T430" s="14">
        <f>IF(OR(Tabela1[[#This Row],[Entrada]]="",Tabela1[[#This Row],[Saída]]=""), "", Tabela1[[#This Row],[Saída]]-Tabela1[[#This Row],[Entrada]])</f>
        <v>6.8055555555555536E-2</v>
      </c>
      <c r="U430" s="15">
        <f>IF(OR('Controle de CT'!$R430= "", 'Controle de CT'!$P430= ""), "", 'Controle de CT'!$R430-'Controle de CT'!$P430)</f>
        <v>9.6527777777777768E-2</v>
      </c>
      <c r="V430" s="1"/>
      <c r="W430" s="2"/>
      <c r="X430" s="2"/>
    </row>
    <row r="431" spans="11:24" ht="15" hidden="1" customHeight="1">
      <c r="K431" s="5">
        <v>46085</v>
      </c>
      <c r="L431" s="8" t="s">
        <v>164</v>
      </c>
      <c r="M431" s="9" t="str">
        <f>IF(Tabela1[[#This Row],[Motorista]]="","",IFERROR(_xlfn.XLOOKUP(Tabela1[[#This Row],[Motorista]],Base!A:A,Base!B:B),""))</f>
        <v>RZD</v>
      </c>
      <c r="N431" s="20" t="str">
        <f t="shared" si="16"/>
        <v>Finalizado</v>
      </c>
      <c r="O4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1" s="4">
        <v>0.50624999999999998</v>
      </c>
      <c r="Q431" s="4">
        <v>0.64583333333333337</v>
      </c>
      <c r="R431" s="23">
        <v>0.73402777777777772</v>
      </c>
      <c r="S431" s="16"/>
      <c r="T431" s="14">
        <f>IF(OR(Tabela1[[#This Row],[Entrada]]="",Tabela1[[#This Row],[Saída]]=""), "", Tabela1[[#This Row],[Saída]]-Tabela1[[#This Row],[Entrada]])</f>
        <v>8.8194444444444353E-2</v>
      </c>
      <c r="U431" s="15">
        <f>IF(OR('Controle de CT'!$R431= "", 'Controle de CT'!$P431= ""), "", 'Controle de CT'!$R431-'Controle de CT'!$P431)</f>
        <v>0.22777777777777775</v>
      </c>
      <c r="V431" s="1"/>
      <c r="W431" s="2"/>
      <c r="X431" s="2"/>
    </row>
    <row r="432" spans="11:24" ht="15" hidden="1" customHeight="1">
      <c r="K432" s="5">
        <v>46085</v>
      </c>
      <c r="L432" s="8" t="s">
        <v>98</v>
      </c>
      <c r="M432" s="9" t="str">
        <f>IF(Tabela1[[#This Row],[Motorista]]="","",IFERROR(_xlfn.XLOOKUP(Tabela1[[#This Row],[Motorista]],Base!A:A,Base!B:B),""))</f>
        <v>FOB</v>
      </c>
      <c r="N432" s="20" t="str">
        <f t="shared" si="16"/>
        <v>Finalizado</v>
      </c>
      <c r="O4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32" s="4">
        <v>0.61388888888888893</v>
      </c>
      <c r="Q432" s="4" t="s">
        <v>165</v>
      </c>
      <c r="R432" s="23">
        <v>0.75208333333333333</v>
      </c>
      <c r="S432" s="16"/>
      <c r="T432" s="14" t="e">
        <f>IF(OR(Tabela1[[#This Row],[Entrada]]="",Tabela1[[#This Row],[Saída]]=""), "", Tabela1[[#This Row],[Saída]]-Tabela1[[#This Row],[Entrada]])</f>
        <v>#VALUE!</v>
      </c>
      <c r="U432" s="15">
        <f>IF(OR('Controle de CT'!$R432= "", 'Controle de CT'!$P432= ""), "", 'Controle de CT'!$R432-'Controle de CT'!$P432)</f>
        <v>0.1381944444444444</v>
      </c>
      <c r="V432" s="1"/>
      <c r="W432" s="2"/>
      <c r="X432" s="2"/>
    </row>
    <row r="433" spans="11:24" ht="15" hidden="1" customHeight="1">
      <c r="K433" s="5">
        <v>46085</v>
      </c>
      <c r="L433" s="8" t="s">
        <v>93</v>
      </c>
      <c r="M433" s="9" t="str">
        <f>IF(Tabela1[[#This Row],[Motorista]]="","",IFERROR(_xlfn.XLOOKUP(Tabela1[[#This Row],[Motorista]],Base!A:A,Base!B:B),""))</f>
        <v>FOB</v>
      </c>
      <c r="N433" s="20" t="str">
        <f t="shared" si="16"/>
        <v>Finalizado</v>
      </c>
      <c r="O4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3" s="4">
        <v>0.65347222222222223</v>
      </c>
      <c r="Q433" s="4">
        <v>0.6743055555555556</v>
      </c>
      <c r="R433" s="23">
        <v>0.75902777777777775</v>
      </c>
      <c r="S433" s="16"/>
      <c r="T433" s="14">
        <f>IF(OR(Tabela1[[#This Row],[Entrada]]="",Tabela1[[#This Row],[Saída]]=""), "", Tabela1[[#This Row],[Saída]]-Tabela1[[#This Row],[Entrada]])</f>
        <v>8.4722222222222143E-2</v>
      </c>
      <c r="U433" s="15">
        <f>IF(OR('Controle de CT'!$R433= "", 'Controle de CT'!$P433= ""), "", 'Controle de CT'!$R433-'Controle de CT'!$P433)</f>
        <v>0.10555555555555551</v>
      </c>
      <c r="V433" s="1"/>
      <c r="W433" s="2"/>
      <c r="X433" s="2"/>
    </row>
    <row r="434" spans="11:24" ht="15" hidden="1" customHeight="1">
      <c r="K434" s="5">
        <v>46085</v>
      </c>
      <c r="L434" s="8" t="s">
        <v>135</v>
      </c>
      <c r="M434" s="9" t="str">
        <f>IF(Tabela1[[#This Row],[Motorista]]="","",IFERROR(_xlfn.XLOOKUP(Tabela1[[#This Row],[Motorista]],Base!A:A,Base!B:B),""))</f>
        <v>Transferência</v>
      </c>
      <c r="N434" s="20" t="str">
        <f t="shared" si="16"/>
        <v>Fila de Carregamento</v>
      </c>
      <c r="O4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4" s="4">
        <v>0.65972222222222221</v>
      </c>
      <c r="Q434" s="4">
        <v>0.74305555555555558</v>
      </c>
      <c r="R434" s="23"/>
      <c r="S434" s="16"/>
      <c r="T434" s="14" t="str">
        <f>IF(OR(Tabela1[[#This Row],[Entrada]]="",Tabela1[[#This Row],[Saída]]=""), "", Tabela1[[#This Row],[Saída]]-Tabela1[[#This Row],[Entrada]])</f>
        <v/>
      </c>
      <c r="U434" s="15" t="str">
        <f>IF(OR('Controle de CT'!$R434= "", 'Controle de CT'!$P434= ""), "", 'Controle de CT'!$R434-'Controle de CT'!$P434)</f>
        <v/>
      </c>
      <c r="V434" s="1"/>
      <c r="W434" s="2"/>
      <c r="X434" s="2"/>
    </row>
    <row r="435" spans="11:24" ht="15" hidden="1" customHeight="1">
      <c r="K435" s="5">
        <v>46085</v>
      </c>
      <c r="L435" s="8" t="s">
        <v>124</v>
      </c>
      <c r="M435" s="9" t="str">
        <f>IF(Tabela1[[#This Row],[Motorista]]="","",IFERROR(_xlfn.XLOOKUP(Tabela1[[#This Row],[Motorista]],Base!A:A,Base!B:B),""))</f>
        <v>Transferência</v>
      </c>
      <c r="N435" s="20" t="str">
        <f t="shared" si="16"/>
        <v>Fila de Carregamento</v>
      </c>
      <c r="O4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5" s="4">
        <v>0.69166666666666665</v>
      </c>
      <c r="Q435" s="4">
        <v>0.73958333333333337</v>
      </c>
      <c r="R435" s="23"/>
      <c r="S435" s="16"/>
      <c r="T435" s="14" t="str">
        <f>IF(OR(Tabela1[[#This Row],[Entrada]]="",Tabela1[[#This Row],[Saída]]=""), "", Tabela1[[#This Row],[Saída]]-Tabela1[[#This Row],[Entrada]])</f>
        <v/>
      </c>
      <c r="U435" s="15" t="str">
        <f>IF(OR('Controle de CT'!$R435= "", 'Controle de CT'!$P435= ""), "", 'Controle de CT'!$R435-'Controle de CT'!$P435)</f>
        <v/>
      </c>
      <c r="V435" s="1"/>
      <c r="W435" s="2"/>
      <c r="X435" s="2"/>
    </row>
    <row r="436" spans="11:24" ht="15" hidden="1" customHeight="1">
      <c r="K436" s="5">
        <v>46086</v>
      </c>
      <c r="L436" s="8" t="s">
        <v>45</v>
      </c>
      <c r="M436" s="9" t="str">
        <f>IF(Tabela1[[#This Row],[Motorista]]="","",IFERROR(_xlfn.XLOOKUP(Tabela1[[#This Row],[Motorista]],Base!A:A,Base!B:B),""))</f>
        <v>CIF</v>
      </c>
      <c r="N436" s="20" t="str">
        <f t="shared" ref="N436:N455" si="17">IF(R436&lt;&gt;"","Finalizado", IF(Q436&lt;&gt;"","Fila de Carregamento", IF(P436&lt;&gt;"","Aguardando Entrada","")))</f>
        <v>Finalizado</v>
      </c>
      <c r="O4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6" s="4">
        <v>0.22152777777777777</v>
      </c>
      <c r="Q436" s="4">
        <v>0.26666666666666666</v>
      </c>
      <c r="R436" s="23">
        <v>0.30138888888888887</v>
      </c>
      <c r="S436" s="16" t="s">
        <v>85</v>
      </c>
      <c r="T436" s="14">
        <f>IF(OR(Tabela1[[#This Row],[Entrada]]="",Tabela1[[#This Row],[Saída]]=""), "", Tabela1[[#This Row],[Saída]]-Tabela1[[#This Row],[Entrada]])</f>
        <v>3.472222222222221E-2</v>
      </c>
      <c r="U436" s="15">
        <f>IF(OR('Controle de CT'!$R436= "", 'Controle de CT'!$P436= ""), "", 'Controle de CT'!$R436-'Controle de CT'!$P436)</f>
        <v>7.9861111111111105E-2</v>
      </c>
      <c r="V436" s="1"/>
      <c r="W436" s="2"/>
      <c r="X436" s="2"/>
    </row>
    <row r="437" spans="11:24" ht="15" hidden="1" customHeight="1">
      <c r="K437" s="5">
        <v>46086</v>
      </c>
      <c r="L437" s="8" t="s">
        <v>55</v>
      </c>
      <c r="M437" s="9" t="str">
        <f>IF(Tabela1[[#This Row],[Motorista]]="","",IFERROR(_xlfn.XLOOKUP(Tabela1[[#This Row],[Motorista]],Base!A:A,Base!B:B),""))</f>
        <v>CIF</v>
      </c>
      <c r="N437" s="20" t="str">
        <f t="shared" si="17"/>
        <v>Finalizado</v>
      </c>
      <c r="O4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37" s="2">
        <v>0.24583333333333332</v>
      </c>
      <c r="Q437" s="2">
        <v>0.27638888888888891</v>
      </c>
      <c r="R437" s="16">
        <v>0.32361111111111113</v>
      </c>
      <c r="S437" s="16" t="s">
        <v>85</v>
      </c>
      <c r="T437" s="14">
        <f>IF(OR(Tabela1[[#This Row],[Entrada]]="",Tabela1[[#This Row],[Saída]]=""), "", Tabela1[[#This Row],[Saída]]-Tabela1[[#This Row],[Entrada]])</f>
        <v>4.7222222222222221E-2</v>
      </c>
      <c r="U437" s="15">
        <f>IF(OR('Controle de CT'!$R437= "", 'Controle de CT'!$P437= ""), "", 'Controle de CT'!$R437-'Controle de CT'!$P437)</f>
        <v>7.7777777777777807E-2</v>
      </c>
      <c r="V437" s="1"/>
      <c r="W437" s="2"/>
      <c r="X437" s="2"/>
    </row>
    <row r="438" spans="11:24" ht="15" hidden="1" customHeight="1">
      <c r="K438" s="5">
        <v>46086</v>
      </c>
      <c r="L438" s="8" t="s">
        <v>46</v>
      </c>
      <c r="M438" s="9" t="str">
        <f>IF(Tabela1[[#This Row],[Motorista]]="","",IFERROR(_xlfn.XLOOKUP(Tabela1[[#This Row],[Motorista]],Base!A:A,Base!B:B),""))</f>
        <v>CIF</v>
      </c>
      <c r="N438" s="20" t="str">
        <f t="shared" si="17"/>
        <v>Finalizado</v>
      </c>
      <c r="O4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38" s="2">
        <v>0.25833333333333336</v>
      </c>
      <c r="Q438" s="2">
        <v>0.27916666666666667</v>
      </c>
      <c r="R438" s="16">
        <v>0.3125</v>
      </c>
      <c r="S438" s="16" t="s">
        <v>85</v>
      </c>
      <c r="T438" s="14">
        <f>IF(OR(Tabela1[[#This Row],[Entrada]]="",Tabela1[[#This Row],[Saída]]=""), "", Tabela1[[#This Row],[Saída]]-Tabela1[[#This Row],[Entrada]])</f>
        <v>3.3333333333333326E-2</v>
      </c>
      <c r="U438" s="15">
        <f>IF(OR('Controle de CT'!$R438= "", 'Controle de CT'!$P438= ""), "", 'Controle de CT'!$R438-'Controle de CT'!$P438)</f>
        <v>5.4166666666666641E-2</v>
      </c>
      <c r="V438" s="1"/>
      <c r="W438" s="2"/>
      <c r="X438" s="2"/>
    </row>
    <row r="439" spans="11:24" ht="15" hidden="1" customHeight="1">
      <c r="K439" s="5">
        <v>46086</v>
      </c>
      <c r="L439" s="8" t="s">
        <v>56</v>
      </c>
      <c r="M439" s="9" t="str">
        <f>IF(Tabela1[[#This Row],[Motorista]]="","",IFERROR(_xlfn.XLOOKUP(Tabela1[[#This Row],[Motorista]],Base!A:A,Base!B:B),""))</f>
        <v/>
      </c>
      <c r="N439" s="20" t="str">
        <f t="shared" si="17"/>
        <v>Finalizado</v>
      </c>
      <c r="O4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39" s="2">
        <v>0.26111111111111113</v>
      </c>
      <c r="Q439" s="2">
        <v>0.28055555555555556</v>
      </c>
      <c r="R439" s="16">
        <v>0.31527777777777777</v>
      </c>
      <c r="S439" s="16" t="s">
        <v>85</v>
      </c>
      <c r="T439" s="14">
        <f>IF(OR(Tabela1[[#This Row],[Entrada]]="",Tabela1[[#This Row],[Saída]]=""), "", Tabela1[[#This Row],[Saída]]-Tabela1[[#This Row],[Entrada]])</f>
        <v>3.472222222222221E-2</v>
      </c>
      <c r="U439" s="15">
        <f>IF(OR('Controle de CT'!$R439= "", 'Controle de CT'!$P439= ""), "", 'Controle de CT'!$R439-'Controle de CT'!$P439)</f>
        <v>5.4166666666666641E-2</v>
      </c>
      <c r="V439" s="1" t="s">
        <v>166</v>
      </c>
      <c r="W439" s="2"/>
      <c r="X439" s="2"/>
    </row>
    <row r="440" spans="11:24" ht="15" hidden="1" customHeight="1">
      <c r="K440" s="5">
        <v>46086</v>
      </c>
      <c r="L440" s="8" t="s">
        <v>47</v>
      </c>
      <c r="M440" s="9" t="str">
        <f>IF(Tabela1[[#This Row],[Motorista]]="","",IFERROR(_xlfn.XLOOKUP(Tabela1[[#This Row],[Motorista]],Base!A:A,Base!B:B),""))</f>
        <v>CIF</v>
      </c>
      <c r="N440" s="20" t="str">
        <f t="shared" si="17"/>
        <v>Finalizado</v>
      </c>
      <c r="O4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0" s="2">
        <v>0.26458333333333334</v>
      </c>
      <c r="Q440" s="2">
        <v>0.28680555555555554</v>
      </c>
      <c r="R440" s="16">
        <v>0.34166666666666667</v>
      </c>
      <c r="S440" s="16" t="s">
        <v>85</v>
      </c>
      <c r="T440" s="14">
        <f>IF(OR(Tabela1[[#This Row],[Entrada]]="",Tabela1[[#This Row],[Saída]]=""), "", Tabela1[[#This Row],[Saída]]-Tabela1[[#This Row],[Entrada]])</f>
        <v>5.4861111111111138E-2</v>
      </c>
      <c r="U440" s="15">
        <f>IF(OR('Controle de CT'!$R440= "", 'Controle de CT'!$P440= ""), "", 'Controle de CT'!$R440-'Controle de CT'!$P440)</f>
        <v>7.7083333333333337E-2</v>
      </c>
      <c r="V440" s="1"/>
      <c r="W440" s="2"/>
      <c r="X440" s="2"/>
    </row>
    <row r="441" spans="11:24" ht="15" hidden="1" customHeight="1">
      <c r="K441" s="5">
        <v>46086</v>
      </c>
      <c r="L441" s="8" t="s">
        <v>53</v>
      </c>
      <c r="M441" s="9" t="str">
        <f>IF(Tabela1[[#This Row],[Motorista]]="","",IFERROR(_xlfn.XLOOKUP(Tabela1[[#This Row],[Motorista]],Base!A:A,Base!B:B),""))</f>
        <v>CIF</v>
      </c>
      <c r="N441" s="20" t="str">
        <f t="shared" si="17"/>
        <v>Finalizado</v>
      </c>
      <c r="O4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1" s="2">
        <v>0.2902777777777778</v>
      </c>
      <c r="Q441" s="2">
        <v>0.29930555555555555</v>
      </c>
      <c r="R441" s="16">
        <v>0.36666666666666664</v>
      </c>
      <c r="S441" s="16" t="s">
        <v>85</v>
      </c>
      <c r="T441" s="14">
        <f>IF(OR(Tabela1[[#This Row],[Entrada]]="",Tabela1[[#This Row],[Saída]]=""), "", Tabela1[[#This Row],[Saída]]-Tabela1[[#This Row],[Entrada]])</f>
        <v>6.7361111111111094E-2</v>
      </c>
      <c r="U441" s="15">
        <f>IF(OR('Controle de CT'!$R441= "", 'Controle de CT'!$P441= ""), "", 'Controle de CT'!$R441-'Controle de CT'!$P441)</f>
        <v>7.638888888888884E-2</v>
      </c>
      <c r="V441" s="1"/>
      <c r="W441" s="2"/>
      <c r="X441" s="2"/>
    </row>
    <row r="442" spans="11:24" ht="15" hidden="1" customHeight="1">
      <c r="K442" s="5">
        <v>46086</v>
      </c>
      <c r="L442" s="8" t="s">
        <v>89</v>
      </c>
      <c r="M442" s="9" t="str">
        <f>IF(Tabela1[[#This Row],[Motorista]]="","",IFERROR(_xlfn.XLOOKUP(Tabela1[[#This Row],[Motorista]],Base!A:A,Base!B:B),""))</f>
        <v>FOB</v>
      </c>
      <c r="N442" s="20" t="str">
        <f t="shared" si="17"/>
        <v>Finalizado</v>
      </c>
      <c r="O4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2" s="2">
        <v>0.28125</v>
      </c>
      <c r="Q442" s="2">
        <v>0.6020833333333333</v>
      </c>
      <c r="R442" s="16">
        <v>0.65347222222222223</v>
      </c>
      <c r="S442" s="16" t="s">
        <v>85</v>
      </c>
      <c r="T442" s="14">
        <f>IF(OR(Tabela1[[#This Row],[Entrada]]="",Tabela1[[#This Row],[Saída]]=""), "", Tabela1[[#This Row],[Saída]]-Tabela1[[#This Row],[Entrada]])</f>
        <v>5.1388888888888928E-2</v>
      </c>
      <c r="U442" s="15">
        <f>IF(OR('Controle de CT'!$R442= "", 'Controle de CT'!$P442= ""), "", 'Controle de CT'!$R442-'Controle de CT'!$P442)</f>
        <v>0.37222222222222223</v>
      </c>
      <c r="V442" s="1" t="s">
        <v>167</v>
      </c>
      <c r="W442" s="2"/>
      <c r="X442" s="2"/>
    </row>
    <row r="443" spans="11:24" ht="15" hidden="1" customHeight="1">
      <c r="K443" s="5">
        <v>46086</v>
      </c>
      <c r="L443" s="8" t="s">
        <v>86</v>
      </c>
      <c r="M443" s="9" t="str">
        <f>IF(Tabela1[[#This Row],[Motorista]]="","",IFERROR(_xlfn.XLOOKUP(Tabela1[[#This Row],[Motorista]],Base!A:A,Base!B:B),""))</f>
        <v>FOB</v>
      </c>
      <c r="N443" s="20" t="str">
        <f t="shared" si="17"/>
        <v>Finalizado</v>
      </c>
      <c r="O4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43" s="2">
        <v>0.28819444444444442</v>
      </c>
      <c r="Q443" s="2">
        <v>0.30833333333333335</v>
      </c>
      <c r="R443" s="16">
        <v>0.36180555555555555</v>
      </c>
      <c r="S443" s="16" t="s">
        <v>85</v>
      </c>
      <c r="T443" s="14">
        <f>IF(OR(Tabela1[[#This Row],[Entrada]]="",Tabela1[[#This Row],[Saída]]=""), "", Tabela1[[#This Row],[Saída]]-Tabela1[[#This Row],[Entrada]])</f>
        <v>5.3472222222222199E-2</v>
      </c>
      <c r="U443" s="15">
        <f>IF(OR('Controle de CT'!$R443= "", 'Controle de CT'!$P443= ""), "", 'Controle de CT'!$R443-'Controle de CT'!$P443)</f>
        <v>7.3611111111111127E-2</v>
      </c>
      <c r="V443" s="1"/>
      <c r="W443" s="2"/>
      <c r="X443" s="2"/>
    </row>
    <row r="444" spans="11:24" ht="15" hidden="1" customHeight="1">
      <c r="K444" s="5">
        <v>46086</v>
      </c>
      <c r="L444" s="8" t="s">
        <v>87</v>
      </c>
      <c r="M444" s="9" t="str">
        <f>IF(Tabela1[[#This Row],[Motorista]]="","",IFERROR(_xlfn.XLOOKUP(Tabela1[[#This Row],[Motorista]],Base!A:A,Base!B:B),""))</f>
        <v>FOB</v>
      </c>
      <c r="N444" s="20" t="str">
        <f t="shared" si="17"/>
        <v>Finalizado</v>
      </c>
      <c r="O4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4" s="2">
        <v>0.29930555555555555</v>
      </c>
      <c r="Q444" s="2">
        <v>0.33750000000000002</v>
      </c>
      <c r="R444" s="16">
        <v>0.38194444444444442</v>
      </c>
      <c r="S444" s="16" t="s">
        <v>85</v>
      </c>
      <c r="T444" s="14">
        <f>IF(OR(Tabela1[[#This Row],[Entrada]]="",Tabela1[[#This Row],[Saída]]=""), "", Tabela1[[#This Row],[Saída]]-Tabela1[[#This Row],[Entrada]])</f>
        <v>4.4444444444444398E-2</v>
      </c>
      <c r="U444" s="15">
        <f>IF(OR('Controle de CT'!$R444= "", 'Controle de CT'!$P444= ""), "", 'Controle de CT'!$R444-'Controle de CT'!$P444)</f>
        <v>8.2638888888888873E-2</v>
      </c>
      <c r="V444" s="1"/>
      <c r="W444" s="2"/>
      <c r="X444" s="2"/>
    </row>
    <row r="445" spans="11:24" ht="15" hidden="1" customHeight="1">
      <c r="K445" s="5">
        <v>46086</v>
      </c>
      <c r="L445" s="8" t="s">
        <v>137</v>
      </c>
      <c r="M445" s="9" t="str">
        <f>IF(Tabela1[[#This Row],[Motorista]]="","",IFERROR(_xlfn.XLOOKUP(Tabela1[[#This Row],[Motorista]],Base!A:A,Base!B:B),""))</f>
        <v>RZD</v>
      </c>
      <c r="N445" s="20" t="str">
        <f t="shared" si="17"/>
        <v>Fila de Carregamento</v>
      </c>
      <c r="O4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5" s="2">
        <v>0.31736111111111109</v>
      </c>
      <c r="Q445" s="2">
        <v>0.31805555555555554</v>
      </c>
      <c r="R445" s="16"/>
      <c r="S445" s="16"/>
      <c r="T445" s="14" t="str">
        <f>IF(OR(Tabela1[[#This Row],[Entrada]]="",Tabela1[[#This Row],[Saída]]=""), "", Tabela1[[#This Row],[Saída]]-Tabela1[[#This Row],[Entrada]])</f>
        <v/>
      </c>
      <c r="U445" s="15" t="str">
        <f>IF(OR('Controle de CT'!$R445= "", 'Controle de CT'!$P445= ""), "", 'Controle de CT'!$R445-'Controle de CT'!$P445)</f>
        <v/>
      </c>
      <c r="V445" s="1"/>
      <c r="W445" s="2"/>
      <c r="X445" s="2"/>
    </row>
    <row r="446" spans="11:24" ht="15" hidden="1" customHeight="1">
      <c r="K446" s="5">
        <v>46086</v>
      </c>
      <c r="L446" s="8" t="s">
        <v>114</v>
      </c>
      <c r="M446" s="9" t="s">
        <v>63</v>
      </c>
      <c r="N446" s="20" t="str">
        <f t="shared" si="17"/>
        <v>Fila de Carregamento</v>
      </c>
      <c r="O4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6" s="2">
        <v>0.31805555555555554</v>
      </c>
      <c r="Q446" s="2">
        <v>0.44027777777777777</v>
      </c>
      <c r="R446" s="16"/>
      <c r="S446" s="16" t="s">
        <v>85</v>
      </c>
      <c r="T446" s="14" t="str">
        <f>IF(OR(Tabela1[[#This Row],[Entrada]]="",Tabela1[[#This Row],[Saída]]=""), "", Tabela1[[#This Row],[Saída]]-Tabela1[[#This Row],[Entrada]])</f>
        <v/>
      </c>
      <c r="U446" s="15" t="str">
        <f>IF(OR('Controle de CT'!$R446= "", 'Controle de CT'!$P446= ""), "", 'Controle de CT'!$R446-'Controle de CT'!$P446)</f>
        <v/>
      </c>
      <c r="V446" s="1"/>
      <c r="W446" s="2"/>
      <c r="X446" s="2"/>
    </row>
    <row r="447" spans="11:24" ht="15" hidden="1" customHeight="1">
      <c r="K447" s="5">
        <v>46086</v>
      </c>
      <c r="L447" s="8" t="s">
        <v>93</v>
      </c>
      <c r="M447" s="9" t="str">
        <f>IF(Tabela1[[#This Row],[Motorista]]="","",IFERROR(_xlfn.XLOOKUP(Tabela1[[#This Row],[Motorista]],Base!A:A,Base!B:B),""))</f>
        <v>FOB</v>
      </c>
      <c r="N447" s="20" t="str">
        <f t="shared" si="17"/>
        <v>Finalizado</v>
      </c>
      <c r="O4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7" s="2">
        <v>0.33402777777777776</v>
      </c>
      <c r="Q447" s="2">
        <v>0.35625000000000001</v>
      </c>
      <c r="R447" s="16">
        <v>0.43125000000000002</v>
      </c>
      <c r="S447" s="16" t="s">
        <v>85</v>
      </c>
      <c r="T447" s="14">
        <f>IF(OR(Tabela1[[#This Row],[Entrada]]="",Tabela1[[#This Row],[Saída]]=""), "", Tabela1[[#This Row],[Saída]]-Tabela1[[#This Row],[Entrada]])</f>
        <v>7.5000000000000011E-2</v>
      </c>
      <c r="U447" s="15">
        <f>IF(OR('Controle de CT'!$R447= "", 'Controle de CT'!$P447= ""), "", 'Controle de CT'!$R447-'Controle de CT'!$P447)</f>
        <v>9.7222222222222265E-2</v>
      </c>
      <c r="V447" s="1"/>
      <c r="W447" s="2"/>
      <c r="X447" s="2"/>
    </row>
    <row r="448" spans="11:24" ht="15" hidden="1" customHeight="1">
      <c r="K448" s="5">
        <v>46086</v>
      </c>
      <c r="L448" s="8" t="s">
        <v>106</v>
      </c>
      <c r="M448" s="9" t="str">
        <f>IF(Tabela1[[#This Row],[Motorista]]="","",IFERROR(_xlfn.XLOOKUP(Tabela1[[#This Row],[Motorista]],Base!A:A,Base!B:B),""))</f>
        <v>FOB</v>
      </c>
      <c r="N448" s="20" t="str">
        <f t="shared" si="17"/>
        <v>Finalizado</v>
      </c>
      <c r="O4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8" s="2">
        <v>0.35416666666666669</v>
      </c>
      <c r="R448" s="16">
        <v>0.45833333333333331</v>
      </c>
      <c r="S448" s="16" t="s">
        <v>85</v>
      </c>
      <c r="T448" s="14" t="str">
        <f>IF(OR(Tabela1[[#This Row],[Entrada]]="",Tabela1[[#This Row],[Saída]]=""), "", Tabela1[[#This Row],[Saída]]-Tabela1[[#This Row],[Entrada]])</f>
        <v/>
      </c>
      <c r="U448" s="15">
        <f>IF(OR('Controle de CT'!$R448= "", 'Controle de CT'!$P448= ""), "", 'Controle de CT'!$R448-'Controle de CT'!$P448)</f>
        <v>0.10416666666666663</v>
      </c>
      <c r="V448" s="1"/>
      <c r="W448" s="2"/>
      <c r="X448" s="2"/>
    </row>
    <row r="449" spans="11:24" ht="15" hidden="1" customHeight="1">
      <c r="K449" s="5">
        <v>46086</v>
      </c>
      <c r="L449" s="8" t="s">
        <v>90</v>
      </c>
      <c r="M449" s="9" t="str">
        <f>IF(Tabela1[[#This Row],[Motorista]]="","",IFERROR(_xlfn.XLOOKUP(Tabela1[[#This Row],[Motorista]],Base!A:A,Base!B:B),""))</f>
        <v>FOB</v>
      </c>
      <c r="N449" s="20" t="str">
        <f t="shared" si="17"/>
        <v>Finalizado</v>
      </c>
      <c r="O4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49" s="2">
        <v>0.36805555555555558</v>
      </c>
      <c r="Q449" s="2">
        <v>0.40277777777777779</v>
      </c>
      <c r="R449" s="16">
        <v>0.45208333333333334</v>
      </c>
      <c r="S449" s="16" t="s">
        <v>85</v>
      </c>
      <c r="T449" s="14">
        <f>IF(OR(Tabela1[[#This Row],[Entrada]]="",Tabela1[[#This Row],[Saída]]=""), "", Tabela1[[#This Row],[Saída]]-Tabela1[[#This Row],[Entrada]])</f>
        <v>4.9305555555555547E-2</v>
      </c>
      <c r="U449" s="15">
        <f>IF(OR('Controle de CT'!$R449= "", 'Controle de CT'!$P449= ""), "", 'Controle de CT'!$R449-'Controle de CT'!$P449)</f>
        <v>8.4027777777777757E-2</v>
      </c>
      <c r="V449" s="1"/>
      <c r="W449" s="2"/>
      <c r="X449" s="2"/>
    </row>
    <row r="450" spans="11:24" ht="15" hidden="1" customHeight="1">
      <c r="K450" s="5">
        <v>46086</v>
      </c>
      <c r="L450" s="8" t="s">
        <v>146</v>
      </c>
      <c r="M450" s="9" t="str">
        <f>IF(Tabela1[[#This Row],[Motorista]]="","",IFERROR(_xlfn.XLOOKUP(Tabela1[[#This Row],[Motorista]],Base!A:A,Base!B:B),""))</f>
        <v>Transferência</v>
      </c>
      <c r="N450" s="20" t="str">
        <f t="shared" si="17"/>
        <v>Finalizado</v>
      </c>
      <c r="O4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0" s="2">
        <v>0.37708333333333333</v>
      </c>
      <c r="Q450" s="2">
        <v>0.40138888888888891</v>
      </c>
      <c r="R450" s="16">
        <v>0.47222222222222221</v>
      </c>
      <c r="S450" s="16"/>
      <c r="T450" s="14">
        <f>IF(OR(Tabela1[[#This Row],[Entrada]]="",Tabela1[[#This Row],[Saída]]=""), "", Tabela1[[#This Row],[Saída]]-Tabela1[[#This Row],[Entrada]])</f>
        <v>7.0833333333333304E-2</v>
      </c>
      <c r="U450" s="15">
        <f>IF(OR('Controle de CT'!$R450= "", 'Controle de CT'!$P450= ""), "", 'Controle de CT'!$R450-'Controle de CT'!$P450)</f>
        <v>9.5138888888888884E-2</v>
      </c>
      <c r="V450" s="1"/>
      <c r="W450" s="2"/>
      <c r="X450" s="2"/>
    </row>
    <row r="451" spans="11:24" ht="15" hidden="1" customHeight="1">
      <c r="K451" s="5">
        <v>46086</v>
      </c>
      <c r="L451" s="8" t="s">
        <v>101</v>
      </c>
      <c r="M451" s="9" t="str">
        <f>IF(Tabela1[[#This Row],[Motorista]]="","",IFERROR(_xlfn.XLOOKUP(Tabela1[[#This Row],[Motorista]],Base!A:A,Base!B:B),""))</f>
        <v>FOB</v>
      </c>
      <c r="N451" s="20" t="str">
        <f t="shared" si="17"/>
        <v>Finalizado</v>
      </c>
      <c r="O4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1" s="2">
        <v>0.4236111111111111</v>
      </c>
      <c r="Q451" s="2">
        <v>0.4465277777777778</v>
      </c>
      <c r="R451" s="16">
        <v>0.5</v>
      </c>
      <c r="S451" s="16" t="s">
        <v>97</v>
      </c>
      <c r="T451" s="14">
        <f>IF(OR(Tabela1[[#This Row],[Entrada]]="",Tabela1[[#This Row],[Saída]]=""), "", Tabela1[[#This Row],[Saída]]-Tabela1[[#This Row],[Entrada]])</f>
        <v>5.3472222222222199E-2</v>
      </c>
      <c r="U451" s="15">
        <f>IF(OR('Controle de CT'!$R451= "", 'Controle de CT'!$P451= ""), "", 'Controle de CT'!$R451-'Controle de CT'!$P451)</f>
        <v>7.6388888888888895E-2</v>
      </c>
      <c r="V451" s="1"/>
      <c r="W451" s="2"/>
      <c r="X451" s="2"/>
    </row>
    <row r="452" spans="11:24" ht="15" hidden="1" customHeight="1">
      <c r="K452" s="5">
        <v>46086</v>
      </c>
      <c r="L452" s="8" t="s">
        <v>55</v>
      </c>
      <c r="M452" s="9" t="str">
        <f>IF(Tabela1[[#This Row],[Motorista]]="","",IFERROR(_xlfn.XLOOKUP(Tabela1[[#This Row],[Motorista]],Base!A:A,Base!B:B),""))</f>
        <v>CIF</v>
      </c>
      <c r="N452" s="20" t="str">
        <f t="shared" si="17"/>
        <v>Finalizado</v>
      </c>
      <c r="O4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52" s="2">
        <v>0.44513888888888886</v>
      </c>
      <c r="Q452" s="2">
        <v>0.45555555555555555</v>
      </c>
      <c r="R452" s="16">
        <v>0.50694444444444442</v>
      </c>
      <c r="S452" s="16" t="s">
        <v>97</v>
      </c>
      <c r="T452" s="14">
        <f>IF(OR(Tabela1[[#This Row],[Entrada]]="",Tabela1[[#This Row],[Saída]]=""), "", Tabela1[[#This Row],[Saída]]-Tabela1[[#This Row],[Entrada]])</f>
        <v>5.1388888888888873E-2</v>
      </c>
      <c r="U452" s="15">
        <f>IF(OR('Controle de CT'!$R452= "", 'Controle de CT'!$P452= ""), "", 'Controle de CT'!$R452-'Controle de CT'!$P452)</f>
        <v>6.1805555555555558E-2</v>
      </c>
      <c r="V452" s="1"/>
      <c r="W452" s="2"/>
      <c r="X452" s="2"/>
    </row>
    <row r="453" spans="11:24" ht="15" hidden="1" customHeight="1">
      <c r="K453" s="5">
        <v>46086</v>
      </c>
      <c r="L453" s="8" t="s">
        <v>104</v>
      </c>
      <c r="M453" s="9" t="str">
        <f>IF(Tabela1[[#This Row],[Motorista]]="","",IFERROR(_xlfn.XLOOKUP(Tabela1[[#This Row],[Motorista]],Base!A:A,Base!B:B),""))</f>
        <v>RZD</v>
      </c>
      <c r="N453" s="20" t="str">
        <f t="shared" si="17"/>
        <v/>
      </c>
      <c r="O4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453" s="16"/>
      <c r="S453" s="16"/>
      <c r="T453" s="14" t="str">
        <f>IF(OR(Tabela1[[#This Row],[Entrada]]="",Tabela1[[#This Row],[Saída]]=""), "", Tabela1[[#This Row],[Saída]]-Tabela1[[#This Row],[Entrada]])</f>
        <v/>
      </c>
      <c r="U453" s="15" t="str">
        <f>IF(OR('Controle de CT'!$R453= "", 'Controle de CT'!$P453= ""), "", 'Controle de CT'!$R453-'Controle de CT'!$P453)</f>
        <v/>
      </c>
      <c r="V453" s="1"/>
      <c r="W453" s="2"/>
      <c r="X453" s="2"/>
    </row>
    <row r="454" spans="11:24" ht="15" hidden="1" customHeight="1">
      <c r="K454" s="5">
        <v>46086</v>
      </c>
      <c r="L454" s="8" t="s">
        <v>46</v>
      </c>
      <c r="M454" s="9" t="str">
        <f>IF(Tabela1[[#This Row],[Motorista]]="","",IFERROR(_xlfn.XLOOKUP(Tabela1[[#This Row],[Motorista]],Base!A:A,Base!B:B),""))</f>
        <v>CIF</v>
      </c>
      <c r="N454" s="20" t="str">
        <f t="shared" si="17"/>
        <v>Finalizado</v>
      </c>
      <c r="O4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54" s="2">
        <v>0.4465277777777778</v>
      </c>
      <c r="Q454" s="2">
        <v>0.45694444444444443</v>
      </c>
      <c r="R454" s="16">
        <v>0.48958333333333331</v>
      </c>
      <c r="S454" s="16"/>
      <c r="T454" s="14">
        <f>IF(OR(Tabela1[[#This Row],[Entrada]]="",Tabela1[[#This Row],[Saída]]=""), "", Tabela1[[#This Row],[Saída]]-Tabela1[[#This Row],[Entrada]])</f>
        <v>3.2638888888888884E-2</v>
      </c>
      <c r="U454" s="15">
        <f>IF(OR('Controle de CT'!$R454= "", 'Controle de CT'!$P454= ""), "", 'Controle de CT'!$R454-'Controle de CT'!$P454)</f>
        <v>4.3055555555555514E-2</v>
      </c>
      <c r="V454" s="1"/>
      <c r="W454" s="2"/>
      <c r="X454" s="2"/>
    </row>
    <row r="455" spans="11:24" ht="15" hidden="1" customHeight="1">
      <c r="K455" s="5">
        <v>46086</v>
      </c>
      <c r="L455" s="8" t="s">
        <v>58</v>
      </c>
      <c r="M455" s="9" t="str">
        <f>IF(Tabela1[[#This Row],[Motorista]]="","",IFERROR(_xlfn.XLOOKUP(Tabela1[[#This Row],[Motorista]],Base!A:A,Base!B:B),""))</f>
        <v xml:space="preserve">CIF </v>
      </c>
      <c r="N455" s="20" t="str">
        <f t="shared" si="17"/>
        <v>Finalizado</v>
      </c>
      <c r="O4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5" s="2">
        <v>0.45</v>
      </c>
      <c r="Q455" s="2">
        <v>0.46527777777777779</v>
      </c>
      <c r="R455" s="16">
        <v>0.53402777777777777</v>
      </c>
      <c r="S455" s="16" t="s">
        <v>85</v>
      </c>
      <c r="T455" s="14">
        <f>IF(OR(Tabela1[[#This Row],[Entrada]]="",Tabela1[[#This Row],[Saída]]=""), "", Tabela1[[#This Row],[Saída]]-Tabela1[[#This Row],[Entrada]])</f>
        <v>6.8749999999999978E-2</v>
      </c>
      <c r="U455" s="15">
        <f>IF(OR('Controle de CT'!$R455= "", 'Controle de CT'!$P455= ""), "", 'Controle de CT'!$R455-'Controle de CT'!$P455)</f>
        <v>8.4027777777777757E-2</v>
      </c>
      <c r="V455" s="1"/>
      <c r="W455" s="2"/>
      <c r="X455" s="2"/>
    </row>
    <row r="456" spans="11:24" ht="15" hidden="1" customHeight="1">
      <c r="K456" s="5">
        <v>46086</v>
      </c>
      <c r="L456" s="8" t="s">
        <v>86</v>
      </c>
      <c r="M456" s="9" t="str">
        <f>IF(Tabela1[[#This Row],[Motorista]]="","",IFERROR(_xlfn.XLOOKUP(Tabela1[[#This Row],[Motorista]],Base!A:A,Base!B:B),""))</f>
        <v>FOB</v>
      </c>
      <c r="N456" s="20" t="str">
        <f t="shared" ref="N456:N485" si="18">IF(R456&lt;&gt;"","Finalizado", IF(Q456&lt;&gt;"","Fila de Carregamento", IF(P456&lt;&gt;"","Aguardando Entrada","")))</f>
        <v>Finalizado</v>
      </c>
      <c r="O4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56" s="4">
        <v>0.5444444444444444</v>
      </c>
      <c r="Q456" s="4">
        <v>0.59305555555555556</v>
      </c>
      <c r="R456" s="23">
        <v>0.65138888888888891</v>
      </c>
      <c r="S456" s="16" t="s">
        <v>85</v>
      </c>
      <c r="T456" s="14">
        <f>IF(OR(Tabela1[[#This Row],[Entrada]]="",Tabela1[[#This Row],[Saída]]=""), "", Tabela1[[#This Row],[Saída]]-Tabela1[[#This Row],[Entrada]])</f>
        <v>5.8333333333333348E-2</v>
      </c>
      <c r="U456" s="15">
        <f>IF(OR('Controle de CT'!$R456= "", 'Controle de CT'!$P456= ""), "", 'Controle de CT'!$R456-'Controle de CT'!$P456)</f>
        <v>0.10694444444444451</v>
      </c>
      <c r="V456" s="1"/>
      <c r="W456" s="2"/>
      <c r="X456" s="2"/>
    </row>
    <row r="457" spans="11:24" ht="15" hidden="1" customHeight="1">
      <c r="K457" s="5">
        <v>46086</v>
      </c>
      <c r="L457" s="8" t="s">
        <v>168</v>
      </c>
      <c r="M457" s="9" t="str">
        <f>IF(Tabela1[[#This Row],[Motorista]]="","",IFERROR(_xlfn.XLOOKUP(Tabela1[[#This Row],[Motorista]],Base!A:A,Base!B:B),""))</f>
        <v>FOB</v>
      </c>
      <c r="N457" s="20" t="str">
        <f t="shared" si="18"/>
        <v>Finalizado</v>
      </c>
      <c r="O4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7" s="2">
        <v>0.57222222222222219</v>
      </c>
      <c r="Q457" s="2">
        <v>0.625</v>
      </c>
      <c r="R457" s="16">
        <v>0.70902777777777781</v>
      </c>
      <c r="S457" s="16" t="s">
        <v>85</v>
      </c>
      <c r="T457" s="14">
        <f>IF(OR(Tabela1[[#This Row],[Entrada]]="",Tabela1[[#This Row],[Saída]]=""), "", Tabela1[[#This Row],[Saída]]-Tabela1[[#This Row],[Entrada]])</f>
        <v>8.4027777777777812E-2</v>
      </c>
      <c r="U457" s="15">
        <f>IF(OR('Controle de CT'!$R457= "", 'Controle de CT'!$P457= ""), "", 'Controle de CT'!$R457-'Controle de CT'!$P457)</f>
        <v>0.13680555555555562</v>
      </c>
      <c r="V457" s="1"/>
      <c r="W457" s="2"/>
      <c r="X457" s="2"/>
    </row>
    <row r="458" spans="11:24" ht="15" hidden="1" customHeight="1">
      <c r="K458" s="5">
        <v>46086</v>
      </c>
      <c r="L458" s="8" t="s">
        <v>111</v>
      </c>
      <c r="M458" s="9" t="str">
        <f>IF(Tabela1[[#This Row],[Motorista]]="","",IFERROR(_xlfn.XLOOKUP(Tabela1[[#This Row],[Motorista]],Base!A:A,Base!B:B),""))</f>
        <v>FOB</v>
      </c>
      <c r="N458" s="20" t="str">
        <f t="shared" si="18"/>
        <v>Finalizado</v>
      </c>
      <c r="O4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8" s="2">
        <v>0.57638888888888884</v>
      </c>
      <c r="Q458" s="2">
        <v>0.61111111111111116</v>
      </c>
      <c r="R458" s="16">
        <v>0.65972222222222221</v>
      </c>
      <c r="S458" s="16" t="s">
        <v>85</v>
      </c>
      <c r="T458" s="14">
        <f>IF(OR(Tabela1[[#This Row],[Entrada]]="",Tabela1[[#This Row],[Saída]]=""), "", Tabela1[[#This Row],[Saída]]-Tabela1[[#This Row],[Entrada]])</f>
        <v>4.8611111111111049E-2</v>
      </c>
      <c r="U458" s="15">
        <f>IF(OR('Controle de CT'!$R458= "", 'Controle de CT'!$P458= ""), "", 'Controle de CT'!$R458-'Controle de CT'!$P458)</f>
        <v>8.333333333333337E-2</v>
      </c>
      <c r="V458" s="1"/>
      <c r="W458" s="2"/>
      <c r="X458" s="2"/>
    </row>
    <row r="459" spans="11:24" ht="15" hidden="1" customHeight="1">
      <c r="K459" s="5">
        <v>46086</v>
      </c>
      <c r="L459" s="8" t="s">
        <v>57</v>
      </c>
      <c r="M459" s="9" t="str">
        <f>IF(Tabela1[[#This Row],[Motorista]]="","",IFERROR(_xlfn.XLOOKUP(Tabela1[[#This Row],[Motorista]],Base!A:A,Base!B:B),""))</f>
        <v>CIF</v>
      </c>
      <c r="N459" s="20" t="str">
        <f t="shared" si="18"/>
        <v>Finalizado</v>
      </c>
      <c r="O4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59" s="2">
        <v>0.63124999999999998</v>
      </c>
      <c r="Q459" s="2">
        <v>0.64652777777777781</v>
      </c>
      <c r="R459" s="16">
        <v>0.72152777777777777</v>
      </c>
      <c r="S459" s="16" t="s">
        <v>85</v>
      </c>
      <c r="T459" s="14">
        <f>IF(OR(Tabela1[[#This Row],[Entrada]]="",Tabela1[[#This Row],[Saída]]=""), "", Tabela1[[#This Row],[Saída]]-Tabela1[[#This Row],[Entrada]])</f>
        <v>7.4999999999999956E-2</v>
      </c>
      <c r="U459" s="15">
        <f>IF(OR('Controle de CT'!$R459= "", 'Controle de CT'!$P459= ""), "", 'Controle de CT'!$R459-'Controle de CT'!$P459)</f>
        <v>9.027777777777779E-2</v>
      </c>
      <c r="V459" s="1"/>
      <c r="W459" s="2"/>
      <c r="X459" s="2"/>
    </row>
    <row r="460" spans="11:24" ht="15" hidden="1" customHeight="1">
      <c r="K460" s="5">
        <v>46086</v>
      </c>
      <c r="L460" s="8" t="s">
        <v>46</v>
      </c>
      <c r="M460" s="9" t="str">
        <f>IF(Tabela1[[#This Row],[Motorista]]="","",IFERROR(_xlfn.XLOOKUP(Tabela1[[#This Row],[Motorista]],Base!A:A,Base!B:B),""))</f>
        <v>CIF</v>
      </c>
      <c r="N460" s="20" t="str">
        <f t="shared" si="18"/>
        <v>Finalizado</v>
      </c>
      <c r="O4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60" s="2">
        <v>0.62430555555555556</v>
      </c>
      <c r="Q460" s="2">
        <v>0.64027777777777772</v>
      </c>
      <c r="R460" s="16">
        <v>0.70833333333333337</v>
      </c>
      <c r="S460" s="16" t="s">
        <v>85</v>
      </c>
      <c r="T460" s="14">
        <f>IF(OR(Tabela1[[#This Row],[Entrada]]="",Tabela1[[#This Row],[Saída]]=""), "", Tabela1[[#This Row],[Saída]]-Tabela1[[#This Row],[Entrada]])</f>
        <v>6.8055555555555647E-2</v>
      </c>
      <c r="U460" s="15">
        <f>IF(OR('Controle de CT'!$R460= "", 'Controle de CT'!$P460= ""), "", 'Controle de CT'!$R460-'Controle de CT'!$P460)</f>
        <v>8.4027777777777812E-2</v>
      </c>
      <c r="V460" s="1"/>
      <c r="W460" s="2"/>
      <c r="X460" s="2"/>
    </row>
    <row r="461" spans="11:24" ht="15" hidden="1" customHeight="1">
      <c r="K461" s="5">
        <v>46086</v>
      </c>
      <c r="L461" s="8" t="s">
        <v>55</v>
      </c>
      <c r="M461" s="9" t="str">
        <f>IF(Tabela1[[#This Row],[Motorista]]="","",IFERROR(_xlfn.XLOOKUP(Tabela1[[#This Row],[Motorista]],Base!A:A,Base!B:B),""))</f>
        <v>CIF</v>
      </c>
      <c r="N461" s="20" t="str">
        <f t="shared" si="18"/>
        <v>Finalizado</v>
      </c>
      <c r="O4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461" s="2">
        <v>0.68055555555555558</v>
      </c>
      <c r="R461" s="16">
        <v>0.80555555555555558</v>
      </c>
      <c r="S461" s="16" t="s">
        <v>85</v>
      </c>
      <c r="T461" s="14" t="str">
        <f>IF(OR(Tabela1[[#This Row],[Entrada]]="",Tabela1[[#This Row],[Saída]]=""), "", Tabela1[[#This Row],[Saída]]-Tabela1[[#This Row],[Entrada]])</f>
        <v/>
      </c>
      <c r="U461" s="15">
        <f>IF(OR('Controle de CT'!$R461= "", 'Controle de CT'!$P461= ""), "", 'Controle de CT'!$R461-'Controle de CT'!$P461)</f>
        <v>0.125</v>
      </c>
      <c r="V461" s="1"/>
      <c r="W461" s="2"/>
      <c r="X461" s="2"/>
    </row>
    <row r="462" spans="11:24" ht="15" hidden="1" customHeight="1">
      <c r="K462" s="5">
        <v>46087</v>
      </c>
      <c r="L462" s="8" t="s">
        <v>45</v>
      </c>
      <c r="M462" s="9" t="str">
        <f>IF(Tabela1[[#This Row],[Motorista]]="","",IFERROR(_xlfn.XLOOKUP(Tabela1[[#This Row],[Motorista]],Base!A:A,Base!B:B),""))</f>
        <v>CIF</v>
      </c>
      <c r="N462" s="20" t="str">
        <f t="shared" si="18"/>
        <v>Finalizado</v>
      </c>
      <c r="O4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2" s="2">
        <v>0.22152777777777777</v>
      </c>
      <c r="Q462" s="2">
        <v>0.25555555555555554</v>
      </c>
      <c r="R462" s="16">
        <v>0.29583333333333334</v>
      </c>
      <c r="S462" s="16" t="s">
        <v>85</v>
      </c>
      <c r="T462" s="14">
        <f>IF(OR(Tabela1[[#This Row],[Entrada]]="",Tabela1[[#This Row],[Saída]]=""), "", Tabela1[[#This Row],[Saída]]-Tabela1[[#This Row],[Entrada]])</f>
        <v>4.0277777777777801E-2</v>
      </c>
      <c r="U462" s="15">
        <f>IF(OR('Controle de CT'!$R462= "", 'Controle de CT'!$P462= ""), "", 'Controle de CT'!$R462-'Controle de CT'!$P462)</f>
        <v>7.4305555555555569E-2</v>
      </c>
      <c r="V462" s="1"/>
      <c r="W462" s="2"/>
      <c r="X462" s="2"/>
    </row>
    <row r="463" spans="11:24" ht="15" hidden="1" customHeight="1">
      <c r="K463" s="5">
        <v>46087</v>
      </c>
      <c r="L463" s="8" t="s">
        <v>58</v>
      </c>
      <c r="M463" s="9" t="str">
        <f>IF(Tabela1[[#This Row],[Motorista]]="","",IFERROR(_xlfn.XLOOKUP(Tabela1[[#This Row],[Motorista]],Base!A:A,Base!B:B),""))</f>
        <v xml:space="preserve">CIF </v>
      </c>
      <c r="N463" s="20" t="str">
        <f t="shared" si="18"/>
        <v>Finalizado</v>
      </c>
      <c r="O4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63" s="2">
        <v>0.23819444444444443</v>
      </c>
      <c r="Q463" s="2">
        <v>0.25624999999999998</v>
      </c>
      <c r="R463" s="16">
        <v>0.30902777777777779</v>
      </c>
      <c r="S463" s="16" t="s">
        <v>85</v>
      </c>
      <c r="T463" s="14">
        <f>IF(OR(Tabela1[[#This Row],[Entrada]]="",Tabela1[[#This Row],[Saída]]=""), "", Tabela1[[#This Row],[Saída]]-Tabela1[[#This Row],[Entrada]])</f>
        <v>5.2777777777777812E-2</v>
      </c>
      <c r="U463" s="15">
        <f>IF(OR('Controle de CT'!$R463= "", 'Controle de CT'!$P463= ""), "", 'Controle de CT'!$R463-'Controle de CT'!$P463)</f>
        <v>7.0833333333333359E-2</v>
      </c>
      <c r="V463" s="1"/>
      <c r="W463" s="2"/>
      <c r="X463" s="2"/>
    </row>
    <row r="464" spans="11:24" ht="15" hidden="1" customHeight="1">
      <c r="K464" s="5">
        <v>46087</v>
      </c>
      <c r="L464" s="8" t="s">
        <v>101</v>
      </c>
      <c r="M464" s="9" t="str">
        <f>IF(Tabela1[[#This Row],[Motorista]]="","",IFERROR(_xlfn.XLOOKUP(Tabela1[[#This Row],[Motorista]],Base!A:A,Base!B:B),""))</f>
        <v>FOB</v>
      </c>
      <c r="N464" s="20" t="str">
        <f t="shared" si="18"/>
        <v>Finalizado</v>
      </c>
      <c r="O4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4" s="2">
        <v>0.22569444444444445</v>
      </c>
      <c r="Q464" s="2">
        <v>0.26319444444444445</v>
      </c>
      <c r="R464" s="16">
        <v>0.30486111111111114</v>
      </c>
      <c r="S464" s="16" t="s">
        <v>85</v>
      </c>
      <c r="T464" s="14">
        <f>IF(OR(Tabela1[[#This Row],[Entrada]]="",Tabela1[[#This Row],[Saída]]=""), "", Tabela1[[#This Row],[Saída]]-Tabela1[[#This Row],[Entrada]])</f>
        <v>4.1666666666666685E-2</v>
      </c>
      <c r="U464" s="15">
        <f>IF(OR('Controle de CT'!$R464= "", 'Controle de CT'!$P464= ""), "", 'Controle de CT'!$R464-'Controle de CT'!$P464)</f>
        <v>7.9166666666666691E-2</v>
      </c>
      <c r="V464" s="1"/>
      <c r="W464" s="2"/>
      <c r="X464" s="2"/>
    </row>
    <row r="465" spans="11:24" ht="15" hidden="1" customHeight="1">
      <c r="K465" s="5">
        <v>46087</v>
      </c>
      <c r="L465" s="8" t="s">
        <v>56</v>
      </c>
      <c r="M465" s="9" t="str">
        <f>IF(Tabela1[[#This Row],[Motorista]]="","",IFERROR(_xlfn.XLOOKUP(Tabela1[[#This Row],[Motorista]],Base!A:A,Base!B:B),""))</f>
        <v/>
      </c>
      <c r="N465" s="20" t="str">
        <f t="shared" si="18"/>
        <v>Finalizado</v>
      </c>
      <c r="O4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5" s="2">
        <v>0.26319444444444445</v>
      </c>
      <c r="Q465" s="2">
        <v>0.3125</v>
      </c>
      <c r="R465" s="16">
        <v>0.34722222222222221</v>
      </c>
      <c r="S465" s="16" t="s">
        <v>85</v>
      </c>
      <c r="T465" s="14">
        <f>IF(OR(Tabela1[[#This Row],[Entrada]]="",Tabela1[[#This Row],[Saída]]=""), "", Tabela1[[#This Row],[Saída]]-Tabela1[[#This Row],[Entrada]])</f>
        <v>3.472222222222221E-2</v>
      </c>
      <c r="U465" s="15">
        <f>IF(OR('Controle de CT'!$R465= "", 'Controle de CT'!$P465= ""), "", 'Controle de CT'!$R465-'Controle de CT'!$P465)</f>
        <v>8.4027777777777757E-2</v>
      </c>
      <c r="V465" s="1"/>
      <c r="W465" s="2"/>
      <c r="X465" s="2"/>
    </row>
    <row r="466" spans="11:24" ht="15" hidden="1" customHeight="1">
      <c r="K466" s="5">
        <v>46087</v>
      </c>
      <c r="L466" s="8" t="s">
        <v>46</v>
      </c>
      <c r="M466" s="9" t="str">
        <f>IF(Tabela1[[#This Row],[Motorista]]="","",IFERROR(_xlfn.XLOOKUP(Tabela1[[#This Row],[Motorista]],Base!A:A,Base!B:B),""))</f>
        <v>CIF</v>
      </c>
      <c r="N466" s="20" t="str">
        <f t="shared" si="18"/>
        <v>Finalizado</v>
      </c>
      <c r="O4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6" s="2">
        <v>0.26805555555555555</v>
      </c>
      <c r="Q466" s="2">
        <v>0.26805555555555555</v>
      </c>
      <c r="R466" s="16">
        <v>0.30763888888888891</v>
      </c>
      <c r="S466" s="16" t="s">
        <v>85</v>
      </c>
      <c r="T466" s="14">
        <f>IF(OR(Tabela1[[#This Row],[Entrada]]="",Tabela1[[#This Row],[Saída]]=""), "", Tabela1[[#This Row],[Saída]]-Tabela1[[#This Row],[Entrada]])</f>
        <v>3.9583333333333359E-2</v>
      </c>
      <c r="U466" s="15">
        <f>IF(OR('Controle de CT'!$R466= "", 'Controle de CT'!$P466= ""), "", 'Controle de CT'!$R466-'Controle de CT'!$P466)</f>
        <v>3.9583333333333359E-2</v>
      </c>
      <c r="V466" s="1"/>
      <c r="W466" s="2"/>
      <c r="X466" s="2"/>
    </row>
    <row r="467" spans="11:24" ht="15" hidden="1" customHeight="1">
      <c r="K467" s="5">
        <v>46087</v>
      </c>
      <c r="L467" s="8" t="s">
        <v>47</v>
      </c>
      <c r="M467" s="9" t="str">
        <f>IF(Tabela1[[#This Row],[Motorista]]="","",IFERROR(_xlfn.XLOOKUP(Tabela1[[#This Row],[Motorista]],Base!A:A,Base!B:B),""))</f>
        <v>CIF</v>
      </c>
      <c r="N467" s="20" t="str">
        <f t="shared" si="18"/>
        <v>Finalizado</v>
      </c>
      <c r="O4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67" s="2">
        <v>0.26041666666666669</v>
      </c>
      <c r="Q467" s="2">
        <v>0.38194444444444442</v>
      </c>
      <c r="R467" s="16">
        <v>0.43055555555555558</v>
      </c>
      <c r="S467" s="16" t="s">
        <v>85</v>
      </c>
      <c r="T467" s="14">
        <f>IF(OR(Tabela1[[#This Row],[Entrada]]="",Tabela1[[#This Row],[Saída]]=""), "", Tabela1[[#This Row],[Saída]]-Tabela1[[#This Row],[Entrada]])</f>
        <v>4.861111111111116E-2</v>
      </c>
      <c r="U467" s="15">
        <f>IF(OR('Controle de CT'!$R467= "", 'Controle de CT'!$P467= ""), "", 'Controle de CT'!$R467-'Controle de CT'!$P467)</f>
        <v>0.1701388888888889</v>
      </c>
      <c r="V467" s="1"/>
      <c r="W467" s="2"/>
      <c r="X467" s="2"/>
    </row>
    <row r="468" spans="11:24" ht="15" hidden="1" customHeight="1">
      <c r="K468" s="5">
        <v>46087</v>
      </c>
      <c r="L468" s="8" t="s">
        <v>87</v>
      </c>
      <c r="M468" s="9" t="str">
        <f>IF(Tabela1[[#This Row],[Motorista]]="","",IFERROR(_xlfn.XLOOKUP(Tabela1[[#This Row],[Motorista]],Base!A:A,Base!B:B),""))</f>
        <v>FOB</v>
      </c>
      <c r="N468" s="20" t="str">
        <f t="shared" si="18"/>
        <v>Finalizado</v>
      </c>
      <c r="O4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68" s="2">
        <v>0.27083333333333331</v>
      </c>
      <c r="Q468" s="2">
        <v>0.32916666666666666</v>
      </c>
      <c r="R468" s="16">
        <v>0.35416666666666669</v>
      </c>
      <c r="S468" s="16" t="s">
        <v>85</v>
      </c>
      <c r="T468" s="14">
        <f>IF(OR(Tabela1[[#This Row],[Entrada]]="",Tabela1[[#This Row],[Saída]]=""), "", Tabela1[[#This Row],[Saída]]-Tabela1[[#This Row],[Entrada]])</f>
        <v>2.5000000000000022E-2</v>
      </c>
      <c r="U468" s="15">
        <f>IF(OR('Controle de CT'!$R468= "", 'Controle de CT'!$P468= ""), "", 'Controle de CT'!$R468-'Controle de CT'!$P468)</f>
        <v>8.333333333333337E-2</v>
      </c>
      <c r="V468" s="1"/>
      <c r="W468" s="2"/>
      <c r="X468" s="2"/>
    </row>
    <row r="469" spans="11:24" ht="15" hidden="1" customHeight="1">
      <c r="K469" s="5">
        <v>46087</v>
      </c>
      <c r="L469" s="8" t="s">
        <v>90</v>
      </c>
      <c r="M469" s="9" t="str">
        <f>IF(Tabela1[[#This Row],[Motorista]]="","",IFERROR(_xlfn.XLOOKUP(Tabela1[[#This Row],[Motorista]],Base!A:A,Base!B:B),""))</f>
        <v>FOB</v>
      </c>
      <c r="N469" s="20" t="str">
        <f t="shared" si="18"/>
        <v>Finalizado</v>
      </c>
      <c r="O4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69" s="2">
        <v>0.27291666666666664</v>
      </c>
      <c r="Q469" s="2">
        <v>0.32847222222222222</v>
      </c>
      <c r="R469" s="16">
        <v>0.3611111111111111</v>
      </c>
      <c r="S469" s="16" t="s">
        <v>85</v>
      </c>
      <c r="T469" s="14">
        <f>IF(OR(Tabela1[[#This Row],[Entrada]]="",Tabela1[[#This Row],[Saída]]=""), "", Tabela1[[#This Row],[Saída]]-Tabela1[[#This Row],[Entrada]])</f>
        <v>3.2638888888888884E-2</v>
      </c>
      <c r="U469" s="15">
        <f>IF(OR('Controle de CT'!$R469= "", 'Controle de CT'!$P469= ""), "", 'Controle de CT'!$R469-'Controle de CT'!$P469)</f>
        <v>8.8194444444444464E-2</v>
      </c>
      <c r="V469" s="1"/>
      <c r="W469" s="2"/>
      <c r="X469" s="2"/>
    </row>
    <row r="470" spans="11:24" ht="15" hidden="1" customHeight="1">
      <c r="K470" s="5">
        <v>46087</v>
      </c>
      <c r="L470" s="8" t="s">
        <v>104</v>
      </c>
      <c r="M470" s="9" t="str">
        <f>IF(Tabela1[[#This Row],[Motorista]]="","",IFERROR(_xlfn.XLOOKUP(Tabela1[[#This Row],[Motorista]],Base!A:A,Base!B:B),""))</f>
        <v>RZD</v>
      </c>
      <c r="N470" s="20" t="str">
        <f t="shared" si="18"/>
        <v>Aguardando Entrada</v>
      </c>
      <c r="O4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0" s="2">
        <v>0.26805555555555555</v>
      </c>
      <c r="R470" s="16"/>
      <c r="S470" s="16"/>
      <c r="T470" s="14" t="str">
        <f>IF(OR(Tabela1[[#This Row],[Entrada]]="",Tabela1[[#This Row],[Saída]]=""), "", Tabela1[[#This Row],[Saída]]-Tabela1[[#This Row],[Entrada]])</f>
        <v/>
      </c>
      <c r="U470" s="15" t="str">
        <f>IF(OR('Controle de CT'!$R470= "", 'Controle de CT'!$P470= ""), "", 'Controle de CT'!$R470-'Controle de CT'!$P470)</f>
        <v/>
      </c>
      <c r="V470" s="1"/>
      <c r="W470" s="2"/>
      <c r="X470" s="2"/>
    </row>
    <row r="471" spans="11:24" ht="15" hidden="1" customHeight="1">
      <c r="K471" s="5">
        <v>46087</v>
      </c>
      <c r="L471" s="8" t="s">
        <v>137</v>
      </c>
      <c r="M471" s="9" t="str">
        <f>IF(Tabela1[[#This Row],[Motorista]]="","",IFERROR(_xlfn.XLOOKUP(Tabela1[[#This Row],[Motorista]],Base!A:A,Base!B:B),""))</f>
        <v>RZD</v>
      </c>
      <c r="N471" s="20" t="str">
        <f t="shared" si="18"/>
        <v>Finalizado</v>
      </c>
      <c r="O4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1" s="2">
        <v>0.26805555555555555</v>
      </c>
      <c r="Q471" s="2">
        <v>0.2951388888888889</v>
      </c>
      <c r="R471" s="16">
        <v>0.33263888888888887</v>
      </c>
      <c r="S471" s="16"/>
      <c r="T471" s="14">
        <f>IF(OR(Tabela1[[#This Row],[Entrada]]="",Tabela1[[#This Row],[Saída]]=""), "", Tabela1[[#This Row],[Saída]]-Tabela1[[#This Row],[Entrada]])</f>
        <v>3.7499999999999978E-2</v>
      </c>
      <c r="U471" s="15">
        <f>IF(OR('Controle de CT'!$R471= "", 'Controle de CT'!$P471= ""), "", 'Controle de CT'!$R471-'Controle de CT'!$P471)</f>
        <v>6.4583333333333326E-2</v>
      </c>
      <c r="V471" s="1"/>
      <c r="W471" s="2"/>
      <c r="X471" s="2"/>
    </row>
    <row r="472" spans="11:24" ht="15" hidden="1" customHeight="1">
      <c r="K472" s="5">
        <v>46087</v>
      </c>
      <c r="L472" s="8" t="s">
        <v>164</v>
      </c>
      <c r="M472" s="9" t="str">
        <f>IF(Tabela1[[#This Row],[Motorista]]="","",IFERROR(_xlfn.XLOOKUP(Tabela1[[#This Row],[Motorista]],Base!A:A,Base!B:B),""))</f>
        <v>RZD</v>
      </c>
      <c r="N472" s="20" t="str">
        <f t="shared" si="18"/>
        <v>Aguardando Entrada</v>
      </c>
      <c r="O4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2" s="2">
        <v>0.26805555555555555</v>
      </c>
      <c r="R472" s="16"/>
      <c r="S472" s="16"/>
      <c r="T472" s="14" t="str">
        <f>IF(OR(Tabela1[[#This Row],[Entrada]]="",Tabela1[[#This Row],[Saída]]=""), "", Tabela1[[#This Row],[Saída]]-Tabela1[[#This Row],[Entrada]])</f>
        <v/>
      </c>
      <c r="U472" s="15" t="str">
        <f>IF(OR('Controle de CT'!$R472= "", 'Controle de CT'!$P472= ""), "", 'Controle de CT'!$R472-'Controle de CT'!$P472)</f>
        <v/>
      </c>
      <c r="V472" s="1"/>
      <c r="W472" s="2"/>
      <c r="X472" s="2"/>
    </row>
    <row r="473" spans="11:24" ht="15" hidden="1" customHeight="1">
      <c r="K473" s="5">
        <v>46087</v>
      </c>
      <c r="L473" s="8" t="s">
        <v>53</v>
      </c>
      <c r="M473" s="9" t="str">
        <f>IF(Tabela1[[#This Row],[Motorista]]="","",IFERROR(_xlfn.XLOOKUP(Tabela1[[#This Row],[Motorista]],Base!A:A,Base!B:B),""))</f>
        <v>CIF</v>
      </c>
      <c r="N473" s="20" t="str">
        <f t="shared" si="18"/>
        <v>Finalizado</v>
      </c>
      <c r="O4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3" s="2">
        <v>0.32222222222222224</v>
      </c>
      <c r="Q473" s="2">
        <v>0.33333333333333331</v>
      </c>
      <c r="R473" s="16">
        <v>0.39305555555555555</v>
      </c>
      <c r="S473" s="16"/>
      <c r="T473" s="14">
        <f>IF(OR(Tabela1[[#This Row],[Entrada]]="",Tabela1[[#This Row],[Saída]]=""), "", Tabela1[[#This Row],[Saída]]-Tabela1[[#This Row],[Entrada]])</f>
        <v>5.9722222222222232E-2</v>
      </c>
      <c r="U473" s="15">
        <f>IF(OR('Controle de CT'!$R473= "", 'Controle de CT'!$P473= ""), "", 'Controle de CT'!$R473-'Controle de CT'!$P473)</f>
        <v>7.0833333333333304E-2</v>
      </c>
      <c r="V473" s="1"/>
      <c r="W473" s="2"/>
      <c r="X473" s="2"/>
    </row>
    <row r="474" spans="11:24" ht="15" hidden="1" customHeight="1">
      <c r="K474" s="5">
        <v>46087</v>
      </c>
      <c r="L474" s="8" t="s">
        <v>86</v>
      </c>
      <c r="M474" s="9" t="str">
        <f>IF(Tabela1[[#This Row],[Motorista]]="","",IFERROR(_xlfn.XLOOKUP(Tabela1[[#This Row],[Motorista]],Base!A:A,Base!B:B),""))</f>
        <v>FOB</v>
      </c>
      <c r="N474" s="20" t="str">
        <f t="shared" si="18"/>
        <v>Finalizado</v>
      </c>
      <c r="O4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74" s="2">
        <v>0.30069444444444443</v>
      </c>
      <c r="Q474" s="2">
        <v>0.32083333333333336</v>
      </c>
      <c r="R474" s="16">
        <v>0.375</v>
      </c>
      <c r="S474" s="16" t="s">
        <v>85</v>
      </c>
      <c r="T474" s="14">
        <f>IF(OR(Tabela1[[#This Row],[Entrada]]="",Tabela1[[#This Row],[Saída]]=""), "", Tabela1[[#This Row],[Saída]]-Tabela1[[#This Row],[Entrada]])</f>
        <v>5.4166666666666641E-2</v>
      </c>
      <c r="U474" s="15">
        <f>IF(OR('Controle de CT'!$R474= "", 'Controle de CT'!$P474= ""), "", 'Controle de CT'!$R474-'Controle de CT'!$P474)</f>
        <v>7.4305555555555569E-2</v>
      </c>
      <c r="V474" s="1"/>
      <c r="W474" s="2"/>
      <c r="X474" s="2"/>
    </row>
    <row r="475" spans="11:24" ht="15" hidden="1" customHeight="1">
      <c r="K475" s="5">
        <v>46087</v>
      </c>
      <c r="L475" s="8" t="s">
        <v>92</v>
      </c>
      <c r="M475" s="9" t="str">
        <f>IF(Tabela1[[#This Row],[Motorista]]="","",IFERROR(_xlfn.XLOOKUP(Tabela1[[#This Row],[Motorista]],Base!A:A,Base!B:B),""))</f>
        <v>FOB</v>
      </c>
      <c r="N475" s="20" t="str">
        <f t="shared" si="18"/>
        <v>Finalizado</v>
      </c>
      <c r="O4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5" s="2">
        <v>0.31597222222222221</v>
      </c>
      <c r="Q475" s="2">
        <v>0.37430555555555556</v>
      </c>
      <c r="R475" s="16">
        <v>0.39791666666666664</v>
      </c>
      <c r="S475" s="16" t="s">
        <v>85</v>
      </c>
      <c r="T475" s="14">
        <f>IF(OR(Tabela1[[#This Row],[Entrada]]="",Tabela1[[#This Row],[Saída]]=""), "", Tabela1[[#This Row],[Saída]]-Tabela1[[#This Row],[Entrada]])</f>
        <v>2.3611111111111083E-2</v>
      </c>
      <c r="U475" s="15">
        <f>IF(OR('Controle de CT'!$R475= "", 'Controle de CT'!$P475= ""), "", 'Controle de CT'!$R475-'Controle de CT'!$P475)</f>
        <v>8.1944444444444431E-2</v>
      </c>
      <c r="V475" s="1"/>
      <c r="W475" s="2"/>
      <c r="X475" s="2"/>
    </row>
    <row r="476" spans="11:24" ht="15" hidden="1" customHeight="1">
      <c r="K476" s="5">
        <v>46087</v>
      </c>
      <c r="L476" s="8" t="s">
        <v>57</v>
      </c>
      <c r="M476" s="9" t="str">
        <f>IF(Tabela1[[#This Row],[Motorista]]="","",IFERROR(_xlfn.XLOOKUP(Tabela1[[#This Row],[Motorista]],Base!A:A,Base!B:B),""))</f>
        <v>CIF</v>
      </c>
      <c r="N476" s="20" t="str">
        <f t="shared" si="18"/>
        <v>Finalizado</v>
      </c>
      <c r="O4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76" s="2">
        <v>0.32916666666666666</v>
      </c>
      <c r="Q476" s="2">
        <v>0.39166666666666666</v>
      </c>
      <c r="R476" s="16">
        <v>0.43194444444444446</v>
      </c>
      <c r="S476" s="16" t="s">
        <v>85</v>
      </c>
      <c r="T476" s="14">
        <f>IF(OR(Tabela1[[#This Row],[Entrada]]="",Tabela1[[#This Row],[Saída]]=""), "", Tabela1[[#This Row],[Saída]]-Tabela1[[#This Row],[Entrada]])</f>
        <v>4.0277777777777801E-2</v>
      </c>
      <c r="U476" s="15">
        <f>IF(OR('Controle de CT'!$R476= "", 'Controle de CT'!$P476= ""), "", 'Controle de CT'!$R476-'Controle de CT'!$P476)</f>
        <v>0.1027777777777778</v>
      </c>
      <c r="V476" s="1"/>
      <c r="W476" s="2"/>
      <c r="X476" s="2"/>
    </row>
    <row r="477" spans="11:24" ht="15" hidden="1" customHeight="1">
      <c r="K477" s="5">
        <v>46087</v>
      </c>
      <c r="L477" s="8" t="s">
        <v>93</v>
      </c>
      <c r="M477" s="9" t="str">
        <f>IF(Tabela1[[#This Row],[Motorista]]="","",IFERROR(_xlfn.XLOOKUP(Tabela1[[#This Row],[Motorista]],Base!A:A,Base!B:B),""))</f>
        <v>FOB</v>
      </c>
      <c r="N477" s="20" t="str">
        <f t="shared" si="18"/>
        <v>Finalizado</v>
      </c>
      <c r="O4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7" s="2">
        <v>0.33680555555555558</v>
      </c>
      <c r="Q477" s="2">
        <v>0.35416666666666669</v>
      </c>
      <c r="R477" s="16">
        <v>0.45208333333333334</v>
      </c>
      <c r="S477" s="16" t="s">
        <v>85</v>
      </c>
      <c r="T477" s="14">
        <f>IF(OR(Tabela1[[#This Row],[Entrada]]="",Tabela1[[#This Row],[Saída]]=""), "", Tabela1[[#This Row],[Saída]]-Tabela1[[#This Row],[Entrada]])</f>
        <v>9.7916666666666652E-2</v>
      </c>
      <c r="U477" s="15">
        <f>IF(OR('Controle de CT'!$R477= "", 'Controle de CT'!$P477= ""), "", 'Controle de CT'!$R477-'Controle de CT'!$P477)</f>
        <v>0.11527777777777776</v>
      </c>
      <c r="V477" s="1"/>
      <c r="W477" s="2"/>
      <c r="X477" s="2"/>
    </row>
    <row r="478" spans="11:24" ht="15" hidden="1" customHeight="1">
      <c r="K478" s="5">
        <v>46087</v>
      </c>
      <c r="L478" s="8" t="s">
        <v>89</v>
      </c>
      <c r="M478" s="9" t="str">
        <f>IF(Tabela1[[#This Row],[Motorista]]="","",IFERROR(_xlfn.XLOOKUP(Tabela1[[#This Row],[Motorista]],Base!A:A,Base!B:B),""))</f>
        <v>FOB</v>
      </c>
      <c r="N478" s="20" t="str">
        <f t="shared" si="18"/>
        <v>Fila de Carregamento</v>
      </c>
      <c r="O4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78" s="2">
        <v>0.40902777777777777</v>
      </c>
      <c r="Q478" s="2">
        <v>0.4152777777777778</v>
      </c>
      <c r="R478" s="16"/>
      <c r="S478" s="16" t="s">
        <v>85</v>
      </c>
      <c r="T478" s="14" t="str">
        <f>IF(OR(Tabela1[[#This Row],[Entrada]]="",Tabela1[[#This Row],[Saída]]=""), "", Tabela1[[#This Row],[Saída]]-Tabela1[[#This Row],[Entrada]])</f>
        <v/>
      </c>
      <c r="U478" s="15" t="str">
        <f>IF(OR('Controle de CT'!$R478= "", 'Controle de CT'!$P478= ""), "", 'Controle de CT'!$R478-'Controle de CT'!$P478)</f>
        <v/>
      </c>
      <c r="V478" s="1"/>
      <c r="W478" s="2"/>
      <c r="X478" s="2"/>
    </row>
    <row r="479" spans="11:24" ht="15" hidden="1" customHeight="1">
      <c r="K479" s="5">
        <v>46087</v>
      </c>
      <c r="L479" s="8" t="s">
        <v>91</v>
      </c>
      <c r="M479" s="9" t="str">
        <f>IF(Tabela1[[#This Row],[Motorista]]="","",IFERROR(_xlfn.XLOOKUP(Tabela1[[#This Row],[Motorista]],Base!A:A,Base!B:B),""))</f>
        <v>FOB</v>
      </c>
      <c r="N479" s="20" t="str">
        <f t="shared" si="18"/>
        <v>Finalizado</v>
      </c>
      <c r="O4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79" s="2">
        <v>0.40972222222222221</v>
      </c>
      <c r="Q479" s="2">
        <v>0.42986111111111114</v>
      </c>
      <c r="R479" s="16">
        <v>0.47916666666666669</v>
      </c>
      <c r="S479" s="16" t="s">
        <v>85</v>
      </c>
      <c r="T479" s="14">
        <f>IF(OR(Tabela1[[#This Row],[Entrada]]="",Tabela1[[#This Row],[Saída]]=""), "", Tabela1[[#This Row],[Saída]]-Tabela1[[#This Row],[Entrada]])</f>
        <v>4.9305555555555547E-2</v>
      </c>
      <c r="U479" s="15">
        <f>IF(OR('Controle de CT'!$R479= "", 'Controle de CT'!$P479= ""), "", 'Controle de CT'!$R479-'Controle de CT'!$P479)</f>
        <v>6.9444444444444475E-2</v>
      </c>
      <c r="V479" s="1"/>
      <c r="W479" s="2"/>
      <c r="X479" s="2"/>
    </row>
    <row r="480" spans="11:24" ht="15" hidden="1" customHeight="1">
      <c r="K480" s="5">
        <v>46087</v>
      </c>
      <c r="L480" s="8" t="s">
        <v>130</v>
      </c>
      <c r="M480" s="9" t="str">
        <f>IF(Tabela1[[#This Row],[Motorista]]="","",IFERROR(_xlfn.XLOOKUP(Tabela1[[#This Row],[Motorista]],Base!A:A,Base!B:B),""))</f>
        <v>RZD</v>
      </c>
      <c r="N480" s="20" t="str">
        <f t="shared" si="18"/>
        <v>Aguardando Entrada</v>
      </c>
      <c r="O4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80" s="2">
        <v>0.41944444444444445</v>
      </c>
      <c r="R480" s="16"/>
      <c r="S480" s="16"/>
      <c r="T480" s="14" t="str">
        <f>IF(OR(Tabela1[[#This Row],[Entrada]]="",Tabela1[[#This Row],[Saída]]=""), "", Tabela1[[#This Row],[Saída]]-Tabela1[[#This Row],[Entrada]])</f>
        <v/>
      </c>
      <c r="U480" s="15" t="str">
        <f>IF(OR('Controle de CT'!$R480= "", 'Controle de CT'!$P480= ""), "", 'Controle de CT'!$R480-'Controle de CT'!$P480)</f>
        <v/>
      </c>
      <c r="V480" s="1"/>
      <c r="W480" s="2"/>
      <c r="X480" s="2"/>
    </row>
    <row r="481" spans="11:24" ht="15" hidden="1" customHeight="1">
      <c r="K481" s="5">
        <v>46087</v>
      </c>
      <c r="L481" s="8" t="s">
        <v>88</v>
      </c>
      <c r="M481" s="9" t="str">
        <f>IF(Tabela1[[#This Row],[Motorista]]="","",IFERROR(_xlfn.XLOOKUP(Tabela1[[#This Row],[Motorista]],Base!A:A,Base!B:B),""))</f>
        <v>RZD</v>
      </c>
      <c r="N481" s="20" t="str">
        <f t="shared" si="18"/>
        <v/>
      </c>
      <c r="O4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481" s="16"/>
      <c r="S481" s="16"/>
      <c r="T481" s="14" t="str">
        <f>IF(OR(Tabela1[[#This Row],[Entrada]]="",Tabela1[[#This Row],[Saída]]=""), "", Tabela1[[#This Row],[Saída]]-Tabela1[[#This Row],[Entrada]])</f>
        <v/>
      </c>
      <c r="U481" s="15" t="str">
        <f>IF(OR('Controle de CT'!$R481= "", 'Controle de CT'!$P481= ""), "", 'Controle de CT'!$R481-'Controle de CT'!$P481)</f>
        <v/>
      </c>
      <c r="V481" s="1"/>
      <c r="W481" s="2"/>
      <c r="X481" s="2"/>
    </row>
    <row r="482" spans="11:24" ht="15" hidden="1" customHeight="1">
      <c r="K482" s="5">
        <v>46087</v>
      </c>
      <c r="L482" s="8" t="s">
        <v>57</v>
      </c>
      <c r="M482" s="9" t="str">
        <f>IF(Tabela1[[#This Row],[Motorista]]="","",IFERROR(_xlfn.XLOOKUP(Tabela1[[#This Row],[Motorista]],Base!A:A,Base!B:B),""))</f>
        <v>CIF</v>
      </c>
      <c r="N482" s="20" t="str">
        <f t="shared" si="18"/>
        <v>Finalizado</v>
      </c>
      <c r="O4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82" s="2">
        <v>0.32916666666666666</v>
      </c>
      <c r="Q482" s="2">
        <v>0.39166666666666666</v>
      </c>
      <c r="R482" s="16">
        <v>0.43194444444444446</v>
      </c>
      <c r="S482" s="16"/>
      <c r="T482" s="14">
        <f>IF(OR(Tabela1[[#This Row],[Entrada]]="",Tabela1[[#This Row],[Saída]]=""), "", Tabela1[[#This Row],[Saída]]-Tabela1[[#This Row],[Entrada]])</f>
        <v>4.0277777777777801E-2</v>
      </c>
      <c r="U482" s="15">
        <f>IF(OR('Controle de CT'!$R482= "", 'Controle de CT'!$P482= ""), "", 'Controle de CT'!$R482-'Controle de CT'!$P482)</f>
        <v>0.1027777777777778</v>
      </c>
      <c r="V482" s="1"/>
      <c r="W482" s="2"/>
      <c r="X482" s="2"/>
    </row>
    <row r="483" spans="11:24" ht="15" hidden="1" customHeight="1">
      <c r="K483" s="5">
        <v>46087</v>
      </c>
      <c r="L483" s="8" t="s">
        <v>90</v>
      </c>
      <c r="M483" s="9" t="str">
        <f>IF(Tabela1[[#This Row],[Motorista]]="","",IFERROR(_xlfn.XLOOKUP(Tabela1[[#This Row],[Motorista]],Base!A:A,Base!B:B),""))</f>
        <v>FOB</v>
      </c>
      <c r="N483" s="20" t="str">
        <f t="shared" si="18"/>
        <v>Finalizado</v>
      </c>
      <c r="O4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83" s="2">
        <v>0.53125</v>
      </c>
      <c r="Q483" s="2">
        <v>0.54374999999999996</v>
      </c>
      <c r="R483" s="16">
        <v>0.57708333333333328</v>
      </c>
      <c r="S483" s="16" t="s">
        <v>85</v>
      </c>
      <c r="T483" s="14">
        <f>IF(OR(Tabela1[[#This Row],[Entrada]]="",Tabela1[[#This Row],[Saída]]=""), "", Tabela1[[#This Row],[Saída]]-Tabela1[[#This Row],[Entrada]])</f>
        <v>3.3333333333333326E-2</v>
      </c>
      <c r="U483" s="15">
        <f>IF(OR('Controle de CT'!$R483= "", 'Controle de CT'!$P483= ""), "", 'Controle de CT'!$R483-'Controle de CT'!$P483)</f>
        <v>4.5833333333333282E-2</v>
      </c>
      <c r="V483" s="1"/>
      <c r="W483" s="2"/>
      <c r="X483" s="2"/>
    </row>
    <row r="484" spans="11:24" ht="15" hidden="1" customHeight="1">
      <c r="K484" s="5">
        <v>46087</v>
      </c>
      <c r="L484" s="8" t="s">
        <v>58</v>
      </c>
      <c r="M484" s="9" t="str">
        <f>IF(Tabela1[[#This Row],[Motorista]]="","",IFERROR(_xlfn.XLOOKUP(Tabela1[[#This Row],[Motorista]],Base!A:A,Base!B:B),""))</f>
        <v xml:space="preserve">CIF </v>
      </c>
      <c r="N484" s="20" t="str">
        <f t="shared" si="18"/>
        <v>Finalizado</v>
      </c>
      <c r="O4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Q484" s="2">
        <v>0.54374999999999996</v>
      </c>
      <c r="R484" s="16">
        <v>0.59652777777777777</v>
      </c>
      <c r="S484" s="16" t="s">
        <v>85</v>
      </c>
      <c r="T484" s="14">
        <f>IF(OR(Tabela1[[#This Row],[Entrada]]="",Tabela1[[#This Row],[Saída]]=""), "", Tabela1[[#This Row],[Saída]]-Tabela1[[#This Row],[Entrada]])</f>
        <v>5.2777777777777812E-2</v>
      </c>
      <c r="U484" s="15" t="str">
        <f>IF(OR('Controle de CT'!$R484= "", 'Controle de CT'!$P484= ""), "", 'Controle de CT'!$R484-'Controle de CT'!$P484)</f>
        <v/>
      </c>
      <c r="V484" s="1"/>
      <c r="W484" s="2"/>
      <c r="X484" s="2"/>
    </row>
    <row r="485" spans="11:24" ht="15" hidden="1" customHeight="1">
      <c r="K485" s="5">
        <v>46087</v>
      </c>
      <c r="L485" s="8" t="s">
        <v>89</v>
      </c>
      <c r="M485" s="9" t="str">
        <f>IF(Tabela1[[#This Row],[Motorista]]="","",IFERROR(_xlfn.XLOOKUP(Tabela1[[#This Row],[Motorista]],Base!A:A,Base!B:B),""))</f>
        <v>FOB</v>
      </c>
      <c r="N485" s="20" t="str">
        <f t="shared" si="18"/>
        <v>Fila de Carregamento</v>
      </c>
      <c r="O4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85" s="2">
        <v>0.56180555555555556</v>
      </c>
      <c r="Q485" s="2">
        <v>0.6</v>
      </c>
      <c r="R485" s="16"/>
      <c r="S485" s="16" t="s">
        <v>85</v>
      </c>
      <c r="T485" s="14" t="str">
        <f>IF(OR(Tabela1[[#This Row],[Entrada]]="",Tabela1[[#This Row],[Saída]]=""), "", Tabela1[[#This Row],[Saída]]-Tabela1[[#This Row],[Entrada]])</f>
        <v/>
      </c>
      <c r="U485" s="15" t="str">
        <f>IF(OR('Controle de CT'!$R485= "", 'Controle de CT'!$P485= ""), "", 'Controle de CT'!$R485-'Controle de CT'!$P485)</f>
        <v/>
      </c>
      <c r="V485" s="1"/>
      <c r="W485" s="2"/>
      <c r="X485" s="2"/>
    </row>
    <row r="486" spans="11:24" ht="15" hidden="1" customHeight="1">
      <c r="K486" s="5">
        <v>46087</v>
      </c>
      <c r="L486" s="8" t="s">
        <v>129</v>
      </c>
      <c r="M486" s="9" t="str">
        <f>IF(Tabela1[[#This Row],[Motorista]]="","",IFERROR(_xlfn.XLOOKUP(Tabela1[[#This Row],[Motorista]],Base!A:A,Base!B:B),""))</f>
        <v>FOB</v>
      </c>
      <c r="N486" s="20" t="str">
        <f t="shared" ref="N486:N492" si="19">IF(R486&lt;&gt;"","Finalizado", IF(Q486&lt;&gt;"","Fila de Carregamento", IF(P486&lt;&gt;"","Aguardando Entrada","")))</f>
        <v/>
      </c>
      <c r="O4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86" s="4"/>
      <c r="Q486" s="4"/>
      <c r="R486" s="23"/>
      <c r="S486" s="16"/>
      <c r="T486" s="14" t="str">
        <f>IF(OR(Tabela1[[#This Row],[Entrada]]="",Tabela1[[#This Row],[Saída]]=""), "", Tabela1[[#This Row],[Saída]]-Tabela1[[#This Row],[Entrada]])</f>
        <v/>
      </c>
      <c r="U486" s="15" t="str">
        <f>IF(OR('Controle de CT'!$R486= "", 'Controle de CT'!$P486= ""), "", 'Controle de CT'!$R486-'Controle de CT'!$P486)</f>
        <v/>
      </c>
      <c r="V486" s="1"/>
      <c r="W486" s="2"/>
      <c r="X486" s="2"/>
    </row>
    <row r="487" spans="11:24" ht="15" hidden="1" customHeight="1">
      <c r="K487" s="5">
        <v>46087</v>
      </c>
      <c r="L487" s="8" t="s">
        <v>162</v>
      </c>
      <c r="M487" s="9" t="str">
        <f>IF(Tabela1[[#This Row],[Motorista]]="","",IFERROR(_xlfn.XLOOKUP(Tabela1[[#This Row],[Motorista]],Base!A:A,Base!B:B),""))</f>
        <v>FOB</v>
      </c>
      <c r="N487" s="20" t="str">
        <f t="shared" si="19"/>
        <v>Finalizado</v>
      </c>
      <c r="O4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87" s="2">
        <v>0.56458333333333333</v>
      </c>
      <c r="Q487" s="2">
        <v>0.62013888888888891</v>
      </c>
      <c r="R487" s="16">
        <v>0.67291666666666672</v>
      </c>
      <c r="S487" s="16" t="s">
        <v>85</v>
      </c>
      <c r="T487" s="14">
        <f>IF(OR(Tabela1[[#This Row],[Entrada]]="",Tabela1[[#This Row],[Saída]]=""), "", Tabela1[[#This Row],[Saída]]-Tabela1[[#This Row],[Entrada]])</f>
        <v>5.2777777777777812E-2</v>
      </c>
      <c r="U487" s="15">
        <f>IF(OR('Controle de CT'!$R487= "", 'Controle de CT'!$P487= ""), "", 'Controle de CT'!$R487-'Controle de CT'!$P487)</f>
        <v>0.10833333333333339</v>
      </c>
      <c r="V487" s="1" t="s">
        <v>169</v>
      </c>
      <c r="W487" s="2"/>
      <c r="X487" s="2"/>
    </row>
    <row r="488" spans="11:24" ht="15" hidden="1" customHeight="1">
      <c r="K488" s="5">
        <v>46087</v>
      </c>
      <c r="L488" s="8" t="s">
        <v>86</v>
      </c>
      <c r="M488" s="9" t="str">
        <f>IF(Tabela1[[#This Row],[Motorista]]="","",IFERROR(_xlfn.XLOOKUP(Tabela1[[#This Row],[Motorista]],Base!A:A,Base!B:B),""))</f>
        <v>FOB</v>
      </c>
      <c r="N488" s="20" t="str">
        <f t="shared" si="19"/>
        <v>Finalizado</v>
      </c>
      <c r="O4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88" s="2">
        <v>0.57847222222222228</v>
      </c>
      <c r="Q488" s="2">
        <v>0.60555555555555551</v>
      </c>
      <c r="R488" s="16">
        <v>0.69444444444444442</v>
      </c>
      <c r="S488" s="16" t="s">
        <v>85</v>
      </c>
      <c r="T488" s="14">
        <f>IF(OR(Tabela1[[#This Row],[Entrada]]="",Tabela1[[#This Row],[Saída]]=""), "", Tabela1[[#This Row],[Saída]]-Tabela1[[#This Row],[Entrada]])</f>
        <v>8.8888888888888906E-2</v>
      </c>
      <c r="U488" s="15">
        <f>IF(OR('Controle de CT'!$R488= "", 'Controle de CT'!$P488= ""), "", 'Controle de CT'!$R488-'Controle de CT'!$P488)</f>
        <v>0.11597222222222214</v>
      </c>
      <c r="V488" s="1"/>
      <c r="W488" s="2"/>
      <c r="X488" s="2"/>
    </row>
    <row r="489" spans="11:24" ht="15" hidden="1" customHeight="1">
      <c r="K489" s="5">
        <v>46087</v>
      </c>
      <c r="L489" s="8" t="s">
        <v>47</v>
      </c>
      <c r="M489" s="9" t="str">
        <f>IF(Tabela1[[#This Row],[Motorista]]="","",IFERROR(_xlfn.XLOOKUP(Tabela1[[#This Row],[Motorista]],Base!A:A,Base!B:B),""))</f>
        <v>CIF</v>
      </c>
      <c r="N489" s="20" t="str">
        <f t="shared" si="19"/>
        <v>Finalizado</v>
      </c>
      <c r="O4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89" s="2">
        <v>0.63541666666666663</v>
      </c>
      <c r="Q489" s="2">
        <v>0.64652777777777781</v>
      </c>
      <c r="R489" s="16">
        <v>0.67777777777777781</v>
      </c>
      <c r="S489" s="16" t="s">
        <v>85</v>
      </c>
      <c r="T489" s="14">
        <f>IF(OR(Tabela1[[#This Row],[Entrada]]="",Tabela1[[#This Row],[Saída]]=""), "", Tabela1[[#This Row],[Saída]]-Tabela1[[#This Row],[Entrada]])</f>
        <v>3.125E-2</v>
      </c>
      <c r="U489" s="15">
        <f>IF(OR('Controle de CT'!$R489= "", 'Controle de CT'!$P489= ""), "", 'Controle de CT'!$R489-'Controle de CT'!$P489)</f>
        <v>4.2361111111111183E-2</v>
      </c>
      <c r="V489" s="1"/>
      <c r="W489" s="2"/>
      <c r="X489" s="2"/>
    </row>
    <row r="490" spans="11:24" ht="15" hidden="1" customHeight="1">
      <c r="K490" s="5">
        <v>46087</v>
      </c>
      <c r="L490" s="8" t="s">
        <v>126</v>
      </c>
      <c r="M490" s="9" t="str">
        <f>IF(Tabela1[[#This Row],[Motorista]]="","",IFERROR(_xlfn.XLOOKUP(Tabela1[[#This Row],[Motorista]],Base!A:A,Base!B:B),""))</f>
        <v>Transferência</v>
      </c>
      <c r="N490" s="20" t="str">
        <f t="shared" si="19"/>
        <v>Aguardando Entrada</v>
      </c>
      <c r="O4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90" s="2">
        <v>0.66666666666666663</v>
      </c>
      <c r="R490" s="16"/>
      <c r="S490" s="16"/>
      <c r="T490" s="14" t="str">
        <f>IF(OR(Tabela1[[#This Row],[Entrada]]="",Tabela1[[#This Row],[Saída]]=""), "", Tabela1[[#This Row],[Saída]]-Tabela1[[#This Row],[Entrada]])</f>
        <v/>
      </c>
      <c r="U490" s="15" t="str">
        <f>IF(OR('Controle de CT'!$R490= "", 'Controle de CT'!$P490= ""), "", 'Controle de CT'!$R490-'Controle de CT'!$P490)</f>
        <v/>
      </c>
      <c r="V490" s="1"/>
      <c r="W490" s="2"/>
      <c r="X490" s="2"/>
    </row>
    <row r="491" spans="11:24" ht="15" hidden="1" customHeight="1">
      <c r="K491" s="5">
        <v>46087</v>
      </c>
      <c r="L491" s="8" t="s">
        <v>114</v>
      </c>
      <c r="M491" s="9" t="str">
        <f>IF(Tabela1[[#This Row],[Motorista]]="","",IFERROR(_xlfn.XLOOKUP(Tabela1[[#This Row],[Motorista]],Base!A:A,Base!B:B),""))</f>
        <v>FOB</v>
      </c>
      <c r="N491" s="20" t="str">
        <f t="shared" si="19"/>
        <v>Aguardando Entrada</v>
      </c>
      <c r="O4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91" s="2">
        <v>0.73402777777777772</v>
      </c>
      <c r="R491" s="16"/>
      <c r="S491" s="16"/>
      <c r="T491" s="14" t="str">
        <f>IF(OR(Tabela1[[#This Row],[Entrada]]="",Tabela1[[#This Row],[Saída]]=""), "", Tabela1[[#This Row],[Saída]]-Tabela1[[#This Row],[Entrada]])</f>
        <v/>
      </c>
      <c r="U491" s="15" t="str">
        <f>IF(OR('Controle de CT'!$R491= "", 'Controle de CT'!$P491= ""), "", 'Controle de CT'!$R491-'Controle de CT'!$P491)</f>
        <v/>
      </c>
      <c r="V491" s="1"/>
      <c r="W491" s="2"/>
      <c r="X491" s="2"/>
    </row>
    <row r="492" spans="11:24" ht="15" hidden="1" customHeight="1">
      <c r="K492" s="5">
        <v>46088</v>
      </c>
      <c r="L492" s="8" t="s">
        <v>58</v>
      </c>
      <c r="M492" s="9" t="str">
        <f>IF(Tabela1[[#This Row],[Motorista]]="","",IFERROR(_xlfn.XLOOKUP(Tabela1[[#This Row],[Motorista]],Base!A:A,Base!B:B),""))</f>
        <v xml:space="preserve">CIF </v>
      </c>
      <c r="N492" s="20" t="str">
        <f t="shared" si="19"/>
        <v>Finalizado</v>
      </c>
      <c r="O4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2" s="2">
        <v>0.23680555555555555</v>
      </c>
      <c r="Q492" s="2">
        <v>0.28680555555555554</v>
      </c>
      <c r="R492" s="16">
        <v>0.3347222222222222</v>
      </c>
      <c r="S492" s="16"/>
      <c r="T492" s="14">
        <f>IF(OR(Tabela1[[#This Row],[Entrada]]="",Tabela1[[#This Row],[Saída]]=""), "", Tabela1[[#This Row],[Saída]]-Tabela1[[#This Row],[Entrada]])</f>
        <v>4.7916666666666663E-2</v>
      </c>
      <c r="U492" s="15">
        <f>IF(OR('Controle de CT'!$R492= "", 'Controle de CT'!$P492= ""), "", 'Controle de CT'!$R492-'Controle de CT'!$P492)</f>
        <v>9.7916666666666652E-2</v>
      </c>
      <c r="V492" s="1"/>
      <c r="W492" s="2"/>
      <c r="X492" s="2"/>
    </row>
    <row r="493" spans="11:24" ht="15" hidden="1" customHeight="1">
      <c r="K493" s="5">
        <v>46088</v>
      </c>
      <c r="L493" s="8" t="s">
        <v>42</v>
      </c>
      <c r="M493" s="9" t="str">
        <f>IF(Tabela1[[#This Row],[Motorista]]="","",IFERROR(_xlfn.XLOOKUP(Tabela1[[#This Row],[Motorista]],Base!A:A,Base!B:B),""))</f>
        <v>CIF</v>
      </c>
      <c r="N493" s="20" t="str">
        <f t="shared" ref="N493:N499" si="20">IF(R493&lt;&gt;"","Finalizado", IF(Q493&lt;&gt;"","Fila de Carregamento", IF(P493&lt;&gt;"","Aguardando Entrada","")))</f>
        <v>Finalizado</v>
      </c>
      <c r="O4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3" s="4">
        <v>0.25416666666666665</v>
      </c>
      <c r="Q493" s="4">
        <v>0.29444444444444445</v>
      </c>
      <c r="R493" s="23">
        <v>0.33680555555555558</v>
      </c>
      <c r="S493" s="16"/>
      <c r="T493" s="14">
        <f>IF(OR(Tabela1[[#This Row],[Entrada]]="",Tabela1[[#This Row],[Saída]]=""), "", Tabela1[[#This Row],[Saída]]-Tabela1[[#This Row],[Entrada]])</f>
        <v>4.2361111111111127E-2</v>
      </c>
      <c r="U493" s="15">
        <f>IF(OR('Controle de CT'!$R493= "", 'Controle de CT'!$P493= ""), "", 'Controle de CT'!$R493-'Controle de CT'!$P493)</f>
        <v>8.2638888888888928E-2</v>
      </c>
      <c r="V493" s="1"/>
      <c r="W493" s="2"/>
      <c r="X493" s="2"/>
    </row>
    <row r="494" spans="11:24" ht="15" hidden="1" customHeight="1">
      <c r="K494" s="5">
        <v>46088</v>
      </c>
      <c r="L494" s="8" t="s">
        <v>57</v>
      </c>
      <c r="M494" s="9" t="str">
        <f>IF(Tabela1[[#This Row],[Motorista]]="","",IFERROR(_xlfn.XLOOKUP(Tabela1[[#This Row],[Motorista]],Base!A:A,Base!B:B),""))</f>
        <v>CIF</v>
      </c>
      <c r="N494" s="20" t="str">
        <f t="shared" si="20"/>
        <v>Finalizado</v>
      </c>
      <c r="O4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4" s="2">
        <v>0.25486111111111109</v>
      </c>
      <c r="Q494" s="2">
        <v>0.30208333333333331</v>
      </c>
      <c r="R494" s="16">
        <v>0.34722222222222221</v>
      </c>
      <c r="S494" s="16"/>
      <c r="T494" s="14">
        <f>IF(OR(Tabela1[[#This Row],[Entrada]]="",Tabela1[[#This Row],[Saída]]=""), "", Tabela1[[#This Row],[Saída]]-Tabela1[[#This Row],[Entrada]])</f>
        <v>4.5138888888888895E-2</v>
      </c>
      <c r="U494" s="15">
        <f>IF(OR('Controle de CT'!$R494= "", 'Controle de CT'!$P494= ""), "", 'Controle de CT'!$R494-'Controle de CT'!$P494)</f>
        <v>9.2361111111111116E-2</v>
      </c>
      <c r="V494" s="1"/>
      <c r="W494" s="2"/>
      <c r="X494" s="2"/>
    </row>
    <row r="495" spans="11:24" ht="15" hidden="1" customHeight="1">
      <c r="K495" s="5">
        <v>46088</v>
      </c>
      <c r="L495" s="8" t="s">
        <v>56</v>
      </c>
      <c r="M495" s="9" t="str">
        <f>IF(Tabela1[[#This Row],[Motorista]]="","",IFERROR(_xlfn.XLOOKUP(Tabela1[[#This Row],[Motorista]],Base!A:A,Base!B:B),""))</f>
        <v/>
      </c>
      <c r="N495" s="20" t="str">
        <f t="shared" si="20"/>
        <v>Finalizado</v>
      </c>
      <c r="O4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5" s="2">
        <v>0.26458333333333334</v>
      </c>
      <c r="Q495" s="2">
        <v>0.28611111111111109</v>
      </c>
      <c r="R495" s="16">
        <v>0.32222222222222224</v>
      </c>
      <c r="S495" s="16"/>
      <c r="T495" s="14">
        <f>IF(OR(Tabela1[[#This Row],[Entrada]]="",Tabela1[[#This Row],[Saída]]=""), "", Tabela1[[#This Row],[Saída]]-Tabela1[[#This Row],[Entrada]])</f>
        <v>3.6111111111111149E-2</v>
      </c>
      <c r="U495" s="15">
        <f>IF(OR('Controle de CT'!$R495= "", 'Controle de CT'!$P495= ""), "", 'Controle de CT'!$R495-'Controle de CT'!$P495)</f>
        <v>5.7638888888888906E-2</v>
      </c>
      <c r="V495" s="1"/>
      <c r="W495" s="2"/>
      <c r="X495" s="2"/>
    </row>
    <row r="496" spans="11:24" ht="15" hidden="1" customHeight="1">
      <c r="K496" s="5">
        <v>46088</v>
      </c>
      <c r="L496" s="8" t="s">
        <v>45</v>
      </c>
      <c r="M496" s="9" t="str">
        <f>IF(Tabela1[[#This Row],[Motorista]]="","",IFERROR(_xlfn.XLOOKUP(Tabela1[[#This Row],[Motorista]],Base!A:A,Base!B:B),""))</f>
        <v>CIF</v>
      </c>
      <c r="N496" s="20" t="str">
        <f t="shared" si="20"/>
        <v>Finalizado</v>
      </c>
      <c r="O4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96" s="2">
        <v>0.21805555555555556</v>
      </c>
      <c r="Q496" s="2">
        <v>0.31388888888888888</v>
      </c>
      <c r="R496" s="16">
        <v>0.36736111111111114</v>
      </c>
      <c r="S496" s="16"/>
      <c r="T496" s="14">
        <f>IF(OR(Tabela1[[#This Row],[Entrada]]="",Tabela1[[#This Row],[Saída]]=""), "", Tabela1[[#This Row],[Saída]]-Tabela1[[#This Row],[Entrada]])</f>
        <v>5.3472222222222254E-2</v>
      </c>
      <c r="U496" s="15">
        <f>IF(OR('Controle de CT'!$R496= "", 'Controle de CT'!$P496= ""), "", 'Controle de CT'!$R496-'Controle de CT'!$P496)</f>
        <v>0.14930555555555558</v>
      </c>
      <c r="V496" s="1"/>
      <c r="W496" s="2"/>
      <c r="X496" s="2"/>
    </row>
    <row r="497" spans="11:24" ht="15" hidden="1" customHeight="1">
      <c r="K497" s="5">
        <v>46088</v>
      </c>
      <c r="L497" s="8" t="s">
        <v>101</v>
      </c>
      <c r="M497" s="9" t="str">
        <f>IF(Tabela1[[#This Row],[Motorista]]="","",IFERROR(_xlfn.XLOOKUP(Tabela1[[#This Row],[Motorista]],Base!A:A,Base!B:B),""))</f>
        <v>FOB</v>
      </c>
      <c r="N497" s="20" t="str">
        <f t="shared" si="20"/>
        <v>Finalizado</v>
      </c>
      <c r="O4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97" s="2">
        <v>0.22291666666666668</v>
      </c>
      <c r="Q497" s="2">
        <v>0.30972222222222223</v>
      </c>
      <c r="R497" s="16">
        <v>0.38819444444444445</v>
      </c>
      <c r="S497" s="16"/>
      <c r="T497" s="14">
        <f>IF(OR(Tabela1[[#This Row],[Entrada]]="",Tabela1[[#This Row],[Saída]]=""), "", Tabela1[[#This Row],[Saída]]-Tabela1[[#This Row],[Entrada]])</f>
        <v>7.8472222222222221E-2</v>
      </c>
      <c r="U497" s="15">
        <f>IF(OR('Controle de CT'!$R497= "", 'Controle de CT'!$P497= ""), "", 'Controle de CT'!$R497-'Controle de CT'!$P497)</f>
        <v>0.16527777777777777</v>
      </c>
      <c r="V497" s="1"/>
      <c r="W497" s="2"/>
      <c r="X497" s="2"/>
    </row>
    <row r="498" spans="11:24" ht="15" hidden="1" customHeight="1">
      <c r="K498" s="5">
        <v>46088</v>
      </c>
      <c r="L498" s="8" t="s">
        <v>86</v>
      </c>
      <c r="M498" s="9" t="str">
        <f>IF(Tabela1[[#This Row],[Motorista]]="","",IFERROR(_xlfn.XLOOKUP(Tabela1[[#This Row],[Motorista]],Base!A:A,Base!B:B),""))</f>
        <v>FOB</v>
      </c>
      <c r="N498" s="20" t="str">
        <f t="shared" si="20"/>
        <v>Finalizado</v>
      </c>
      <c r="O4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498" s="2">
        <v>0.25486111111111109</v>
      </c>
      <c r="Q498" s="2">
        <v>0.35694444444444445</v>
      </c>
      <c r="R498" s="16">
        <v>0.41319444444444442</v>
      </c>
      <c r="S498" s="16"/>
      <c r="T498" s="14">
        <f>IF(OR(Tabela1[[#This Row],[Entrada]]="",Tabela1[[#This Row],[Saída]]=""), "", Tabela1[[#This Row],[Saída]]-Tabela1[[#This Row],[Entrada]])</f>
        <v>5.6249999999999967E-2</v>
      </c>
      <c r="U498" s="15">
        <f>IF(OR('Controle de CT'!$R498= "", 'Controle de CT'!$P498= ""), "", 'Controle de CT'!$R498-'Controle de CT'!$P498)</f>
        <v>0.15833333333333333</v>
      </c>
      <c r="V498" s="1"/>
      <c r="W498" s="2"/>
      <c r="X498" s="2"/>
    </row>
    <row r="499" spans="11:24" ht="15" hidden="1" customHeight="1">
      <c r="K499" s="5">
        <v>46088</v>
      </c>
      <c r="L499" s="8" t="s">
        <v>92</v>
      </c>
      <c r="M499" s="9" t="str">
        <f>IF(Tabela1[[#This Row],[Motorista]]="","",IFERROR(_xlfn.XLOOKUP(Tabela1[[#This Row],[Motorista]],Base!A:A,Base!B:B),""))</f>
        <v>FOB</v>
      </c>
      <c r="N499" s="20" t="str">
        <f t="shared" si="20"/>
        <v>Finalizado</v>
      </c>
      <c r="O4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499" s="2">
        <v>0.24861111111111112</v>
      </c>
      <c r="Q499" s="2">
        <v>0.31180555555555556</v>
      </c>
      <c r="R499" s="16">
        <v>0.36319444444444443</v>
      </c>
      <c r="S499" s="16"/>
      <c r="T499" s="14">
        <f>IF(OR(Tabela1[[#This Row],[Entrada]]="",Tabela1[[#This Row],[Saída]]=""), "", Tabela1[[#This Row],[Saída]]-Tabela1[[#This Row],[Entrada]])</f>
        <v>5.1388888888888873E-2</v>
      </c>
      <c r="U499" s="15">
        <f>IF(OR('Controle de CT'!$R499= "", 'Controle de CT'!$P499= ""), "", 'Controle de CT'!$R499-'Controle de CT'!$P499)</f>
        <v>0.11458333333333331</v>
      </c>
      <c r="V499" s="1"/>
      <c r="W499" s="2"/>
      <c r="X499" s="2"/>
    </row>
    <row r="500" spans="11:24" ht="15" hidden="1" customHeight="1">
      <c r="K500" s="5">
        <v>46088</v>
      </c>
      <c r="L500" s="8" t="s">
        <v>55</v>
      </c>
      <c r="M500" s="9" t="str">
        <f>IF(Tabela1[[#This Row],[Motorista]]="","",IFERROR(_xlfn.XLOOKUP(Tabela1[[#This Row],[Motorista]],Base!A:A,Base!B:B),""))</f>
        <v>CIF</v>
      </c>
      <c r="N500" s="20" t="str">
        <f t="shared" ref="N500:N517" si="21">IF(R500&lt;&gt;"","Finalizado", IF(Q500&lt;&gt;"","Fila de Carregamento", IF(P500&lt;&gt;"","Aguardando Entrada","")))</f>
        <v>Finalizado</v>
      </c>
      <c r="O5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00" s="4">
        <v>0.28819444444444442</v>
      </c>
      <c r="Q500" s="4">
        <v>0.30069444444444443</v>
      </c>
      <c r="R500" s="23">
        <v>0.35902777777777778</v>
      </c>
      <c r="S500" s="16"/>
      <c r="T500" s="14">
        <f>IF(OR(Tabela1[[#This Row],[Entrada]]="",Tabela1[[#This Row],[Saída]]=""), "", Tabela1[[#This Row],[Saída]]-Tabela1[[#This Row],[Entrada]])</f>
        <v>5.8333333333333348E-2</v>
      </c>
      <c r="U500" s="15">
        <f>IF(OR('Controle de CT'!$R500= "", 'Controle de CT'!$P500= ""), "", 'Controle de CT'!$R500-'Controle de CT'!$P500)</f>
        <v>7.0833333333333359E-2</v>
      </c>
      <c r="V500" s="1"/>
      <c r="W500" s="2"/>
      <c r="X500" s="2"/>
    </row>
    <row r="501" spans="11:24" ht="15" hidden="1" customHeight="1">
      <c r="K501" s="5">
        <v>46088</v>
      </c>
      <c r="L501" s="8" t="s">
        <v>90</v>
      </c>
      <c r="M501" s="9" t="str">
        <f>IF(Tabela1[[#This Row],[Motorista]]="","",IFERROR(_xlfn.XLOOKUP(Tabela1[[#This Row],[Motorista]],Base!A:A,Base!B:B),""))</f>
        <v>FOB</v>
      </c>
      <c r="N501" s="20" t="str">
        <f t="shared" si="21"/>
        <v/>
      </c>
      <c r="O5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1" s="4"/>
      <c r="Q501" s="4"/>
      <c r="R501" s="23"/>
      <c r="S501" s="16"/>
      <c r="T501" s="14" t="str">
        <f>IF(OR(Tabela1[[#This Row],[Entrada]]="",Tabela1[[#This Row],[Saída]]=""), "", Tabela1[[#This Row],[Saída]]-Tabela1[[#This Row],[Entrada]])</f>
        <v/>
      </c>
      <c r="U501" s="15" t="str">
        <f>IF(OR('Controle de CT'!$R501= "", 'Controle de CT'!$P501= ""), "", 'Controle de CT'!$R501-'Controle de CT'!$P501)</f>
        <v/>
      </c>
      <c r="V501" s="1"/>
      <c r="W501" s="2"/>
      <c r="X501" s="2"/>
    </row>
    <row r="502" spans="11:24" ht="15" hidden="1" customHeight="1">
      <c r="K502" s="5">
        <v>46088</v>
      </c>
      <c r="L502" s="8" t="s">
        <v>114</v>
      </c>
      <c r="M502" s="9" t="str">
        <f>IF(Tabela1[[#This Row],[Motorista]]="","",IFERROR(_xlfn.XLOOKUP(Tabela1[[#This Row],[Motorista]],Base!A:A,Base!B:B),""))</f>
        <v>FOB</v>
      </c>
      <c r="N502" s="20" t="str">
        <f t="shared" si="21"/>
        <v>Finalizado</v>
      </c>
      <c r="O5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2" s="4">
        <v>0.36458333333333331</v>
      </c>
      <c r="Q502" s="4">
        <v>0.41666666666666669</v>
      </c>
      <c r="R502" s="23">
        <v>0.50069444444444444</v>
      </c>
      <c r="S502" s="16"/>
      <c r="T502" s="14">
        <f>IF(OR(Tabela1[[#This Row],[Entrada]]="",Tabela1[[#This Row],[Saída]]=""), "", Tabela1[[#This Row],[Saída]]-Tabela1[[#This Row],[Entrada]])</f>
        <v>8.4027777777777757E-2</v>
      </c>
      <c r="U502" s="15">
        <f>IF(OR('Controle de CT'!$R502= "", 'Controle de CT'!$P502= ""), "", 'Controle de CT'!$R502-'Controle de CT'!$P502)</f>
        <v>0.13611111111111113</v>
      </c>
      <c r="V502" s="1"/>
      <c r="W502" s="2"/>
      <c r="X502" s="2"/>
    </row>
    <row r="503" spans="11:24" ht="15" hidden="1" customHeight="1">
      <c r="K503" s="5">
        <v>46088</v>
      </c>
      <c r="L503" s="8" t="s">
        <v>95</v>
      </c>
      <c r="M503" s="9" t="str">
        <f>IF(Tabela1[[#This Row],[Motorista]]="","",IFERROR(_xlfn.XLOOKUP(Tabela1[[#This Row],[Motorista]],Base!A:A,Base!B:B),""))</f>
        <v>FOB</v>
      </c>
      <c r="N503" s="20" t="str">
        <f t="shared" si="21"/>
        <v>Fila de Carregamento</v>
      </c>
      <c r="O5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3" s="4">
        <v>0.3611111111111111</v>
      </c>
      <c r="Q503" s="4">
        <v>0.39861111111111114</v>
      </c>
      <c r="R503" s="23"/>
      <c r="S503" s="16"/>
      <c r="T503" s="14" t="str">
        <f>IF(OR(Tabela1[[#This Row],[Entrada]]="",Tabela1[[#This Row],[Saída]]=""), "", Tabela1[[#This Row],[Saída]]-Tabela1[[#This Row],[Entrada]])</f>
        <v/>
      </c>
      <c r="U503" s="15" t="str">
        <f>IF(OR('Controle de CT'!$R503= "", 'Controle de CT'!$P503= ""), "", 'Controle de CT'!$R503-'Controle de CT'!$P503)</f>
        <v/>
      </c>
      <c r="V503" s="1"/>
      <c r="W503" s="2"/>
      <c r="X503" s="2"/>
    </row>
    <row r="504" spans="11:24" ht="15" hidden="1" customHeight="1">
      <c r="K504" s="5">
        <v>46088</v>
      </c>
      <c r="L504" s="8" t="s">
        <v>89</v>
      </c>
      <c r="M504" s="9" t="str">
        <f>IF(Tabela1[[#This Row],[Motorista]]="","",IFERROR(_xlfn.XLOOKUP(Tabela1[[#This Row],[Motorista]],Base!A:A,Base!B:B),""))</f>
        <v>FOB</v>
      </c>
      <c r="N504" s="20" t="str">
        <f t="shared" si="21"/>
        <v>Fila de Carregamento</v>
      </c>
      <c r="O5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4" s="4">
        <v>0.38263888888888886</v>
      </c>
      <c r="Q504" s="4">
        <v>0.4284722222222222</v>
      </c>
      <c r="R504" s="23"/>
      <c r="S504" s="16"/>
      <c r="T504" s="14" t="str">
        <f>IF(OR(Tabela1[[#This Row],[Entrada]]="",Tabela1[[#This Row],[Saída]]=""), "", Tabela1[[#This Row],[Saída]]-Tabela1[[#This Row],[Entrada]])</f>
        <v/>
      </c>
      <c r="U504" s="15" t="str">
        <f>IF(OR('Controle de CT'!$R504= "", 'Controle de CT'!$P504= ""), "", 'Controle de CT'!$R504-'Controle de CT'!$P504)</f>
        <v/>
      </c>
      <c r="V504" s="1"/>
      <c r="W504" s="2"/>
      <c r="X504" s="2"/>
    </row>
    <row r="505" spans="11:24" ht="15" hidden="1" customHeight="1">
      <c r="K505" s="5">
        <v>46088</v>
      </c>
      <c r="L505" s="8" t="s">
        <v>55</v>
      </c>
      <c r="M505" s="9" t="str">
        <f>IF(Tabela1[[#This Row],[Motorista]]="","",IFERROR(_xlfn.XLOOKUP(Tabela1[[#This Row],[Motorista]],Base!A:A,Base!B:B),""))</f>
        <v>CIF</v>
      </c>
      <c r="N505" s="20" t="str">
        <f t="shared" si="21"/>
        <v>Aguardando Entrada</v>
      </c>
      <c r="O5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05" s="4">
        <v>0.42638888888888887</v>
      </c>
      <c r="Q505" s="4"/>
      <c r="R505" s="23"/>
      <c r="S505" s="16"/>
      <c r="T505" s="14" t="str">
        <f>IF(OR(Tabela1[[#This Row],[Entrada]]="",Tabela1[[#This Row],[Saída]]=""), "", Tabela1[[#This Row],[Saída]]-Tabela1[[#This Row],[Entrada]])</f>
        <v/>
      </c>
      <c r="U505" s="15" t="str">
        <f>IF(OR('Controle de CT'!$R505= "", 'Controle de CT'!$P505= ""), "", 'Controle de CT'!$R505-'Controle de CT'!$P505)</f>
        <v/>
      </c>
      <c r="V505" s="1"/>
      <c r="W505" s="2"/>
      <c r="X505" s="2"/>
    </row>
    <row r="506" spans="11:24" ht="15" hidden="1" customHeight="1">
      <c r="K506" s="5">
        <v>46088</v>
      </c>
      <c r="L506" s="8" t="s">
        <v>56</v>
      </c>
      <c r="M506" s="9" t="str">
        <f>IF(Tabela1[[#This Row],[Motorista]]="","",IFERROR(_xlfn.XLOOKUP(Tabela1[[#This Row],[Motorista]],Base!A:A,Base!B:B),""))</f>
        <v/>
      </c>
      <c r="N506" s="20" t="str">
        <f t="shared" si="21"/>
        <v>Fila de Carregamento</v>
      </c>
      <c r="O5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06" s="4">
        <v>0.40069444444444446</v>
      </c>
      <c r="Q506" s="4">
        <v>0.4236111111111111</v>
      </c>
      <c r="R506" s="23"/>
      <c r="S506" s="16"/>
      <c r="T506" s="14" t="str">
        <f>IF(OR(Tabela1[[#This Row],[Entrada]]="",Tabela1[[#This Row],[Saída]]=""), "", Tabela1[[#This Row],[Saída]]-Tabela1[[#This Row],[Entrada]])</f>
        <v/>
      </c>
      <c r="U506" s="15" t="str">
        <f>IF(OR('Controle de CT'!$R506= "", 'Controle de CT'!$P506= ""), "", 'Controle de CT'!$R506-'Controle de CT'!$P506)</f>
        <v/>
      </c>
      <c r="V506" s="1"/>
      <c r="W506" s="2"/>
      <c r="X506" s="2"/>
    </row>
    <row r="507" spans="11:24" ht="15" hidden="1" customHeight="1">
      <c r="K507" s="5">
        <v>46088</v>
      </c>
      <c r="L507" s="8" t="s">
        <v>93</v>
      </c>
      <c r="M507" s="9" t="str">
        <f>IF(Tabela1[[#This Row],[Motorista]]="","",IFERROR(_xlfn.XLOOKUP(Tabela1[[#This Row],[Motorista]],Base!A:A,Base!B:B),""))</f>
        <v>FOB</v>
      </c>
      <c r="N507" s="20" t="str">
        <f t="shared" si="21"/>
        <v>Aguardando Entrada</v>
      </c>
      <c r="O5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07" s="4">
        <v>0.4513888888888889</v>
      </c>
      <c r="Q507" s="4"/>
      <c r="R507" s="23"/>
      <c r="S507" s="16"/>
      <c r="T507" s="14" t="str">
        <f>IF(OR(Tabela1[[#This Row],[Entrada]]="",Tabela1[[#This Row],[Saída]]=""), "", Tabela1[[#This Row],[Saída]]-Tabela1[[#This Row],[Entrada]])</f>
        <v/>
      </c>
      <c r="U507" s="15" t="str">
        <f>IF(OR('Controle de CT'!$R507= "", 'Controle de CT'!$P507= ""), "", 'Controle de CT'!$R507-'Controle de CT'!$P507)</f>
        <v/>
      </c>
      <c r="V507" s="1"/>
      <c r="W507" s="2"/>
      <c r="X507" s="2"/>
    </row>
    <row r="508" spans="11:24" ht="15" hidden="1" customHeight="1">
      <c r="K508" s="5">
        <v>46088</v>
      </c>
      <c r="L508" s="8" t="s">
        <v>92</v>
      </c>
      <c r="M508" s="9" t="str">
        <f>IF(Tabela1[[#This Row],[Motorista]]="","",IFERROR(_xlfn.XLOOKUP(Tabela1[[#This Row],[Motorista]],Base!A:A,Base!B:B),""))</f>
        <v>FOB</v>
      </c>
      <c r="N508" s="20" t="str">
        <f t="shared" si="21"/>
        <v>Fila de Carregamento</v>
      </c>
      <c r="O5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08" s="4">
        <v>0.47291666666666665</v>
      </c>
      <c r="Q508" s="4">
        <v>0.4861111111111111</v>
      </c>
      <c r="R508" s="23"/>
      <c r="S508" s="16"/>
      <c r="T508" s="14" t="str">
        <f>IF(OR(Tabela1[[#This Row],[Entrada]]="",Tabela1[[#This Row],[Saída]]=""), "", Tabela1[[#This Row],[Saída]]-Tabela1[[#This Row],[Entrada]])</f>
        <v/>
      </c>
      <c r="U508" s="15" t="str">
        <f>IF(OR('Controle de CT'!$R508= "", 'Controle de CT'!$P508= ""), "", 'Controle de CT'!$R508-'Controle de CT'!$P508)</f>
        <v/>
      </c>
      <c r="V508" s="1"/>
      <c r="W508" s="2"/>
      <c r="X508" s="2"/>
    </row>
    <row r="509" spans="11:24" ht="15" hidden="1" customHeight="1">
      <c r="K509" s="5">
        <v>46088</v>
      </c>
      <c r="L509" s="8" t="s">
        <v>58</v>
      </c>
      <c r="M509" s="9" t="str">
        <f>IF(Tabela1[[#This Row],[Motorista]]="","",IFERROR(_xlfn.XLOOKUP(Tabela1[[#This Row],[Motorista]],Base!A:A,Base!B:B),""))</f>
        <v xml:space="preserve">CIF </v>
      </c>
      <c r="N509" s="20" t="str">
        <f t="shared" si="21"/>
        <v>Fila de Carregamento</v>
      </c>
      <c r="O5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09" s="4">
        <v>0.45624999999999999</v>
      </c>
      <c r="Q509" s="4">
        <v>0.47847222222222224</v>
      </c>
      <c r="R509" s="23"/>
      <c r="S509" s="16"/>
      <c r="T509" s="14" t="str">
        <f>IF(OR(Tabela1[[#This Row],[Entrada]]="",Tabela1[[#This Row],[Saída]]=""), "", Tabela1[[#This Row],[Saída]]-Tabela1[[#This Row],[Entrada]])</f>
        <v/>
      </c>
      <c r="U509" s="15" t="str">
        <f>IF(OR('Controle de CT'!$R509= "", 'Controle de CT'!$P509= ""), "", 'Controle de CT'!$R509-'Controle de CT'!$P509)</f>
        <v/>
      </c>
      <c r="V509" s="1"/>
      <c r="W509" s="2"/>
      <c r="X509" s="2"/>
    </row>
    <row r="510" spans="11:24" ht="15" hidden="1" customHeight="1">
      <c r="K510" s="5">
        <v>46088</v>
      </c>
      <c r="L510" s="8" t="s">
        <v>42</v>
      </c>
      <c r="M510" s="9" t="str">
        <f>IF(Tabela1[[#This Row],[Motorista]]="","",IFERROR(_xlfn.XLOOKUP(Tabela1[[#This Row],[Motorista]],Base!A:A,Base!B:B),""))</f>
        <v>CIF</v>
      </c>
      <c r="N510" s="20" t="str">
        <f t="shared" si="21"/>
        <v>Fila de Carregamento</v>
      </c>
      <c r="O5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10" s="4">
        <v>0.45347222222222222</v>
      </c>
      <c r="Q510" s="4">
        <v>0.47499999999999998</v>
      </c>
      <c r="R510" s="23"/>
      <c r="S510" s="16"/>
      <c r="T510" s="14" t="str">
        <f>IF(OR(Tabela1[[#This Row],[Entrada]]="",Tabela1[[#This Row],[Saída]]=""), "", Tabela1[[#This Row],[Saída]]-Tabela1[[#This Row],[Entrada]])</f>
        <v/>
      </c>
      <c r="U510" s="15" t="str">
        <f>IF(OR('Controle de CT'!$R510= "", 'Controle de CT'!$P510= ""), "", 'Controle de CT'!$R510-'Controle de CT'!$P510)</f>
        <v/>
      </c>
      <c r="V510" s="1"/>
      <c r="W510" s="2"/>
      <c r="X510" s="2"/>
    </row>
    <row r="511" spans="11:24" ht="15" hidden="1" customHeight="1">
      <c r="K511" s="5">
        <v>46088</v>
      </c>
      <c r="L511" s="8" t="s">
        <v>57</v>
      </c>
      <c r="M511" s="9" t="str">
        <f>IF(Tabela1[[#This Row],[Motorista]]="","",IFERROR(_xlfn.XLOOKUP(Tabela1[[#This Row],[Motorista]],Base!A:A,Base!B:B),""))</f>
        <v>CIF</v>
      </c>
      <c r="N511" s="20" t="str">
        <f t="shared" si="21"/>
        <v>Fila de Carregamento</v>
      </c>
      <c r="O5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11" s="4">
        <v>0.49930555555555556</v>
      </c>
      <c r="Q511" s="4">
        <v>0.52013888888888893</v>
      </c>
      <c r="R511" s="23"/>
      <c r="S511" s="16"/>
      <c r="T511" s="14" t="str">
        <f>IF(OR(Tabela1[[#This Row],[Entrada]]="",Tabela1[[#This Row],[Saída]]=""), "", Tabela1[[#This Row],[Saída]]-Tabela1[[#This Row],[Entrada]])</f>
        <v/>
      </c>
      <c r="U511" s="15" t="str">
        <f>IF(OR('Controle de CT'!$R511= "", 'Controle de CT'!$P511= ""), "", 'Controle de CT'!$R511-'Controle de CT'!$P511)</f>
        <v/>
      </c>
      <c r="V511" s="1"/>
      <c r="W511" s="2"/>
      <c r="X511" s="2"/>
    </row>
    <row r="512" spans="11:24" ht="15" hidden="1" customHeight="1">
      <c r="K512" s="5">
        <v>46090</v>
      </c>
      <c r="L512" s="8" t="s">
        <v>108</v>
      </c>
      <c r="M512" s="9" t="str">
        <f>IF(Tabela1[[#This Row],[Motorista]]="","",IFERROR(_xlfn.XLOOKUP(Tabela1[[#This Row],[Motorista]],Base!A:A,Base!B:B),""))</f>
        <v>Transferência</v>
      </c>
      <c r="N512" s="20" t="str">
        <f t="shared" si="21"/>
        <v>Fila de Carregamento</v>
      </c>
      <c r="O5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2" s="4">
        <v>0.17847222222222223</v>
      </c>
      <c r="Q512" s="4">
        <v>0.2986111111111111</v>
      </c>
      <c r="R512" s="23"/>
      <c r="S512" s="16" t="s">
        <v>85</v>
      </c>
      <c r="T512" s="14" t="str">
        <f>IF(OR(Tabela1[[#This Row],[Entrada]]="",Tabela1[[#This Row],[Saída]]=""), "", Tabela1[[#This Row],[Saída]]-Tabela1[[#This Row],[Entrada]])</f>
        <v/>
      </c>
      <c r="U512" s="15" t="str">
        <f>IF(OR('Controle de CT'!$R512= "", 'Controle de CT'!$P512= ""), "", 'Controle de CT'!$R512-'Controle de CT'!$P512)</f>
        <v/>
      </c>
      <c r="V512" s="1"/>
      <c r="W512" s="2"/>
      <c r="X512" s="2"/>
    </row>
    <row r="513" spans="11:24" ht="15" hidden="1" customHeight="1">
      <c r="K513" s="5">
        <v>46090</v>
      </c>
      <c r="L513" s="8" t="s">
        <v>101</v>
      </c>
      <c r="M513" s="9" t="str">
        <f>IF(Tabela1[[#This Row],[Motorista]]="","",IFERROR(_xlfn.XLOOKUP(Tabela1[[#This Row],[Motorista]],Base!A:A,Base!B:B),""))</f>
        <v>FOB</v>
      </c>
      <c r="N513" s="20" t="str">
        <f t="shared" si="21"/>
        <v>Finalizado</v>
      </c>
      <c r="O5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3" s="4">
        <v>0.21458333333333332</v>
      </c>
      <c r="Q513" s="4"/>
      <c r="R513" s="23">
        <v>0.31944444444444442</v>
      </c>
      <c r="S513" s="16" t="s">
        <v>85</v>
      </c>
      <c r="T513" s="14" t="str">
        <f>IF(OR(Tabela1[[#This Row],[Entrada]]="",Tabela1[[#This Row],[Saída]]=""), "", Tabela1[[#This Row],[Saída]]-Tabela1[[#This Row],[Entrada]])</f>
        <v/>
      </c>
      <c r="U513" s="15">
        <f>IF(OR('Controle de CT'!$R513= "", 'Controle de CT'!$P513= ""), "", 'Controle de CT'!$R513-'Controle de CT'!$P513)</f>
        <v>0.1048611111111111</v>
      </c>
      <c r="V513" s="1"/>
      <c r="W513" s="2"/>
      <c r="X513" s="2"/>
    </row>
    <row r="514" spans="11:24" ht="15" hidden="1" customHeight="1">
      <c r="K514" s="5">
        <v>46090</v>
      </c>
      <c r="L514" s="8" t="s">
        <v>52</v>
      </c>
      <c r="M514" s="9" t="str">
        <f>IF(Tabela1[[#This Row],[Motorista]]="","",IFERROR(_xlfn.XLOOKUP(Tabela1[[#This Row],[Motorista]],Base!A:A,Base!B:B),""))</f>
        <v>CIF</v>
      </c>
      <c r="N514" s="20" t="str">
        <f t="shared" si="21"/>
        <v>Fila de Carregamento</v>
      </c>
      <c r="O5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4" s="4">
        <v>0.25347222222222221</v>
      </c>
      <c r="Q514" s="4">
        <v>0.2722222222222222</v>
      </c>
      <c r="R514" s="23"/>
      <c r="S514" s="16" t="s">
        <v>85</v>
      </c>
      <c r="T514" s="14" t="str">
        <f>IF(OR(Tabela1[[#This Row],[Entrada]]="",Tabela1[[#This Row],[Saída]]=""), "", Tabela1[[#This Row],[Saída]]-Tabela1[[#This Row],[Entrada]])</f>
        <v/>
      </c>
      <c r="U514" s="15" t="str">
        <f>IF(OR('Controle de CT'!$R514= "", 'Controle de CT'!$P514= ""), "", 'Controle de CT'!$R514-'Controle de CT'!$P514)</f>
        <v/>
      </c>
      <c r="V514" s="1"/>
      <c r="W514" s="2"/>
      <c r="X514" s="2"/>
    </row>
    <row r="515" spans="11:24" ht="15" hidden="1" customHeight="1">
      <c r="K515" s="5">
        <v>46090</v>
      </c>
      <c r="L515" s="8" t="s">
        <v>58</v>
      </c>
      <c r="M515" s="9" t="str">
        <f>IF(Tabela1[[#This Row],[Motorista]]="","",IFERROR(_xlfn.XLOOKUP(Tabela1[[#This Row],[Motorista]],Base!A:A,Base!B:B),""))</f>
        <v xml:space="preserve">CIF </v>
      </c>
      <c r="N515" s="20" t="str">
        <f t="shared" si="21"/>
        <v>Fila de Carregamento</v>
      </c>
      <c r="O5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15" s="4">
        <v>0.25694444444444442</v>
      </c>
      <c r="Q515" s="4">
        <v>0.26805555555555555</v>
      </c>
      <c r="R515" s="23"/>
      <c r="S515" s="16" t="s">
        <v>85</v>
      </c>
      <c r="T515" s="14" t="str">
        <f>IF(OR(Tabela1[[#This Row],[Entrada]]="",Tabela1[[#This Row],[Saída]]=""), "", Tabela1[[#This Row],[Saída]]-Tabela1[[#This Row],[Entrada]])</f>
        <v/>
      </c>
      <c r="U515" s="15" t="str">
        <f>IF(OR('Controle de CT'!$R515= "", 'Controle de CT'!$P515= ""), "", 'Controle de CT'!$R515-'Controle de CT'!$P515)</f>
        <v/>
      </c>
      <c r="V515" s="1"/>
      <c r="W515" s="2"/>
      <c r="X515" s="2"/>
    </row>
    <row r="516" spans="11:24" ht="15" hidden="1" customHeight="1">
      <c r="K516" s="5">
        <v>46090</v>
      </c>
      <c r="L516" s="8" t="s">
        <v>55</v>
      </c>
      <c r="M516" s="9" t="str">
        <f>IF(Tabela1[[#This Row],[Motorista]]="","",IFERROR(_xlfn.XLOOKUP(Tabela1[[#This Row],[Motorista]],Base!A:A,Base!B:B),""))</f>
        <v>CIF</v>
      </c>
      <c r="N516" s="20" t="str">
        <f t="shared" si="21"/>
        <v>Finalizado</v>
      </c>
      <c r="O5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6" s="4">
        <v>0.25763888888888886</v>
      </c>
      <c r="Q516" s="4">
        <v>0.28263888888888888</v>
      </c>
      <c r="R516" s="23">
        <v>0.32916666666666666</v>
      </c>
      <c r="S516" s="16" t="s">
        <v>85</v>
      </c>
      <c r="T516" s="14">
        <f>IF(OR(Tabela1[[#This Row],[Entrada]]="",Tabela1[[#This Row],[Saída]]=""), "", Tabela1[[#This Row],[Saída]]-Tabela1[[#This Row],[Entrada]])</f>
        <v>4.6527777777777779E-2</v>
      </c>
      <c r="U516" s="15">
        <f>IF(OR('Controle de CT'!$R516= "", 'Controle de CT'!$P516= ""), "", 'Controle de CT'!$R516-'Controle de CT'!$P516)</f>
        <v>7.1527777777777801E-2</v>
      </c>
      <c r="V516" s="1"/>
      <c r="W516" s="2"/>
      <c r="X516" s="2"/>
    </row>
    <row r="517" spans="11:24" ht="15" hidden="1" customHeight="1">
      <c r="K517" s="5">
        <v>46090</v>
      </c>
      <c r="L517" s="8" t="s">
        <v>57</v>
      </c>
      <c r="M517" s="9" t="str">
        <f>IF(Tabela1[[#This Row],[Motorista]]="","",IFERROR(_xlfn.XLOOKUP(Tabela1[[#This Row],[Motorista]],Base!A:A,Base!B:B),""))</f>
        <v>CIF</v>
      </c>
      <c r="N517" s="20" t="str">
        <f t="shared" si="21"/>
        <v>Finalizado</v>
      </c>
      <c r="O5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7" s="4"/>
      <c r="Q517" s="4"/>
      <c r="R517" s="23">
        <v>0.36319444444444443</v>
      </c>
      <c r="S517" s="16" t="s">
        <v>85</v>
      </c>
      <c r="T517" s="14" t="str">
        <f>IF(OR(Tabela1[[#This Row],[Entrada]]="",Tabela1[[#This Row],[Saída]]=""), "", Tabela1[[#This Row],[Saída]]-Tabela1[[#This Row],[Entrada]])</f>
        <v/>
      </c>
      <c r="U517" s="15" t="str">
        <f>IF(OR('Controle de CT'!$R517= "", 'Controle de CT'!$P517= ""), "", 'Controle de CT'!$R517-'Controle de CT'!$P517)</f>
        <v/>
      </c>
      <c r="V517" s="1"/>
      <c r="W517" s="2"/>
      <c r="X517" s="2"/>
    </row>
    <row r="518" spans="11:24" ht="15" hidden="1" customHeight="1">
      <c r="K518" s="5">
        <v>46090</v>
      </c>
      <c r="L518" s="8" t="s">
        <v>86</v>
      </c>
      <c r="M518" s="9" t="str">
        <f>IF(Tabela1[[#This Row],[Motorista]]="","",IFERROR(_xlfn.XLOOKUP(Tabela1[[#This Row],[Motorista]],Base!A:A,Base!B:B),""))</f>
        <v>FOB</v>
      </c>
      <c r="N518" s="20" t="str">
        <f t="shared" ref="N518:N545" si="22">IF(R518&lt;&gt;"","Finalizado", IF(Q518&lt;&gt;"","Fila de Carregamento", IF(P518&lt;&gt;"","Aguardando Entrada","")))</f>
        <v>Finalizado</v>
      </c>
      <c r="O5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18" s="4">
        <v>0.29444444444444445</v>
      </c>
      <c r="Q518" s="4">
        <v>0.33333333333333331</v>
      </c>
      <c r="R518" s="23">
        <v>0.39930555555555558</v>
      </c>
      <c r="S518" s="16" t="s">
        <v>85</v>
      </c>
      <c r="T518" s="14">
        <f>IF(OR(Tabela1[[#This Row],[Entrada]]="",Tabela1[[#This Row],[Saída]]=""), "", Tabela1[[#This Row],[Saída]]-Tabela1[[#This Row],[Entrada]])</f>
        <v>6.5972222222222265E-2</v>
      </c>
      <c r="U518" s="15">
        <f>IF(OR('Controle de CT'!$R518= "", 'Controle de CT'!$P518= ""), "", 'Controle de CT'!$R518-'Controle de CT'!$P518)</f>
        <v>0.10486111111111113</v>
      </c>
      <c r="V518" s="1"/>
      <c r="W518" s="2"/>
      <c r="X518" s="2"/>
    </row>
    <row r="519" spans="11:24" ht="15" hidden="1" customHeight="1">
      <c r="K519" s="5">
        <v>46090</v>
      </c>
      <c r="L519" s="8" t="s">
        <v>146</v>
      </c>
      <c r="M519" s="9" t="str">
        <f>IF(Tabela1[[#This Row],[Motorista]]="","",IFERROR(_xlfn.XLOOKUP(Tabela1[[#This Row],[Motorista]],Base!A:A,Base!B:B),""))</f>
        <v>Transferência</v>
      </c>
      <c r="N519" s="20" t="str">
        <f t="shared" si="22"/>
        <v>Fila de Carregamento</v>
      </c>
      <c r="O5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19" s="2">
        <v>0.31388888888888888</v>
      </c>
      <c r="Q519" s="2">
        <v>0.29166666666666669</v>
      </c>
      <c r="R519" s="16"/>
      <c r="S519" s="16"/>
      <c r="T519" s="14" t="str">
        <f>IF(OR(Tabela1[[#This Row],[Entrada]]="",Tabela1[[#This Row],[Saída]]=""), "", Tabela1[[#This Row],[Saída]]-Tabela1[[#This Row],[Entrada]])</f>
        <v/>
      </c>
      <c r="U519" s="15" t="str">
        <f>IF(OR('Controle de CT'!$R519= "", 'Controle de CT'!$P519= ""), "", 'Controle de CT'!$R519-'Controle de CT'!$P519)</f>
        <v/>
      </c>
      <c r="V519" s="1"/>
      <c r="W519" s="2"/>
      <c r="X519" s="2"/>
    </row>
    <row r="520" spans="11:24" ht="15" hidden="1" customHeight="1">
      <c r="K520" s="5">
        <v>46090</v>
      </c>
      <c r="L520" s="8" t="s">
        <v>92</v>
      </c>
      <c r="M520" s="9" t="str">
        <f>IF(Tabela1[[#This Row],[Motorista]]="","",IFERROR(_xlfn.XLOOKUP(Tabela1[[#This Row],[Motorista]],Base!A:A,Base!B:B),""))</f>
        <v>FOB</v>
      </c>
      <c r="N520" s="20" t="str">
        <f t="shared" si="22"/>
        <v>Finalizado</v>
      </c>
      <c r="O5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20" s="2">
        <v>0.29375000000000001</v>
      </c>
      <c r="Q520" s="2">
        <v>0.32569444444444445</v>
      </c>
      <c r="R520" s="16">
        <v>0.37222222222222223</v>
      </c>
      <c r="S520" s="16" t="s">
        <v>85</v>
      </c>
      <c r="T520" s="14">
        <f>IF(OR(Tabela1[[#This Row],[Entrada]]="",Tabela1[[#This Row],[Saída]]=""), "", Tabela1[[#This Row],[Saída]]-Tabela1[[#This Row],[Entrada]])</f>
        <v>4.6527777777777779E-2</v>
      </c>
      <c r="U520" s="15">
        <f>IF(OR('Controle de CT'!$R520= "", 'Controle de CT'!$P520= ""), "", 'Controle de CT'!$R520-'Controle de CT'!$P520)</f>
        <v>7.8472222222222221E-2</v>
      </c>
      <c r="V520" s="1"/>
      <c r="W520" s="2"/>
      <c r="X520" s="2"/>
    </row>
    <row r="521" spans="11:24" ht="15" hidden="1" customHeight="1">
      <c r="K521" s="5">
        <v>46090</v>
      </c>
      <c r="L521" s="8" t="s">
        <v>137</v>
      </c>
      <c r="M521" s="9" t="str">
        <f>IF(Tabela1[[#This Row],[Motorista]]="","",IFERROR(_xlfn.XLOOKUP(Tabela1[[#This Row],[Motorista]],Base!A:A,Base!B:B),""))</f>
        <v>RZD</v>
      </c>
      <c r="N521" s="20" t="str">
        <f t="shared" si="22"/>
        <v>Aguardando Entrada</v>
      </c>
      <c r="O5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1" s="2">
        <v>0.26944444444444443</v>
      </c>
      <c r="R521" s="16"/>
      <c r="S521" s="16"/>
      <c r="T521" s="14" t="str">
        <f>IF(OR(Tabela1[[#This Row],[Entrada]]="",Tabela1[[#This Row],[Saída]]=""), "", Tabela1[[#This Row],[Saída]]-Tabela1[[#This Row],[Entrada]])</f>
        <v/>
      </c>
      <c r="U521" s="15" t="str">
        <f>IF(OR('Controle de CT'!$R521= "", 'Controle de CT'!$P521= ""), "", 'Controle de CT'!$R521-'Controle de CT'!$P521)</f>
        <v/>
      </c>
      <c r="V521" s="1"/>
      <c r="W521" s="2"/>
      <c r="X521" s="2"/>
    </row>
    <row r="522" spans="11:24" ht="15" hidden="1" customHeight="1">
      <c r="K522" s="5">
        <v>46090</v>
      </c>
      <c r="L522" s="8" t="s">
        <v>104</v>
      </c>
      <c r="M522" s="9" t="str">
        <f>IF(Tabela1[[#This Row],[Motorista]]="","",IFERROR(_xlfn.XLOOKUP(Tabela1[[#This Row],[Motorista]],Base!A:A,Base!B:B),""))</f>
        <v>RZD</v>
      </c>
      <c r="N522" s="20" t="str">
        <f t="shared" si="22"/>
        <v>Aguardando Entrada</v>
      </c>
      <c r="O5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2" s="2">
        <v>0.26944444444444443</v>
      </c>
      <c r="R522" s="16"/>
      <c r="S522" s="16"/>
      <c r="T522" s="14" t="str">
        <f>IF(OR(Tabela1[[#This Row],[Entrada]]="",Tabela1[[#This Row],[Saída]]=""), "", Tabela1[[#This Row],[Saída]]-Tabela1[[#This Row],[Entrada]])</f>
        <v/>
      </c>
      <c r="U522" s="15" t="str">
        <f>IF(OR('Controle de CT'!$R522= "", 'Controle de CT'!$P522= ""), "", 'Controle de CT'!$R522-'Controle de CT'!$P522)</f>
        <v/>
      </c>
      <c r="V522" s="1"/>
      <c r="W522" s="2"/>
      <c r="X522" s="2"/>
    </row>
    <row r="523" spans="11:24" ht="15" hidden="1" customHeight="1">
      <c r="K523" s="5">
        <v>46090</v>
      </c>
      <c r="L523" s="8" t="s">
        <v>123</v>
      </c>
      <c r="M523" s="9" t="str">
        <f>IF(Tabela1[[#This Row],[Motorista]]="","",IFERROR(_xlfn.XLOOKUP(Tabela1[[#This Row],[Motorista]],Base!A:A,Base!B:B),""))</f>
        <v>RZD</v>
      </c>
      <c r="N523" s="20" t="str">
        <f t="shared" si="22"/>
        <v>Aguardando Entrada</v>
      </c>
      <c r="O5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3" s="2">
        <v>0.26944444444444443</v>
      </c>
      <c r="R523" s="16"/>
      <c r="S523" s="16"/>
      <c r="T523" s="14" t="str">
        <f>IF(OR(Tabela1[[#This Row],[Entrada]]="",Tabela1[[#This Row],[Saída]]=""), "", Tabela1[[#This Row],[Saída]]-Tabela1[[#This Row],[Entrada]])</f>
        <v/>
      </c>
      <c r="U523" s="15" t="str">
        <f>IF(OR('Controle de CT'!$R523= "", 'Controle de CT'!$P523= ""), "", 'Controle de CT'!$R523-'Controle de CT'!$P523)</f>
        <v/>
      </c>
      <c r="V523" s="1"/>
      <c r="W523" s="2"/>
      <c r="X523" s="2"/>
    </row>
    <row r="524" spans="11:24" ht="15" hidden="1" customHeight="1">
      <c r="K524" s="5">
        <v>46090</v>
      </c>
      <c r="L524" s="8" t="s">
        <v>130</v>
      </c>
      <c r="M524" s="9" t="str">
        <f>IF(Tabela1[[#This Row],[Motorista]]="","",IFERROR(_xlfn.XLOOKUP(Tabela1[[#This Row],[Motorista]],Base!A:A,Base!B:B),""))</f>
        <v>RZD</v>
      </c>
      <c r="N524" s="20" t="str">
        <f t="shared" si="22"/>
        <v>Aguardando Entrada</v>
      </c>
      <c r="O5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4" s="2">
        <v>0.31319444444444444</v>
      </c>
      <c r="R524" s="16"/>
      <c r="S524" s="16"/>
      <c r="T524" s="14" t="str">
        <f>IF(OR(Tabela1[[#This Row],[Entrada]]="",Tabela1[[#This Row],[Saída]]=""), "", Tabela1[[#This Row],[Saída]]-Tabela1[[#This Row],[Entrada]])</f>
        <v/>
      </c>
      <c r="U524" s="15" t="str">
        <f>IF(OR('Controle de CT'!$R524= "", 'Controle de CT'!$P524= ""), "", 'Controle de CT'!$R524-'Controle de CT'!$P524)</f>
        <v/>
      </c>
      <c r="V524" s="1"/>
      <c r="W524" s="2"/>
      <c r="X524" s="2"/>
    </row>
    <row r="525" spans="11:24" ht="15" hidden="1" customHeight="1">
      <c r="K525" s="5">
        <v>46090</v>
      </c>
      <c r="L525" s="8" t="s">
        <v>42</v>
      </c>
      <c r="M525" s="9" t="str">
        <f>IF(Tabela1[[#This Row],[Motorista]]="","",IFERROR(_xlfn.XLOOKUP(Tabela1[[#This Row],[Motorista]],Base!A:A,Base!B:B),""))</f>
        <v>CIF</v>
      </c>
      <c r="N525" s="20" t="str">
        <f t="shared" si="22"/>
        <v>Finalizado</v>
      </c>
      <c r="O5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25" s="2">
        <v>0.34236111111111112</v>
      </c>
      <c r="Q525" s="2">
        <v>0.28125</v>
      </c>
      <c r="R525" s="16">
        <v>0.34236111111111112</v>
      </c>
      <c r="S525" s="16" t="s">
        <v>85</v>
      </c>
      <c r="T525" s="14">
        <f>IF(OR(Tabela1[[#This Row],[Entrada]]="",Tabela1[[#This Row],[Saída]]=""), "", Tabela1[[#This Row],[Saída]]-Tabela1[[#This Row],[Entrada]])</f>
        <v>6.1111111111111116E-2</v>
      </c>
      <c r="U525" s="15">
        <f>IF(OR('Controle de CT'!$R525= "", 'Controle de CT'!$P525= ""), "", 'Controle de CT'!$R525-'Controle de CT'!$P525)</f>
        <v>0</v>
      </c>
      <c r="V525" s="1"/>
      <c r="W525" s="2"/>
      <c r="X525" s="2"/>
    </row>
    <row r="526" spans="11:24" ht="15" hidden="1" customHeight="1">
      <c r="K526" s="5">
        <v>46090</v>
      </c>
      <c r="L526" s="8" t="s">
        <v>90</v>
      </c>
      <c r="M526" s="9" t="str">
        <f>IF(Tabela1[[#This Row],[Motorista]]="","",IFERROR(_xlfn.XLOOKUP(Tabela1[[#This Row],[Motorista]],Base!A:A,Base!B:B),""))</f>
        <v>FOB</v>
      </c>
      <c r="N526" s="20" t="str">
        <f t="shared" si="22"/>
        <v>Finalizado</v>
      </c>
      <c r="O5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6" s="2">
        <v>0.35555555555555557</v>
      </c>
      <c r="Q526" s="2">
        <v>0.38263888888888886</v>
      </c>
      <c r="R526" s="16">
        <v>0.44097222222222221</v>
      </c>
      <c r="S526" s="16" t="s">
        <v>85</v>
      </c>
      <c r="T526" s="14">
        <f>IF(OR(Tabela1[[#This Row],[Entrada]]="",Tabela1[[#This Row],[Saída]]=""), "", Tabela1[[#This Row],[Saída]]-Tabela1[[#This Row],[Entrada]])</f>
        <v>5.8333333333333348E-2</v>
      </c>
      <c r="U526" s="15">
        <f>IF(OR('Controle de CT'!$R526= "", 'Controle de CT'!$P526= ""), "", 'Controle de CT'!$R526-'Controle de CT'!$P526)</f>
        <v>8.5416666666666641E-2</v>
      </c>
      <c r="V526" s="1"/>
      <c r="W526" s="2"/>
      <c r="X526" s="2"/>
    </row>
    <row r="527" spans="11:24" ht="15" hidden="1" customHeight="1">
      <c r="K527" s="5">
        <v>46090</v>
      </c>
      <c r="L527" s="8" t="s">
        <v>87</v>
      </c>
      <c r="M527" s="9" t="str">
        <f>IF(Tabela1[[#This Row],[Motorista]]="","",IFERROR(_xlfn.XLOOKUP(Tabela1[[#This Row],[Motorista]],Base!A:A,Base!B:B),""))</f>
        <v>FOB</v>
      </c>
      <c r="N527" s="20" t="str">
        <f t="shared" si="22"/>
        <v>Fila de Carregamento</v>
      </c>
      <c r="O5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7" s="2">
        <v>0.3611111111111111</v>
      </c>
      <c r="Q527" s="2">
        <v>0.48055555555555557</v>
      </c>
      <c r="R527" s="16"/>
      <c r="S527" s="16"/>
      <c r="T527" s="14" t="str">
        <f>IF(OR(Tabela1[[#This Row],[Entrada]]="",Tabela1[[#This Row],[Saída]]=""), "", Tabela1[[#This Row],[Saída]]-Tabela1[[#This Row],[Entrada]])</f>
        <v/>
      </c>
      <c r="U527" s="15" t="str">
        <f>IF(OR('Controle de CT'!$R527= "", 'Controle de CT'!$P527= ""), "", 'Controle de CT'!$R527-'Controle de CT'!$P527)</f>
        <v/>
      </c>
      <c r="V527" s="1" t="s">
        <v>170</v>
      </c>
      <c r="W527" s="2"/>
      <c r="X527" s="2"/>
    </row>
    <row r="528" spans="11:24" ht="15" hidden="1" customHeight="1">
      <c r="K528" s="5">
        <v>46090</v>
      </c>
      <c r="L528" s="8" t="s">
        <v>49</v>
      </c>
      <c r="M528" s="9" t="str">
        <f>IF(Tabela1[[#This Row],[Motorista]]="","",IFERROR(_xlfn.XLOOKUP(Tabela1[[#This Row],[Motorista]],Base!A:A,Base!B:B),""))</f>
        <v>CIF</v>
      </c>
      <c r="N528" s="20" t="str">
        <f t="shared" si="22"/>
        <v>Finalizado</v>
      </c>
      <c r="O5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8" s="2">
        <v>0.35416666666666669</v>
      </c>
      <c r="Q528" s="2">
        <v>0.36458333333333331</v>
      </c>
      <c r="R528" s="16">
        <v>0.42291666666666666</v>
      </c>
      <c r="S528" s="16" t="s">
        <v>85</v>
      </c>
      <c r="T528" s="14">
        <f>IF(OR(Tabela1[[#This Row],[Entrada]]="",Tabela1[[#This Row],[Saída]]=""), "", Tabela1[[#This Row],[Saída]]-Tabela1[[#This Row],[Entrada]])</f>
        <v>5.8333333333333348E-2</v>
      </c>
      <c r="U528" s="15">
        <f>IF(OR('Controle de CT'!$R528= "", 'Controle de CT'!$P528= ""), "", 'Controle de CT'!$R528-'Controle de CT'!$P528)</f>
        <v>6.8749999999999978E-2</v>
      </c>
      <c r="V528" s="1"/>
      <c r="W528" s="2"/>
      <c r="X528" s="2"/>
    </row>
    <row r="529" spans="11:24" ht="15" hidden="1" customHeight="1">
      <c r="K529" s="5">
        <v>46090</v>
      </c>
      <c r="L529" s="8" t="s">
        <v>45</v>
      </c>
      <c r="M529" s="9" t="str">
        <f>IF(Tabela1[[#This Row],[Motorista]]="","",IFERROR(_xlfn.XLOOKUP(Tabela1[[#This Row],[Motorista]],Base!A:A,Base!B:B),""))</f>
        <v>CIF</v>
      </c>
      <c r="N529" s="20" t="str">
        <f t="shared" si="22"/>
        <v>Finalizado</v>
      </c>
      <c r="O5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29" s="2">
        <v>0.3611111111111111</v>
      </c>
      <c r="Q529" s="2">
        <v>0.37222222222222223</v>
      </c>
      <c r="R529" s="16">
        <v>0.42430555555555555</v>
      </c>
      <c r="S529" s="16" t="s">
        <v>85</v>
      </c>
      <c r="T529" s="14">
        <f>IF(OR(Tabela1[[#This Row],[Entrada]]="",Tabela1[[#This Row],[Saída]]=""), "", Tabela1[[#This Row],[Saída]]-Tabela1[[#This Row],[Entrada]])</f>
        <v>5.2083333333333315E-2</v>
      </c>
      <c r="U529" s="15">
        <f>IF(OR('Controle de CT'!$R529= "", 'Controle de CT'!$P529= ""), "", 'Controle de CT'!$R529-'Controle de CT'!$P529)</f>
        <v>6.3194444444444442E-2</v>
      </c>
      <c r="V529" s="1"/>
      <c r="W529" s="2"/>
      <c r="X529" s="2"/>
    </row>
    <row r="530" spans="11:24" ht="15" hidden="1" customHeight="1">
      <c r="K530" s="5">
        <v>46090</v>
      </c>
      <c r="L530" s="8" t="s">
        <v>91</v>
      </c>
      <c r="M530" s="9" t="str">
        <f>IF(Tabela1[[#This Row],[Motorista]]="","",IFERROR(_xlfn.XLOOKUP(Tabela1[[#This Row],[Motorista]],Base!A:A,Base!B:B),""))</f>
        <v>FOB</v>
      </c>
      <c r="N530" s="20" t="str">
        <f t="shared" si="22"/>
        <v>Aguardando Entrada</v>
      </c>
      <c r="O5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30" s="2">
        <v>0.34027777777777779</v>
      </c>
      <c r="R530" s="16"/>
      <c r="S530" s="16"/>
      <c r="T530" s="14" t="str">
        <f>IF(OR(Tabela1[[#This Row],[Entrada]]="",Tabela1[[#This Row],[Saída]]=""), "", Tabela1[[#This Row],[Saída]]-Tabela1[[#This Row],[Entrada]])</f>
        <v/>
      </c>
      <c r="U530" s="15" t="str">
        <f>IF(OR('Controle de CT'!$R530= "", 'Controle de CT'!$P530= ""), "", 'Controle de CT'!$R530-'Controle de CT'!$P530)</f>
        <v/>
      </c>
      <c r="V530" s="1" t="s">
        <v>170</v>
      </c>
      <c r="W530" s="2"/>
      <c r="X530" s="2"/>
    </row>
    <row r="531" spans="11:24" ht="15" hidden="1" customHeight="1">
      <c r="K531" s="5">
        <v>46090</v>
      </c>
      <c r="L531" s="8" t="s">
        <v>103</v>
      </c>
      <c r="M531" s="9" t="str">
        <f>IF(Tabela1[[#This Row],[Motorista]]="","",IFERROR(_xlfn.XLOOKUP(Tabela1[[#This Row],[Motorista]],Base!A:A,Base!B:B),""))</f>
        <v>FOB</v>
      </c>
      <c r="N531" s="20" t="str">
        <f t="shared" si="22"/>
        <v/>
      </c>
      <c r="O5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531" s="16"/>
      <c r="S531" s="16"/>
      <c r="T531" s="14" t="str">
        <f>IF(OR(Tabela1[[#This Row],[Entrada]]="",Tabela1[[#This Row],[Saída]]=""), "", Tabela1[[#This Row],[Saída]]-Tabela1[[#This Row],[Entrada]])</f>
        <v/>
      </c>
      <c r="U531" s="15" t="str">
        <f>IF(OR('Controle de CT'!$R531= "", 'Controle de CT'!$P531= ""), "", 'Controle de CT'!$R531-'Controle de CT'!$P531)</f>
        <v/>
      </c>
      <c r="V531" s="1"/>
      <c r="W531" s="2"/>
      <c r="X531" s="2"/>
    </row>
    <row r="532" spans="11:24" ht="15" hidden="1" customHeight="1">
      <c r="K532" s="5">
        <v>46090</v>
      </c>
      <c r="L532" s="8" t="s">
        <v>93</v>
      </c>
      <c r="M532" s="9" t="str">
        <f>IF(Tabela1[[#This Row],[Motorista]]="","",IFERROR(_xlfn.XLOOKUP(Tabela1[[#This Row],[Motorista]],Base!A:A,Base!B:B),""))</f>
        <v>FOB</v>
      </c>
      <c r="N532" s="20" t="str">
        <f t="shared" si="22"/>
        <v>Fila de Carregamento</v>
      </c>
      <c r="O5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32" s="2">
        <v>0.39791666666666664</v>
      </c>
      <c r="Q532" s="2">
        <v>0.45</v>
      </c>
      <c r="R532" s="16"/>
      <c r="S532" s="16" t="s">
        <v>85</v>
      </c>
      <c r="T532" s="14" t="str">
        <f>IF(OR(Tabela1[[#This Row],[Entrada]]="",Tabela1[[#This Row],[Saída]]=""), "", Tabela1[[#This Row],[Saída]]-Tabela1[[#This Row],[Entrada]])</f>
        <v/>
      </c>
      <c r="U532" s="15" t="str">
        <f>IF(OR('Controle de CT'!$R532= "", 'Controle de CT'!$P532= ""), "", 'Controle de CT'!$R532-'Controle de CT'!$P532)</f>
        <v/>
      </c>
      <c r="V532" s="1"/>
      <c r="W532" s="2"/>
      <c r="X532" s="2"/>
    </row>
    <row r="533" spans="11:24" ht="15" hidden="1" customHeight="1">
      <c r="K533" s="5">
        <v>46090</v>
      </c>
      <c r="L533" s="8" t="s">
        <v>89</v>
      </c>
      <c r="M533" s="9" t="str">
        <f>IF(Tabela1[[#This Row],[Motorista]]="","",IFERROR(_xlfn.XLOOKUP(Tabela1[[#This Row],[Motorista]],Base!A:A,Base!B:B),""))</f>
        <v>FOB</v>
      </c>
      <c r="N533" s="20" t="str">
        <f t="shared" si="22"/>
        <v>Fila de Carregamento</v>
      </c>
      <c r="O5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33" s="2">
        <v>0.41180555555555554</v>
      </c>
      <c r="Q533" s="2">
        <v>0.42083333333333334</v>
      </c>
      <c r="R533" s="16"/>
      <c r="S533" s="16"/>
      <c r="T533" s="14" t="str">
        <f>IF(OR(Tabela1[[#This Row],[Entrada]]="",Tabela1[[#This Row],[Saída]]=""), "", Tabela1[[#This Row],[Saída]]-Tabela1[[#This Row],[Entrada]])</f>
        <v/>
      </c>
      <c r="U533" s="15" t="str">
        <f>IF(OR('Controle de CT'!$R533= "", 'Controle de CT'!$P533= ""), "", 'Controle de CT'!$R533-'Controle de CT'!$P533)</f>
        <v/>
      </c>
      <c r="V533" s="1"/>
      <c r="W533" s="2"/>
      <c r="X533" s="2"/>
    </row>
    <row r="534" spans="11:24" ht="15" hidden="1" customHeight="1">
      <c r="K534" s="5">
        <v>46090</v>
      </c>
      <c r="L534" s="8" t="s">
        <v>92</v>
      </c>
      <c r="M534" s="9" t="str">
        <f>IF(Tabela1[[#This Row],[Motorista]]="","",IFERROR(_xlfn.XLOOKUP(Tabela1[[#This Row],[Motorista]],Base!A:A,Base!B:B),""))</f>
        <v>FOB</v>
      </c>
      <c r="N534" s="20" t="str">
        <f t="shared" si="22"/>
        <v>Fila de Carregamento</v>
      </c>
      <c r="O5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34" s="2">
        <v>0.45</v>
      </c>
      <c r="Q534" s="2">
        <v>0.45069444444444445</v>
      </c>
      <c r="R534" s="16"/>
      <c r="S534" s="16"/>
      <c r="T534" s="14" t="str">
        <f>IF(OR(Tabela1[[#This Row],[Entrada]]="",Tabela1[[#This Row],[Saída]]=""), "", Tabela1[[#This Row],[Saída]]-Tabela1[[#This Row],[Entrada]])</f>
        <v/>
      </c>
      <c r="U534" s="15" t="str">
        <f>IF(OR('Controle de CT'!$R534= "", 'Controle de CT'!$P534= ""), "", 'Controle de CT'!$R534-'Controle de CT'!$P534)</f>
        <v/>
      </c>
      <c r="V534" s="1"/>
      <c r="W534" s="2"/>
      <c r="X534" s="2"/>
    </row>
    <row r="535" spans="11:24" ht="15" hidden="1" customHeight="1">
      <c r="K535" s="5">
        <v>46090</v>
      </c>
      <c r="L535" s="8" t="s">
        <v>58</v>
      </c>
      <c r="M535" s="9" t="str">
        <f>IF(Tabela1[[#This Row],[Motorista]]="","",IFERROR(_xlfn.XLOOKUP(Tabela1[[#This Row],[Motorista]],Base!A:A,Base!B:B),""))</f>
        <v xml:space="preserve">CIF </v>
      </c>
      <c r="N535" s="20" t="str">
        <f t="shared" si="22"/>
        <v>Aguardando Entrada</v>
      </c>
      <c r="O5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35" s="2">
        <v>0.46041666666666664</v>
      </c>
      <c r="R535" s="16"/>
      <c r="S535" s="16"/>
      <c r="T535" s="14" t="str">
        <f>IF(OR(Tabela1[[#This Row],[Entrada]]="",Tabela1[[#This Row],[Saída]]=""), "", Tabela1[[#This Row],[Saída]]-Tabela1[[#This Row],[Entrada]])</f>
        <v/>
      </c>
      <c r="U535" s="15" t="str">
        <f>IF(OR('Controle de CT'!$R535= "", 'Controle de CT'!$P535= ""), "", 'Controle de CT'!$R535-'Controle de CT'!$P535)</f>
        <v/>
      </c>
      <c r="V535" s="1"/>
      <c r="W535" s="2"/>
      <c r="X535" s="2"/>
    </row>
    <row r="536" spans="11:24" ht="15" hidden="1" customHeight="1">
      <c r="K536" s="5">
        <v>46090</v>
      </c>
      <c r="L536" s="8" t="s">
        <v>122</v>
      </c>
      <c r="M536" s="9" t="str">
        <f>IF(Tabela1[[#This Row],[Motorista]]="","",IFERROR(_xlfn.XLOOKUP(Tabela1[[#This Row],[Motorista]],Base!A:A,Base!B:B),""))</f>
        <v>FOB</v>
      </c>
      <c r="N536" s="20" t="str">
        <f t="shared" si="22"/>
        <v/>
      </c>
      <c r="O5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536" s="16"/>
      <c r="S536" s="16"/>
      <c r="T536" s="14" t="str">
        <f>IF(OR(Tabela1[[#This Row],[Entrada]]="",Tabela1[[#This Row],[Saída]]=""), "", Tabela1[[#This Row],[Saída]]-Tabela1[[#This Row],[Entrada]])</f>
        <v/>
      </c>
      <c r="U536" s="15" t="str">
        <f>IF(OR('Controle de CT'!$R536= "", 'Controle de CT'!$P536= ""), "", 'Controle de CT'!$R536-'Controle de CT'!$P536)</f>
        <v/>
      </c>
      <c r="V536" s="1"/>
      <c r="W536" s="2"/>
      <c r="X536" s="2"/>
    </row>
    <row r="537" spans="11:24" ht="15" hidden="1" customHeight="1">
      <c r="K537" s="5">
        <v>46031</v>
      </c>
      <c r="L537" s="8" t="s">
        <v>101</v>
      </c>
      <c r="M537" s="9" t="str">
        <f>IF(Tabela1[[#This Row],[Motorista]]="","",IFERROR(_xlfn.XLOOKUP(Tabela1[[#This Row],[Motorista]],Base!A:A,Base!B:B),""))</f>
        <v>FOB</v>
      </c>
      <c r="N537" s="20" t="str">
        <f t="shared" si="22"/>
        <v>Finalizado</v>
      </c>
      <c r="O5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37" s="2">
        <v>0.59097222222222223</v>
      </c>
      <c r="Q537" s="2">
        <v>0.60972222222222228</v>
      </c>
      <c r="R537" s="16">
        <v>0.63611111111111107</v>
      </c>
      <c r="S537" s="16" t="s">
        <v>85</v>
      </c>
      <c r="T537" s="14">
        <f>IF(OR(Tabela1[[#This Row],[Entrada]]="",Tabela1[[#This Row],[Saída]]=""), "", Tabela1[[#This Row],[Saída]]-Tabela1[[#This Row],[Entrada]])</f>
        <v>2.6388888888888795E-2</v>
      </c>
      <c r="U537" s="15">
        <f>IF(OR('Controle de CT'!$R537= "", 'Controle de CT'!$P537= ""), "", 'Controle de CT'!$R537-'Controle de CT'!$P537)</f>
        <v>4.513888888888884E-2</v>
      </c>
      <c r="V537" s="1"/>
      <c r="W537" s="2"/>
      <c r="X537" s="2"/>
    </row>
    <row r="538" spans="11:24" ht="15" hidden="1" customHeight="1">
      <c r="K538" s="5">
        <v>46090</v>
      </c>
      <c r="L538" s="8" t="s">
        <v>86</v>
      </c>
      <c r="M538" s="9" t="str">
        <f>IF(Tabela1[[#This Row],[Motorista]]="","",IFERROR(_xlfn.XLOOKUP(Tabela1[[#This Row],[Motorista]],Base!A:A,Base!B:B),""))</f>
        <v>FOB</v>
      </c>
      <c r="N538" s="20" t="str">
        <f t="shared" si="22"/>
        <v>Finalizado</v>
      </c>
      <c r="O5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38" s="2">
        <v>0.55347222222222225</v>
      </c>
      <c r="Q538" s="2">
        <v>0.65694444444444444</v>
      </c>
      <c r="R538" s="16">
        <v>0.70347222222222228</v>
      </c>
      <c r="S538" s="16" t="s">
        <v>85</v>
      </c>
      <c r="T538" s="14">
        <f>IF(OR(Tabela1[[#This Row],[Entrada]]="",Tabela1[[#This Row],[Saída]]=""), "", Tabela1[[#This Row],[Saída]]-Tabela1[[#This Row],[Entrada]])</f>
        <v>4.6527777777777835E-2</v>
      </c>
      <c r="U538" s="15">
        <f>IF(OR('Controle de CT'!$R538= "", 'Controle de CT'!$P538= ""), "", 'Controle de CT'!$R538-'Controle de CT'!$P538)</f>
        <v>0.15000000000000002</v>
      </c>
      <c r="V538" s="1"/>
      <c r="W538" s="2"/>
      <c r="X538" s="2"/>
    </row>
    <row r="539" spans="11:24" ht="15" hidden="1" customHeight="1">
      <c r="K539" s="5">
        <v>46090</v>
      </c>
      <c r="L539" s="8" t="s">
        <v>107</v>
      </c>
      <c r="M539" s="9" t="str">
        <f>IF(Tabela1[[#This Row],[Motorista]]="","",IFERROR(_xlfn.XLOOKUP(Tabela1[[#This Row],[Motorista]],Base!A:A,Base!B:B),""))</f>
        <v>FOB</v>
      </c>
      <c r="N539" s="20" t="str">
        <f t="shared" si="22"/>
        <v>Finalizado</v>
      </c>
      <c r="O5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39" s="2">
        <v>0.58333333333333337</v>
      </c>
      <c r="Q539" s="2">
        <v>0.625</v>
      </c>
      <c r="R539" s="16">
        <v>0.64583333333333337</v>
      </c>
      <c r="S539" s="16" t="s">
        <v>85</v>
      </c>
      <c r="T539" s="14">
        <f>IF(OR(Tabela1[[#This Row],[Entrada]]="",Tabela1[[#This Row],[Saída]]=""), "", Tabela1[[#This Row],[Saída]]-Tabela1[[#This Row],[Entrada]])</f>
        <v>2.083333333333337E-2</v>
      </c>
      <c r="U539" s="15">
        <f>IF(OR('Controle de CT'!$R539= "", 'Controle de CT'!$P539= ""), "", 'Controle de CT'!$R539-'Controle de CT'!$P539)</f>
        <v>6.25E-2</v>
      </c>
      <c r="V539" s="1"/>
      <c r="W539" s="2"/>
      <c r="X539" s="2"/>
    </row>
    <row r="540" spans="11:24" ht="15" hidden="1" customHeight="1">
      <c r="K540" s="5">
        <v>46090</v>
      </c>
      <c r="L540" s="8" t="s">
        <v>89</v>
      </c>
      <c r="M540" s="9" t="str">
        <f>IF(Tabela1[[#This Row],[Motorista]]="","",IFERROR(_xlfn.XLOOKUP(Tabela1[[#This Row],[Motorista]],Base!A:A,Base!B:B),""))</f>
        <v>FOB</v>
      </c>
      <c r="N540" s="20" t="str">
        <f t="shared" si="22"/>
        <v>Finalizado</v>
      </c>
      <c r="O5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40" s="2">
        <v>0.53055555555555556</v>
      </c>
      <c r="Q540" s="2">
        <v>0.69444444444444442</v>
      </c>
      <c r="R540" s="16">
        <v>0.74236111111111114</v>
      </c>
      <c r="S540" s="16" t="s">
        <v>85</v>
      </c>
      <c r="T540" s="14">
        <f>IF(OR(Tabela1[[#This Row],[Entrada]]="",Tabela1[[#This Row],[Saída]]=""), "", Tabela1[[#This Row],[Saída]]-Tabela1[[#This Row],[Entrada]])</f>
        <v>4.7916666666666718E-2</v>
      </c>
      <c r="U540" s="15">
        <f>IF(OR('Controle de CT'!$R540= "", 'Controle de CT'!$P540= ""), "", 'Controle de CT'!$R540-'Controle de CT'!$P540)</f>
        <v>0.21180555555555558</v>
      </c>
      <c r="V540" s="1"/>
      <c r="W540" s="2"/>
      <c r="X540" s="2"/>
    </row>
    <row r="541" spans="11:24" ht="15" hidden="1" customHeight="1">
      <c r="K541" s="5">
        <v>46090</v>
      </c>
      <c r="L541" s="8" t="s">
        <v>171</v>
      </c>
      <c r="M541" s="9" t="str">
        <f>IF(Tabela1[[#This Row],[Motorista]]="","",IFERROR(_xlfn.XLOOKUP(Tabela1[[#This Row],[Motorista]],Base!A:A,Base!B:B),""))</f>
        <v>FOB</v>
      </c>
      <c r="N541" s="20" t="str">
        <f t="shared" si="22"/>
        <v>Finalizado</v>
      </c>
      <c r="O5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1" s="2">
        <v>0.60416666666666663</v>
      </c>
      <c r="Q541" s="2">
        <v>0.63194444444444442</v>
      </c>
      <c r="R541" s="16">
        <v>0.71458333333333335</v>
      </c>
      <c r="S541" s="16" t="s">
        <v>85</v>
      </c>
      <c r="T541" s="14">
        <f>IF(OR(Tabela1[[#This Row],[Entrada]]="",Tabela1[[#This Row],[Saída]]=""), "", Tabela1[[#This Row],[Saída]]-Tabela1[[#This Row],[Entrada]])</f>
        <v>8.2638888888888928E-2</v>
      </c>
      <c r="U541" s="15">
        <f>IF(OR('Controle de CT'!$R541= "", 'Controle de CT'!$P541= ""), "", 'Controle de CT'!$R541-'Controle de CT'!$P541)</f>
        <v>0.11041666666666672</v>
      </c>
      <c r="V541" s="1"/>
      <c r="W541" s="2"/>
      <c r="X541" s="2"/>
    </row>
    <row r="542" spans="11:24" ht="15" hidden="1" customHeight="1">
      <c r="K542" s="5">
        <v>46090</v>
      </c>
      <c r="L542" s="8" t="s">
        <v>125</v>
      </c>
      <c r="M542" s="9" t="str">
        <f>IF(Tabela1[[#This Row],[Motorista]]="","",IFERROR(_xlfn.XLOOKUP(Tabela1[[#This Row],[Motorista]],Base!A:A,Base!B:B),""))</f>
        <v>FOB</v>
      </c>
      <c r="N542" s="20" t="str">
        <f t="shared" si="22"/>
        <v>Finalizado</v>
      </c>
      <c r="O5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2" s="2">
        <v>0.61111111111111116</v>
      </c>
      <c r="Q542" s="2">
        <v>0.74513888888888891</v>
      </c>
      <c r="R542" s="16">
        <v>0.78402777777777777</v>
      </c>
      <c r="S542" s="16" t="s">
        <v>85</v>
      </c>
      <c r="T542" s="14">
        <f>IF(OR(Tabela1[[#This Row],[Entrada]]="",Tabela1[[#This Row],[Saída]]=""), "", Tabela1[[#This Row],[Saída]]-Tabela1[[#This Row],[Entrada]])</f>
        <v>3.8888888888888862E-2</v>
      </c>
      <c r="U542" s="15">
        <f>IF(OR('Controle de CT'!$R542= "", 'Controle de CT'!$P542= ""), "", 'Controle de CT'!$R542-'Controle de CT'!$P542)</f>
        <v>0.17291666666666661</v>
      </c>
      <c r="V542" s="1" t="s">
        <v>172</v>
      </c>
      <c r="W542" s="2"/>
      <c r="X542" s="2"/>
    </row>
    <row r="543" spans="11:24" ht="15" hidden="1" customHeight="1">
      <c r="K543" s="5">
        <v>46090</v>
      </c>
      <c r="L543" s="8" t="s">
        <v>116</v>
      </c>
      <c r="M543" s="9" t="str">
        <f>IF(Tabela1[[#This Row],[Motorista]]="","",IFERROR(_xlfn.XLOOKUP(Tabela1[[#This Row],[Motorista]],Base!A:A,Base!B:B),""))</f>
        <v xml:space="preserve">CIF </v>
      </c>
      <c r="N543" s="20" t="str">
        <f t="shared" si="22"/>
        <v>Finalizado</v>
      </c>
      <c r="O5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3" s="2">
        <v>0.65833333333333333</v>
      </c>
      <c r="Q543" s="2">
        <v>0.71805555555555556</v>
      </c>
      <c r="R543" s="16">
        <v>0.78680555555555554</v>
      </c>
      <c r="S543" s="16" t="s">
        <v>85</v>
      </c>
      <c r="T543" s="14">
        <f>IF(OR(Tabela1[[#This Row],[Entrada]]="",Tabela1[[#This Row],[Saída]]=""), "", Tabela1[[#This Row],[Saída]]-Tabela1[[#This Row],[Entrada]])</f>
        <v>6.8749999999999978E-2</v>
      </c>
      <c r="U543" s="15">
        <f>IF(OR('Controle de CT'!$R543= "", 'Controle de CT'!$P543= ""), "", 'Controle de CT'!$R543-'Controle de CT'!$P543)</f>
        <v>0.12847222222222221</v>
      </c>
      <c r="V543" s="1"/>
      <c r="W543" s="2"/>
      <c r="X543" s="2"/>
    </row>
    <row r="544" spans="11:24" ht="15" hidden="1" customHeight="1">
      <c r="K544" s="5">
        <v>46090</v>
      </c>
      <c r="L544" s="8" t="s">
        <v>58</v>
      </c>
      <c r="M544" s="9" t="str">
        <f>IF(Tabela1[[#This Row],[Motorista]]="","",IFERROR(_xlfn.XLOOKUP(Tabela1[[#This Row],[Motorista]],Base!A:A,Base!B:B),""))</f>
        <v xml:space="preserve">CIF </v>
      </c>
      <c r="N544" s="20" t="str">
        <f t="shared" si="22"/>
        <v>Finalizado</v>
      </c>
      <c r="O5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44" s="2">
        <v>0.75486111111111109</v>
      </c>
      <c r="Q544" s="2">
        <v>0.76736111111111116</v>
      </c>
      <c r="R544" s="16">
        <v>0.84375</v>
      </c>
      <c r="S544" s="16" t="s">
        <v>85</v>
      </c>
      <c r="T544" s="14">
        <f>IF(OR(Tabela1[[#This Row],[Entrada]]="",Tabela1[[#This Row],[Saída]]=""), "", Tabela1[[#This Row],[Saída]]-Tabela1[[#This Row],[Entrada]])</f>
        <v>7.638888888888884E-2</v>
      </c>
      <c r="U544" s="15">
        <f>IF(OR('Controle de CT'!$R544= "", 'Controle de CT'!$P544= ""), "", 'Controle de CT'!$R544-'Controle de CT'!$P544)</f>
        <v>8.8888888888888906E-2</v>
      </c>
      <c r="V544" s="1"/>
      <c r="W544" s="2"/>
      <c r="X544" s="2"/>
    </row>
    <row r="545" spans="11:24" ht="15" hidden="1" customHeight="1">
      <c r="K545" s="5">
        <v>46090</v>
      </c>
      <c r="L545" s="8" t="s">
        <v>42</v>
      </c>
      <c r="M545" s="9" t="str">
        <f>IF(Tabela1[[#This Row],[Motorista]]="","",IFERROR(_xlfn.XLOOKUP(Tabela1[[#This Row],[Motorista]],Base!A:A,Base!B:B),""))</f>
        <v>CIF</v>
      </c>
      <c r="N545" s="20" t="str">
        <f t="shared" si="22"/>
        <v>Finalizado</v>
      </c>
      <c r="O5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45" s="2">
        <v>0.66180555555555554</v>
      </c>
      <c r="Q545" s="2">
        <v>0.66666666666666663</v>
      </c>
      <c r="R545" s="16">
        <v>0.71388888888888891</v>
      </c>
      <c r="S545" s="16" t="s">
        <v>85</v>
      </c>
      <c r="T545" s="14">
        <f>IF(OR(Tabela1[[#This Row],[Entrada]]="",Tabela1[[#This Row],[Saída]]=""), "", Tabela1[[#This Row],[Saída]]-Tabela1[[#This Row],[Entrada]])</f>
        <v>4.7222222222222276E-2</v>
      </c>
      <c r="U545" s="15">
        <f>IF(OR('Controle de CT'!$R545= "", 'Controle de CT'!$P545= ""), "", 'Controle de CT'!$R545-'Controle de CT'!$P545)</f>
        <v>5.208333333333337E-2</v>
      </c>
      <c r="V545" s="1"/>
      <c r="W545" s="2"/>
      <c r="X545" s="2"/>
    </row>
    <row r="546" spans="11:24" ht="15" hidden="1" customHeight="1">
      <c r="K546" s="5">
        <v>46091</v>
      </c>
      <c r="L546" s="8" t="s">
        <v>107</v>
      </c>
      <c r="M546" s="9" t="str">
        <f>IF(Tabela1[[#This Row],[Motorista]]="","",IFERROR(_xlfn.XLOOKUP(Tabela1[[#This Row],[Motorista]],Base!A:A,Base!B:B),""))</f>
        <v>FOB</v>
      </c>
      <c r="N546" s="20" t="str">
        <f t="shared" ref="N546:N577" si="23">IF(R546&lt;&gt;"","Finalizado", IF(Q546&lt;&gt;"","Fila de Carregamento", IF(P546&lt;&gt;"","Aguardando Entrada","")))</f>
        <v>Finalizado</v>
      </c>
      <c r="O5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6" s="2">
        <v>0.19513888888888889</v>
      </c>
      <c r="Q546" s="2">
        <v>0.2902777777777778</v>
      </c>
      <c r="R546" s="16">
        <v>0.36319444444444443</v>
      </c>
      <c r="S546" s="16" t="s">
        <v>85</v>
      </c>
      <c r="T546" s="14">
        <f>IF(OR(Tabela1[[#This Row],[Entrada]]="",Tabela1[[#This Row],[Saída]]=""), "", Tabela1[[#This Row],[Saída]]-Tabela1[[#This Row],[Entrada]])</f>
        <v>7.291666666666663E-2</v>
      </c>
      <c r="U546" s="15">
        <f>IF(OR('Controle de CT'!$R546= "", 'Controle de CT'!$P546= ""), "", 'Controle de CT'!$R546-'Controle de CT'!$P546)</f>
        <v>0.16805555555555554</v>
      </c>
      <c r="V546" s="1"/>
      <c r="W546" s="2"/>
      <c r="X546" s="2"/>
    </row>
    <row r="547" spans="11:24" ht="15" hidden="1" customHeight="1">
      <c r="K547" s="5">
        <v>46091</v>
      </c>
      <c r="L547" s="8" t="s">
        <v>150</v>
      </c>
      <c r="M547" s="9" t="s">
        <v>173</v>
      </c>
      <c r="N547" s="20" t="str">
        <f t="shared" si="23"/>
        <v>Finalizado</v>
      </c>
      <c r="O5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47" s="4">
        <v>0.22013888888888888</v>
      </c>
      <c r="Q547" s="4">
        <v>0.3576388888888889</v>
      </c>
      <c r="R547" s="23">
        <v>0.49930555555555556</v>
      </c>
      <c r="S547" s="16" t="s">
        <v>85</v>
      </c>
      <c r="T547" s="14">
        <f>IF(OR(Tabela1[[#This Row],[Entrada]]="",Tabela1[[#This Row],[Saída]]=""), "", Tabela1[[#This Row],[Saída]]-Tabela1[[#This Row],[Entrada]])</f>
        <v>0.14166666666666666</v>
      </c>
      <c r="U547" s="15">
        <f>IF(OR('Controle de CT'!$R547= "", 'Controle de CT'!$P547= ""), "", 'Controle de CT'!$R547-'Controle de CT'!$P547)</f>
        <v>0.27916666666666667</v>
      </c>
      <c r="V547" s="1"/>
      <c r="W547" s="2"/>
      <c r="X547" s="2"/>
    </row>
    <row r="548" spans="11:24" ht="15" hidden="1" customHeight="1">
      <c r="K548" s="5">
        <v>46091</v>
      </c>
      <c r="L548" s="8" t="s">
        <v>162</v>
      </c>
      <c r="M548" s="9" t="str">
        <f>IF(Tabela1[[#This Row],[Motorista]]="","",IFERROR(_xlfn.XLOOKUP(Tabela1[[#This Row],[Motorista]],Base!A:A,Base!B:B),""))</f>
        <v>FOB</v>
      </c>
      <c r="N548" s="20" t="str">
        <f t="shared" si="23"/>
        <v>Finalizado</v>
      </c>
      <c r="O5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48" s="2">
        <v>0.22638888888888889</v>
      </c>
      <c r="Q548" s="2">
        <v>0.31180555555555556</v>
      </c>
      <c r="R548" s="16">
        <v>0.38333333333333336</v>
      </c>
      <c r="S548" s="16" t="s">
        <v>85</v>
      </c>
      <c r="T548" s="14">
        <f>IF(OR(Tabela1[[#This Row],[Entrada]]="",Tabela1[[#This Row],[Saída]]=""), "", Tabela1[[#This Row],[Saída]]-Tabela1[[#This Row],[Entrada]])</f>
        <v>7.1527777777777801E-2</v>
      </c>
      <c r="U548" s="15">
        <f>IF(OR('Controle de CT'!$R548= "", 'Controle de CT'!$P548= ""), "", 'Controle de CT'!$R548-'Controle de CT'!$P548)</f>
        <v>0.15694444444444447</v>
      </c>
      <c r="V548" s="1"/>
      <c r="W548" s="2"/>
      <c r="X548" s="2"/>
    </row>
    <row r="549" spans="11:24" ht="15" hidden="1" customHeight="1">
      <c r="K549" s="5">
        <v>46091</v>
      </c>
      <c r="L549" s="8" t="s">
        <v>55</v>
      </c>
      <c r="M549" s="9" t="str">
        <f>IF(Tabela1[[#This Row],[Motorista]]="","",IFERROR(_xlfn.XLOOKUP(Tabela1[[#This Row],[Motorista]],Base!A:A,Base!B:B),""))</f>
        <v>CIF</v>
      </c>
      <c r="N549" s="20" t="str">
        <f t="shared" si="23"/>
        <v>Finalizado</v>
      </c>
      <c r="O5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49" s="2">
        <v>0.23402777777777778</v>
      </c>
      <c r="Q549" s="2">
        <v>0.28333333333333333</v>
      </c>
      <c r="R549" s="16">
        <v>0.32569444444444445</v>
      </c>
      <c r="S549" s="16" t="s">
        <v>85</v>
      </c>
      <c r="T549" s="14">
        <f>IF(OR(Tabela1[[#This Row],[Entrada]]="",Tabela1[[#This Row],[Saída]]=""), "", Tabela1[[#This Row],[Saída]]-Tabela1[[#This Row],[Entrada]])</f>
        <v>4.2361111111111127E-2</v>
      </c>
      <c r="U549" s="15">
        <f>IF(OR('Controle de CT'!$R550= "", 'Controle de CT'!$P550= ""), "", 'Controle de CT'!$R550-'Controle de CT'!$P550)</f>
        <v>9.027777777777779E-2</v>
      </c>
      <c r="V549" s="1"/>
      <c r="W549" s="2"/>
      <c r="X549" s="2"/>
    </row>
    <row r="550" spans="11:24" ht="15" hidden="1" customHeight="1">
      <c r="K550" s="5">
        <v>46091</v>
      </c>
      <c r="L550" s="8" t="s">
        <v>45</v>
      </c>
      <c r="M550" s="9" t="str">
        <f>IF(Tabela1[[#This Row],[Motorista]]="","",IFERROR(_xlfn.XLOOKUP(Tabela1[[#This Row],[Motorista]],Base!A:A,Base!B:B),""))</f>
        <v>CIF</v>
      </c>
      <c r="N550" s="20" t="str">
        <f t="shared" si="23"/>
        <v>Finalizado</v>
      </c>
      <c r="O5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0" s="2">
        <v>0.23680555555555555</v>
      </c>
      <c r="Q550" s="2">
        <v>0.29166666666666669</v>
      </c>
      <c r="R550" s="16">
        <v>0.32708333333333334</v>
      </c>
      <c r="S550" s="16" t="s">
        <v>85</v>
      </c>
      <c r="T550" s="14">
        <f>IF(OR(Tabela1[[#This Row],[Entrada]]="",Tabela1[[#This Row],[Saída]]=""), "", Tabela1[[#This Row],[Saída]]-Tabela1[[#This Row],[Entrada]])</f>
        <v>3.5416666666666652E-2</v>
      </c>
      <c r="U550" s="15">
        <f>IF(OR('Controle de CT'!$R549= "", 'Controle de CT'!$P549= ""), "", 'Controle de CT'!$R549-'Controle de CT'!$P549)</f>
        <v>9.1666666666666674E-2</v>
      </c>
      <c r="V550" s="1"/>
      <c r="W550" s="2"/>
      <c r="X550" s="2"/>
    </row>
    <row r="551" spans="11:24" ht="15" hidden="1" customHeight="1">
      <c r="K551" s="5">
        <v>46091</v>
      </c>
      <c r="L551" s="8" t="s">
        <v>42</v>
      </c>
      <c r="M551" s="9" t="str">
        <f>IF(Tabela1[[#This Row],[Motorista]]="","",IFERROR(_xlfn.XLOOKUP(Tabela1[[#This Row],[Motorista]],Base!A:A,Base!B:B),""))</f>
        <v>CIF</v>
      </c>
      <c r="N551" s="20" t="str">
        <f t="shared" si="23"/>
        <v>Finalizado</v>
      </c>
      <c r="O5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51" s="2">
        <v>0.24097222222222223</v>
      </c>
      <c r="Q551" s="2">
        <v>0.29722222222222222</v>
      </c>
      <c r="R551" s="16">
        <v>0.33124999999999999</v>
      </c>
      <c r="S551" s="16" t="s">
        <v>85</v>
      </c>
      <c r="T551" s="14">
        <f>IF(OR(Tabela1[[#This Row],[Entrada]]="",Tabela1[[#This Row],[Saída]]=""), "", Tabela1[[#This Row],[Saída]]-Tabela1[[#This Row],[Entrada]])</f>
        <v>3.4027777777777768E-2</v>
      </c>
      <c r="U551" s="15">
        <f>IF(OR('Controle de CT'!$R551= "", 'Controle de CT'!$P551= ""), "", 'Controle de CT'!$R551-'Controle de CT'!$P551)</f>
        <v>9.0277777777777762E-2</v>
      </c>
      <c r="V551" s="1"/>
      <c r="W551" s="2"/>
      <c r="X551" s="2"/>
    </row>
    <row r="552" spans="11:24" ht="15" hidden="1" customHeight="1">
      <c r="K552" s="5">
        <v>46091</v>
      </c>
      <c r="L552" s="8" t="s">
        <v>57</v>
      </c>
      <c r="M552" s="9" t="str">
        <f>IF(Tabela1[[#This Row],[Motorista]]="","",IFERROR(_xlfn.XLOOKUP(Tabela1[[#This Row],[Motorista]],Base!A:A,Base!B:B),""))</f>
        <v>CIF</v>
      </c>
      <c r="N552" s="20" t="str">
        <f t="shared" si="23"/>
        <v>Finalizado</v>
      </c>
      <c r="O5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52" s="2">
        <v>0.25833333333333336</v>
      </c>
      <c r="Q552" s="2">
        <v>0.29930555555555555</v>
      </c>
      <c r="R552" s="16">
        <v>0.35069444444444442</v>
      </c>
      <c r="S552" s="16" t="s">
        <v>85</v>
      </c>
      <c r="T552" s="14">
        <f>IF(OR(Tabela1[[#This Row],[Entrada]]="",Tabela1[[#This Row],[Saída]]=""), "", Tabela1[[#This Row],[Saída]]-Tabela1[[#This Row],[Entrada]])</f>
        <v>5.1388888888888873E-2</v>
      </c>
      <c r="U552" s="15">
        <f>IF(OR('Controle de CT'!$R552= "", 'Controle de CT'!$P552= ""), "", 'Controle de CT'!$R552-'Controle de CT'!$P552)</f>
        <v>9.2361111111111061E-2</v>
      </c>
      <c r="V552" s="1"/>
      <c r="W552" s="2"/>
      <c r="X552" s="2"/>
    </row>
    <row r="553" spans="11:24" ht="15" hidden="1" customHeight="1">
      <c r="K553" s="5">
        <v>46091</v>
      </c>
      <c r="L553" s="8" t="s">
        <v>56</v>
      </c>
      <c r="M553" s="9" t="str">
        <f>IF(Tabela1[[#This Row],[Motorista]]="","",IFERROR(_xlfn.XLOOKUP(Tabela1[[#This Row],[Motorista]],Base!A:A,Base!B:B),""))</f>
        <v/>
      </c>
      <c r="N553" s="20" t="str">
        <f t="shared" si="23"/>
        <v>Finalizado</v>
      </c>
      <c r="O5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53" s="2">
        <v>0.2673611111111111</v>
      </c>
      <c r="Q553" s="2">
        <v>0.30208333333333331</v>
      </c>
      <c r="R553" s="16">
        <v>0.36319444444444443</v>
      </c>
      <c r="S553" s="16" t="s">
        <v>85</v>
      </c>
      <c r="T553" s="14">
        <f>IF(OR(Tabela1[[#This Row],[Entrada]]="",Tabela1[[#This Row],[Saída]]=""), "", Tabela1[[#This Row],[Saída]]-Tabela1[[#This Row],[Entrada]])</f>
        <v>6.1111111111111116E-2</v>
      </c>
      <c r="U553" s="15">
        <f>IF(OR('Controle de CT'!$R553= "", 'Controle de CT'!$P553= ""), "", 'Controle de CT'!$R553-'Controle de CT'!$P553)</f>
        <v>9.5833333333333326E-2</v>
      </c>
      <c r="V553" s="1"/>
      <c r="W553" s="2"/>
      <c r="X553" s="2"/>
    </row>
    <row r="554" spans="11:24" ht="15" hidden="1" customHeight="1">
      <c r="K554" s="5">
        <v>46091</v>
      </c>
      <c r="L554" s="8" t="s">
        <v>54</v>
      </c>
      <c r="M554" s="9" t="str">
        <f>IF(Tabela1[[#This Row],[Motorista]]="","",IFERROR(_xlfn.XLOOKUP(Tabela1[[#This Row],[Motorista]],Base!A:A,Base!B:B),""))</f>
        <v>CIF</v>
      </c>
      <c r="N554" s="20" t="str">
        <f t="shared" si="23"/>
        <v>Fila de Carregamento</v>
      </c>
      <c r="O5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4" s="2">
        <v>0.28194444444444444</v>
      </c>
      <c r="Q554" s="2">
        <v>0.4465277777777778</v>
      </c>
      <c r="R554" s="16"/>
      <c r="S554" s="16"/>
      <c r="T554" s="14" t="str">
        <f>IF(OR(Tabela1[[#This Row],[Entrada]]="",Tabela1[[#This Row],[Saída]]=""), "", Tabela1[[#This Row],[Saída]]-Tabela1[[#This Row],[Entrada]])</f>
        <v/>
      </c>
      <c r="U554" s="15">
        <f>IF(OR('Controle de CT'!$R556= "", 'Controle de CT'!$P556= ""), "", 'Controle de CT'!$R556-'Controle de CT'!$P556)</f>
        <v>0.11805555555555552</v>
      </c>
      <c r="V554" s="1"/>
      <c r="W554" s="2"/>
      <c r="X554" s="2"/>
    </row>
    <row r="555" spans="11:24" ht="15" hidden="1" customHeight="1">
      <c r="K555" s="5">
        <v>46091</v>
      </c>
      <c r="L555" s="8" t="s">
        <v>121</v>
      </c>
      <c r="M555" s="9" t="str">
        <f>IF(Tabela1[[#This Row],[Motorista]]="","",IFERROR(_xlfn.XLOOKUP(Tabela1[[#This Row],[Motorista]],Base!A:A,Base!B:B),""))</f>
        <v>CIF</v>
      </c>
      <c r="N555" s="20" t="str">
        <f t="shared" si="23"/>
        <v>Finalizado</v>
      </c>
      <c r="O5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5" s="2">
        <v>0.28263888888888888</v>
      </c>
      <c r="Q555" s="2">
        <v>0.3125</v>
      </c>
      <c r="R555" s="16">
        <v>0.40625</v>
      </c>
      <c r="S555" s="16" t="s">
        <v>85</v>
      </c>
      <c r="T555" s="16" t="s">
        <v>97</v>
      </c>
      <c r="U555" s="16" t="s">
        <v>97</v>
      </c>
      <c r="V555" s="16"/>
      <c r="W555" s="2"/>
      <c r="X555" s="2"/>
    </row>
    <row r="556" spans="11:24" ht="15" hidden="1" customHeight="1">
      <c r="K556" s="5">
        <v>46091</v>
      </c>
      <c r="L556" s="8" t="s">
        <v>86</v>
      </c>
      <c r="M556" s="9" t="str">
        <f>IF(Tabela1[[#This Row],[Motorista]]="","",IFERROR(_xlfn.XLOOKUP(Tabela1[[#This Row],[Motorista]],Base!A:A,Base!B:B),""))</f>
        <v>FOB</v>
      </c>
      <c r="N556" s="20" t="str">
        <f t="shared" si="23"/>
        <v>Finalizado</v>
      </c>
      <c r="O5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56" s="2">
        <v>0.29305555555555557</v>
      </c>
      <c r="Q556" s="2">
        <v>0.33958333333333335</v>
      </c>
      <c r="R556" s="16">
        <v>0.41111111111111109</v>
      </c>
      <c r="S556" s="16" t="s">
        <v>85</v>
      </c>
      <c r="T556" s="14">
        <f>IF(OR(Tabela1[[#This Row],[Entrada]]="",Tabela1[[#This Row],[Saída]]=""), "", Tabela1[[#This Row],[Saída]]-Tabela1[[#This Row],[Entrada]])</f>
        <v>7.1527777777777746E-2</v>
      </c>
      <c r="U556" s="15" t="str">
        <f>IF(OR('Controle de CT'!$R554= "", 'Controle de CT'!$P554= ""), "", 'Controle de CT'!$R554-'Controle de CT'!$P554)</f>
        <v/>
      </c>
      <c r="V556" s="1"/>
      <c r="W556" s="2"/>
      <c r="X556" s="2"/>
    </row>
    <row r="557" spans="11:24" ht="15" hidden="1" customHeight="1">
      <c r="K557" s="5">
        <v>46091</v>
      </c>
      <c r="L557" s="8" t="s">
        <v>158</v>
      </c>
      <c r="M557" s="9" t="str">
        <f>IF(Tabela1[[#This Row],[Motorista]]="","",IFERROR(_xlfn.XLOOKUP(Tabela1[[#This Row],[Motorista]],Base!A:A,Base!B:B),""))</f>
        <v>RZD</v>
      </c>
      <c r="N557" s="20" t="str">
        <f t="shared" si="23"/>
        <v>Aguardando Entrada</v>
      </c>
      <c r="O5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7" s="2">
        <v>0.25972222222222224</v>
      </c>
      <c r="R557" s="16"/>
      <c r="S557" s="16"/>
      <c r="T557" s="14" t="str">
        <f>IF(OR(Tabela1[[#This Row],[Entrada]]="",Tabela1[[#This Row],[Saída]]=""), "", Tabela1[[#This Row],[Saída]]-Tabela1[[#This Row],[Entrada]])</f>
        <v/>
      </c>
      <c r="U557" s="15" t="str">
        <f>IF(OR('Controle de CT'!$R557= "", 'Controle de CT'!$P557= ""), "", 'Controle de CT'!$R557-'Controle de CT'!$P557)</f>
        <v/>
      </c>
      <c r="V557" s="1"/>
      <c r="W557" s="2"/>
      <c r="X557" s="2"/>
    </row>
    <row r="558" spans="11:24" ht="15" hidden="1" customHeight="1">
      <c r="K558" s="5">
        <v>46091</v>
      </c>
      <c r="L558" s="8" t="s">
        <v>137</v>
      </c>
      <c r="M558" s="9" t="str">
        <f>IF(Tabela1[[#This Row],[Motorista]]="","",IFERROR(_xlfn.XLOOKUP(Tabela1[[#This Row],[Motorista]],Base!A:A,Base!B:B),""))</f>
        <v>RZD</v>
      </c>
      <c r="N558" s="20" t="str">
        <f t="shared" si="23"/>
        <v>Aguardando Entrada</v>
      </c>
      <c r="O5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8" s="2">
        <v>0.28402777777777777</v>
      </c>
      <c r="R558" s="16"/>
      <c r="S558" s="16"/>
      <c r="T558" s="14" t="str">
        <f>IF(OR(Tabela1[[#This Row],[Entrada]]="",Tabela1[[#This Row],[Saída]]=""), "", Tabela1[[#This Row],[Saída]]-Tabela1[[#This Row],[Entrada]])</f>
        <v/>
      </c>
      <c r="U558" s="15" t="str">
        <f>IF(OR('Controle de CT'!$R558= "", 'Controle de CT'!$P558= ""), "", 'Controle de CT'!$R558-'Controle de CT'!$P558)</f>
        <v/>
      </c>
      <c r="V558" s="1"/>
      <c r="W558" s="2"/>
      <c r="X558" s="2"/>
    </row>
    <row r="559" spans="11:24" ht="15" hidden="1" customHeight="1">
      <c r="K559" s="5">
        <v>46091</v>
      </c>
      <c r="L559" s="8" t="s">
        <v>123</v>
      </c>
      <c r="M559" s="9" t="str">
        <f>IF(Tabela1[[#This Row],[Motorista]]="","",IFERROR(_xlfn.XLOOKUP(Tabela1[[#This Row],[Motorista]],Base!A:A,Base!B:B),""))</f>
        <v>RZD</v>
      </c>
      <c r="N559" s="20" t="str">
        <f t="shared" si="23"/>
        <v>Aguardando Entrada</v>
      </c>
      <c r="O5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59" s="2">
        <v>0.28402777777777777</v>
      </c>
      <c r="R559" s="16"/>
      <c r="S559" s="16"/>
      <c r="T559" s="14" t="str">
        <f>IF(OR(Tabela1[[#This Row],[Entrada]]="",Tabela1[[#This Row],[Saída]]=""), "", Tabela1[[#This Row],[Saída]]-Tabela1[[#This Row],[Entrada]])</f>
        <v/>
      </c>
      <c r="U559" s="15" t="str">
        <f>IF(OR('Controle de CT'!$R559= "", 'Controle de CT'!$P559= ""), "", 'Controle de CT'!$R559-'Controle de CT'!$P559)</f>
        <v/>
      </c>
      <c r="V559" s="1"/>
      <c r="W559" s="2"/>
      <c r="X559" s="2"/>
    </row>
    <row r="560" spans="11:24" ht="15" hidden="1" customHeight="1">
      <c r="K560" s="5">
        <v>46091</v>
      </c>
      <c r="L560" s="8" t="s">
        <v>130</v>
      </c>
      <c r="M560" s="9" t="str">
        <f>IF(Tabela1[[#This Row],[Motorista]]="","",IFERROR(_xlfn.XLOOKUP(Tabela1[[#This Row],[Motorista]],Base!A:A,Base!B:B),""))</f>
        <v>RZD</v>
      </c>
      <c r="N560" s="20" t="str">
        <f t="shared" si="23"/>
        <v>Aguardando Entrada</v>
      </c>
      <c r="O5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0" s="2">
        <v>0.29652777777777778</v>
      </c>
      <c r="R560" s="16"/>
      <c r="S560" s="16"/>
      <c r="T560" s="14" t="str">
        <f>IF(OR(Tabela1[[#This Row],[Entrada]]="",Tabela1[[#This Row],[Saída]]=""), "", Tabela1[[#This Row],[Saída]]-Tabela1[[#This Row],[Entrada]])</f>
        <v/>
      </c>
      <c r="U560" s="15" t="str">
        <f>IF(OR('Controle de CT'!$R560= "", 'Controle de CT'!$P560= ""), "", 'Controle de CT'!$R560-'Controle de CT'!$P560)</f>
        <v/>
      </c>
      <c r="V560" s="1"/>
      <c r="W560" s="2"/>
      <c r="X560" s="2"/>
    </row>
    <row r="561" spans="11:24" ht="15" hidden="1" customHeight="1">
      <c r="K561" s="5">
        <v>46091</v>
      </c>
      <c r="L561" s="8" t="s">
        <v>104</v>
      </c>
      <c r="M561" s="9" t="str">
        <f>IF(Tabela1[[#This Row],[Motorista]]="","",IFERROR(_xlfn.XLOOKUP(Tabela1[[#This Row],[Motorista]],Base!A:A,Base!B:B),""))</f>
        <v>RZD</v>
      </c>
      <c r="N561" s="20" t="str">
        <f t="shared" si="23"/>
        <v>Aguardando Entrada</v>
      </c>
      <c r="O5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1" s="2">
        <v>0.22847222222222222</v>
      </c>
      <c r="R561" s="16"/>
      <c r="S561" s="16"/>
      <c r="T561" s="14" t="str">
        <f>IF(OR(Tabela1[[#This Row],[Entrada]]="",Tabela1[[#This Row],[Saída]]=""), "", Tabela1[[#This Row],[Saída]]-Tabela1[[#This Row],[Entrada]])</f>
        <v/>
      </c>
      <c r="U561" s="15" t="str">
        <f>IF(OR('Controle de CT'!$R561= "", 'Controle de CT'!$P561= ""), "", 'Controle de CT'!$R561-'Controle de CT'!$P561)</f>
        <v/>
      </c>
      <c r="V561" s="1"/>
      <c r="W561" s="2"/>
      <c r="X561" s="2"/>
    </row>
    <row r="562" spans="11:24" ht="15" hidden="1" customHeight="1">
      <c r="K562" s="5">
        <v>46091</v>
      </c>
      <c r="L562" s="8" t="s">
        <v>174</v>
      </c>
      <c r="M562" s="9" t="str">
        <f>IF(Tabela1[[#This Row],[Motorista]]="","",IFERROR(_xlfn.XLOOKUP(Tabela1[[#This Row],[Motorista]],Base!A:A,Base!B:B),""))</f>
        <v>RZD</v>
      </c>
      <c r="N562" s="20" t="str">
        <f t="shared" si="23"/>
        <v>Aguardando Entrada</v>
      </c>
      <c r="O5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2" s="2">
        <v>0.19722222222222222</v>
      </c>
      <c r="R562" s="16"/>
      <c r="S562" s="16"/>
      <c r="T562" s="14" t="str">
        <f>IF(OR(Tabela1[[#This Row],[Entrada]]="",Tabela1[[#This Row],[Saída]]=""), "", Tabela1[[#This Row],[Saída]]-Tabela1[[#This Row],[Entrada]])</f>
        <v/>
      </c>
      <c r="U562" s="15" t="str">
        <f>IF(OR('Controle de CT'!$R562= "", 'Controle de CT'!$P562= ""), "", 'Controle de CT'!$R562-'Controle de CT'!$P562)</f>
        <v/>
      </c>
      <c r="V562" s="1"/>
      <c r="W562" s="2"/>
      <c r="X562" s="2"/>
    </row>
    <row r="563" spans="11:24" ht="15" hidden="1" customHeight="1">
      <c r="K563" s="5">
        <v>46091</v>
      </c>
      <c r="L563" s="8" t="s">
        <v>92</v>
      </c>
      <c r="M563" s="9" t="str">
        <f>IF(Tabela1[[#This Row],[Motorista]]="","",IFERROR(_xlfn.XLOOKUP(Tabela1[[#This Row],[Motorista]],Base!A:A,Base!B:B),""))</f>
        <v>FOB</v>
      </c>
      <c r="N563" s="20" t="str">
        <f t="shared" si="23"/>
        <v>Finalizado</v>
      </c>
      <c r="O5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3" s="2">
        <v>0.31874999999999998</v>
      </c>
      <c r="Q563" s="2">
        <v>0.37083333333333335</v>
      </c>
      <c r="R563" s="16">
        <v>0.41805555555555557</v>
      </c>
      <c r="S563" s="16" t="s">
        <v>85</v>
      </c>
      <c r="T563" s="14">
        <f>IF(OR(Tabela1[[#This Row],[Entrada]]="",Tabela1[[#This Row],[Saída]]=""), "", Tabela1[[#This Row],[Saída]]-Tabela1[[#This Row],[Entrada]])</f>
        <v>4.7222222222222221E-2</v>
      </c>
      <c r="U563" s="15">
        <f>IF(OR('Controle de CT'!$R563= "", 'Controle de CT'!$P563= ""), "", 'Controle de CT'!$R563-'Controle de CT'!$P563)</f>
        <v>9.9305555555555591E-2</v>
      </c>
      <c r="V563" s="1"/>
      <c r="W563" s="2"/>
      <c r="X563" s="2"/>
    </row>
    <row r="564" spans="11:24" ht="15" hidden="1" customHeight="1">
      <c r="K564" s="5">
        <v>46091</v>
      </c>
      <c r="L564" s="8" t="s">
        <v>87</v>
      </c>
      <c r="M564" s="9" t="str">
        <f>IF(Tabela1[[#This Row],[Motorista]]="","",IFERROR(_xlfn.XLOOKUP(Tabela1[[#This Row],[Motorista]],Base!A:A,Base!B:B),""))</f>
        <v>FOB</v>
      </c>
      <c r="N564" s="20" t="str">
        <f t="shared" si="23"/>
        <v>Finalizado</v>
      </c>
      <c r="O5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4" s="2">
        <v>0.34583333333333333</v>
      </c>
      <c r="Q564" s="2">
        <v>0.3972222222222222</v>
      </c>
      <c r="R564" s="16">
        <v>0.45347222222222222</v>
      </c>
      <c r="S564" s="16" t="s">
        <v>85</v>
      </c>
      <c r="T564" s="14">
        <f>IF(OR(Tabela1[[#This Row],[Entrada]]="",Tabela1[[#This Row],[Saída]]=""), "", Tabela1[[#This Row],[Saída]]-Tabela1[[#This Row],[Entrada]])</f>
        <v>5.6250000000000022E-2</v>
      </c>
      <c r="U564" s="15">
        <f>IF(OR('Controle de CT'!$R564= "", 'Controle de CT'!$P564= ""), "", 'Controle de CT'!$R564-'Controle de CT'!$P564)</f>
        <v>0.1076388888888889</v>
      </c>
      <c r="V564" s="1"/>
      <c r="W564" s="2"/>
      <c r="X564" s="2"/>
    </row>
    <row r="565" spans="11:24" ht="15" hidden="1" customHeight="1">
      <c r="K565" s="5">
        <v>46091</v>
      </c>
      <c r="L565" s="8" t="s">
        <v>42</v>
      </c>
      <c r="M565" s="9" t="str">
        <f>IF(Tabela1[[#This Row],[Motorista]]="","",IFERROR(_xlfn.XLOOKUP(Tabela1[[#This Row],[Motorista]],Base!A:A,Base!B:B),""))</f>
        <v>CIF</v>
      </c>
      <c r="N565" s="20" t="str">
        <f t="shared" si="23"/>
        <v>Finalizado</v>
      </c>
      <c r="O5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65" s="2">
        <v>0.35555555555555557</v>
      </c>
      <c r="Q565" s="2">
        <v>0.40416666666666667</v>
      </c>
      <c r="R565" s="16">
        <v>0.45416666666666666</v>
      </c>
      <c r="S565" s="16" t="s">
        <v>85</v>
      </c>
      <c r="T565" s="14">
        <f>IF(OR(Tabela1[[#This Row],[Entrada]]="",Tabela1[[#This Row],[Saída]]=""), "", Tabela1[[#This Row],[Saída]]-Tabela1[[#This Row],[Entrada]])</f>
        <v>4.9999999999999989E-2</v>
      </c>
      <c r="U565" s="15">
        <f>IF(OR('Controle de CT'!$R565= "", 'Controle de CT'!$P565= ""), "", 'Controle de CT'!$R565-'Controle de CT'!$P565)</f>
        <v>9.8611111111111094E-2</v>
      </c>
      <c r="V565" s="1"/>
      <c r="W565" s="2"/>
      <c r="X565" s="2"/>
    </row>
    <row r="566" spans="11:24" ht="15" hidden="1" customHeight="1">
      <c r="K566" s="5">
        <v>46091</v>
      </c>
      <c r="L566" s="8" t="s">
        <v>90</v>
      </c>
      <c r="M566" s="9" t="str">
        <f>IF(Tabela1[[#This Row],[Motorista]]="","",IFERROR(_xlfn.XLOOKUP(Tabela1[[#This Row],[Motorista]],Base!A:A,Base!B:B),""))</f>
        <v>FOB</v>
      </c>
      <c r="N566" s="20" t="str">
        <f t="shared" si="23"/>
        <v>Fila de Carregamento</v>
      </c>
      <c r="O5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66" s="2">
        <v>0.39791666666666664</v>
      </c>
      <c r="Q566" s="2">
        <v>0.48194444444444445</v>
      </c>
      <c r="R566" s="16"/>
      <c r="S566" s="16"/>
      <c r="T566" s="14" t="str">
        <f>IF(OR(Tabela1[[#This Row],[Entrada]]="",Tabela1[[#This Row],[Saída]]=""), "", Tabela1[[#This Row],[Saída]]-Tabela1[[#This Row],[Entrada]])</f>
        <v/>
      </c>
      <c r="U566" s="15" t="str">
        <f>IF(OR('Controle de CT'!$R566= "", 'Controle de CT'!$P566= ""), "", 'Controle de CT'!$R566-'Controle de CT'!$P566)</f>
        <v/>
      </c>
      <c r="V566" s="1"/>
      <c r="W566" s="2"/>
      <c r="X566" s="2"/>
    </row>
    <row r="567" spans="11:24" ht="15" hidden="1" customHeight="1">
      <c r="K567" s="5">
        <v>46091</v>
      </c>
      <c r="L567" s="8" t="s">
        <v>101</v>
      </c>
      <c r="M567" s="9" t="str">
        <f>IF(Tabela1[[#This Row],[Motorista]]="","",IFERROR(_xlfn.XLOOKUP(Tabela1[[#This Row],[Motorista]],Base!A:A,Base!B:B),""))</f>
        <v>FOB</v>
      </c>
      <c r="N567" s="20" t="str">
        <f t="shared" si="23"/>
        <v>Fila de Carregamento</v>
      </c>
      <c r="O5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7" s="2">
        <v>0.40902777777777777</v>
      </c>
      <c r="Q567" s="2">
        <v>0.50555555555555554</v>
      </c>
      <c r="R567" s="16"/>
      <c r="S567" s="16"/>
      <c r="T567" s="14" t="str">
        <f>IF(OR(Tabela1[[#This Row],[Entrada]]="",Tabela1[[#This Row],[Saída]]=""), "", Tabela1[[#This Row],[Saída]]-Tabela1[[#This Row],[Entrada]])</f>
        <v/>
      </c>
      <c r="U567" s="15" t="str">
        <f>IF(OR('Controle de CT'!$R567= "", 'Controle de CT'!$P567= ""), "", 'Controle de CT'!$R567-'Controle de CT'!$P567)</f>
        <v/>
      </c>
      <c r="V567" s="1"/>
      <c r="W567" s="2"/>
      <c r="X567" s="2"/>
    </row>
    <row r="568" spans="11:24" ht="15" hidden="1" customHeight="1">
      <c r="K568" s="5">
        <v>46091</v>
      </c>
      <c r="L568" s="8" t="s">
        <v>175</v>
      </c>
      <c r="M568" s="9" t="str">
        <f>IF(Tabela1[[#This Row],[Motorista]]="","",IFERROR(_xlfn.XLOOKUP(Tabela1[[#This Row],[Motorista]],Base!A:A,Base!B:B),""))</f>
        <v>FOB</v>
      </c>
      <c r="N568" s="20" t="str">
        <f t="shared" si="23"/>
        <v>Fila de Carregamento</v>
      </c>
      <c r="O5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8" s="2">
        <v>0.43958333333333333</v>
      </c>
      <c r="Q568" s="2">
        <v>0.54166666666666663</v>
      </c>
      <c r="R568" s="16"/>
      <c r="S568" s="16"/>
      <c r="T568" s="14" t="str">
        <f>IF(OR(Tabela1[[#This Row],[Entrada]]="",Tabela1[[#This Row],[Saída]]=""), "", Tabela1[[#This Row],[Saída]]-Tabela1[[#This Row],[Entrada]])</f>
        <v/>
      </c>
      <c r="U568" s="15" t="str">
        <f>IF(OR('Controle de CT'!$R568= "", 'Controle de CT'!$P568= ""), "", 'Controle de CT'!$R568-'Controle de CT'!$P568)</f>
        <v/>
      </c>
      <c r="V568" s="1"/>
      <c r="W568" s="2"/>
      <c r="X568" s="2"/>
    </row>
    <row r="569" spans="11:24" ht="15" hidden="1" customHeight="1">
      <c r="K569" s="5">
        <v>46091</v>
      </c>
      <c r="L569" s="8" t="s">
        <v>47</v>
      </c>
      <c r="M569" s="9" t="str">
        <f>IF(Tabela1[[#This Row],[Motorista]]="","",IFERROR(_xlfn.XLOOKUP(Tabela1[[#This Row],[Motorista]],Base!A:A,Base!B:B),""))</f>
        <v>CIF</v>
      </c>
      <c r="N569" s="20" t="str">
        <f t="shared" si="23"/>
        <v>Finalizado</v>
      </c>
      <c r="O5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69" s="2">
        <v>0.43194444444444446</v>
      </c>
      <c r="Q569" s="2">
        <v>0.52569444444444446</v>
      </c>
      <c r="R569" s="16">
        <v>0.58333333333333337</v>
      </c>
      <c r="S569" s="16"/>
      <c r="T569" s="14">
        <f>IF(OR(Tabela1[[#This Row],[Entrada]]="",Tabela1[[#This Row],[Saída]]=""), "", Tabela1[[#This Row],[Saída]]-Tabela1[[#This Row],[Entrada]])</f>
        <v>5.7638888888888906E-2</v>
      </c>
      <c r="U569" s="15">
        <f>IF(OR('Controle de CT'!$R569= "", 'Controle de CT'!$P569= ""), "", 'Controle de CT'!$R569-'Controle de CT'!$P569)</f>
        <v>0.15138888888888891</v>
      </c>
      <c r="V569" s="1"/>
      <c r="W569" s="2"/>
      <c r="X569" s="2"/>
    </row>
    <row r="570" spans="11:24" ht="15" hidden="1" customHeight="1">
      <c r="K570" s="5">
        <v>46091</v>
      </c>
      <c r="L570" s="8" t="s">
        <v>57</v>
      </c>
      <c r="M570" s="9" t="str">
        <f>IF(Tabela1[[#This Row],[Motorista]]="","",IFERROR(_xlfn.XLOOKUP(Tabela1[[#This Row],[Motorista]],Base!A:A,Base!B:B),""))</f>
        <v>CIF</v>
      </c>
      <c r="N570" s="20" t="str">
        <f t="shared" si="23"/>
        <v>Fila de Carregamento</v>
      </c>
      <c r="O5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70" s="2">
        <v>0.44027777777777777</v>
      </c>
      <c r="Q570" s="2">
        <v>0.52152777777777781</v>
      </c>
      <c r="R570" s="16"/>
      <c r="S570" s="16"/>
      <c r="T570" s="14" t="str">
        <f>IF(OR(Tabela1[[#This Row],[Entrada]]="",Tabela1[[#This Row],[Saída]]=""), "", Tabela1[[#This Row],[Saída]]-Tabela1[[#This Row],[Entrada]])</f>
        <v/>
      </c>
      <c r="U570" s="15" t="str">
        <f>IF(OR('Controle de CT'!$R570= "", 'Controle de CT'!$P570= ""), "", 'Controle de CT'!$R570-'Controle de CT'!$P570)</f>
        <v/>
      </c>
      <c r="V570" s="1"/>
      <c r="W570" s="2"/>
      <c r="X570" s="2"/>
    </row>
    <row r="571" spans="11:24" ht="15" hidden="1" customHeight="1">
      <c r="K571" s="5">
        <v>46091</v>
      </c>
      <c r="L571" s="59" t="s">
        <v>176</v>
      </c>
      <c r="M571" s="9" t="str">
        <f>IF(Tabela1[[#This Row],[Motorista]]="","",IFERROR(_xlfn.XLOOKUP(Tabela1[[#This Row],[Motorista]],Base!A:A,Base!B:B),""))</f>
        <v>FOB</v>
      </c>
      <c r="N571" s="20" t="str">
        <f t="shared" si="23"/>
        <v>Fila de Carregamento</v>
      </c>
      <c r="O5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71" s="2">
        <v>0.44791666666666669</v>
      </c>
      <c r="Q571" s="2">
        <v>0.5</v>
      </c>
      <c r="R571" s="16"/>
      <c r="S571" s="16"/>
      <c r="T571" s="14" t="str">
        <f>IF(OR(Tabela1[[#This Row],[Entrada]]="",Tabela1[[#This Row],[Saída]]=""), "", Tabela1[[#This Row],[Saída]]-Tabela1[[#This Row],[Entrada]])</f>
        <v/>
      </c>
      <c r="U571" s="15" t="str">
        <f>IF(OR('Controle de CT'!$R571= "", 'Controle de CT'!$P571= ""), "", 'Controle de CT'!$R571-'Controle de CT'!$P571)</f>
        <v/>
      </c>
      <c r="V571" s="1"/>
      <c r="W571" s="2"/>
      <c r="X571" s="2"/>
    </row>
    <row r="572" spans="11:24" ht="15" hidden="1" customHeight="1">
      <c r="K572" s="5">
        <v>46091</v>
      </c>
      <c r="L572" s="8" t="s">
        <v>171</v>
      </c>
      <c r="M572" s="9" t="str">
        <f>IF(Tabela1[[#This Row],[Motorista]]="","",IFERROR(_xlfn.XLOOKUP(Tabela1[[#This Row],[Motorista]],Base!A:A,Base!B:B),""))</f>
        <v>FOB</v>
      </c>
      <c r="N572" s="20" t="str">
        <f t="shared" si="23"/>
        <v>Fila de Carregamento</v>
      </c>
      <c r="O5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72" s="2">
        <v>0.44930555555555557</v>
      </c>
      <c r="Q572" s="2">
        <v>0.50416666666666665</v>
      </c>
      <c r="R572" s="16"/>
      <c r="S572" s="16"/>
      <c r="T572" s="14" t="str">
        <f>IF(OR(Tabela1[[#This Row],[Entrada]]="",Tabela1[[#This Row],[Saída]]=""), "", Tabela1[[#This Row],[Saída]]-Tabela1[[#This Row],[Entrada]])</f>
        <v/>
      </c>
      <c r="U572" s="15" t="str">
        <f>IF(OR('Controle de CT'!$R572= "", 'Controle de CT'!$P572= ""), "", 'Controle de CT'!$R572-'Controle de CT'!$P572)</f>
        <v/>
      </c>
      <c r="V572" s="1"/>
      <c r="W572" s="2"/>
      <c r="X572" s="2"/>
    </row>
    <row r="573" spans="11:24" ht="15" hidden="1" customHeight="1">
      <c r="K573" s="5">
        <v>46091</v>
      </c>
      <c r="L573" s="8" t="s">
        <v>56</v>
      </c>
      <c r="M573" s="9" t="str">
        <f>IF(Tabela1[[#This Row],[Motorista]]="","",IFERROR(_xlfn.XLOOKUP(Tabela1[[#This Row],[Motorista]],Base!A:A,Base!B:B),""))</f>
        <v/>
      </c>
      <c r="N573" s="20" t="str">
        <f t="shared" si="23"/>
        <v>Aguardando Entrada</v>
      </c>
      <c r="O5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73" s="2">
        <v>0.46527777777777779</v>
      </c>
      <c r="R573" s="16"/>
      <c r="S573" s="16"/>
      <c r="T573" s="14" t="str">
        <f>IF(OR(Tabela1[[#This Row],[Entrada]]="",Tabela1[[#This Row],[Saída]]=""), "", Tabela1[[#This Row],[Saída]]-Tabela1[[#This Row],[Entrada]])</f>
        <v/>
      </c>
      <c r="U573" s="15" t="str">
        <f>IF(OR('Controle de CT'!$R573= "", 'Controle de CT'!$P573= ""), "", 'Controle de CT'!$R573-'Controle de CT'!$P573)</f>
        <v/>
      </c>
      <c r="V573" s="1" t="s">
        <v>177</v>
      </c>
      <c r="W573" s="2"/>
      <c r="X573" s="2"/>
    </row>
    <row r="574" spans="11:24" ht="15" hidden="1" customHeight="1">
      <c r="K574" s="5">
        <v>46091</v>
      </c>
      <c r="L574" s="8" t="s">
        <v>55</v>
      </c>
      <c r="M574" s="9" t="str">
        <f>IF(Tabela1[[#This Row],[Motorista]]="","",IFERROR(_xlfn.XLOOKUP(Tabela1[[#This Row],[Motorista]],Base!A:A,Base!B:B),""))</f>
        <v>CIF</v>
      </c>
      <c r="N574" s="20" t="str">
        <f t="shared" si="23"/>
        <v>Finalizado</v>
      </c>
      <c r="O5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74" s="2">
        <v>0.50902777777777775</v>
      </c>
      <c r="Q574" s="2">
        <v>0.53888888888888886</v>
      </c>
      <c r="R574" s="16">
        <v>0.60069444444444442</v>
      </c>
      <c r="S574" s="16"/>
      <c r="T574" s="14">
        <f>IF(OR(Tabela1[[#This Row],[Entrada]]="",Tabela1[[#This Row],[Saída]]=""), "", Tabela1[[#This Row],[Saída]]-Tabela1[[#This Row],[Entrada]])</f>
        <v>6.1805555555555558E-2</v>
      </c>
      <c r="U574" s="15">
        <f>IF(OR('Controle de CT'!$R574= "", 'Controle de CT'!$P574= ""), "", 'Controle de CT'!$R574-'Controle de CT'!$P574)</f>
        <v>9.1666666666666674E-2</v>
      </c>
      <c r="V574" s="1"/>
      <c r="W574" s="2"/>
      <c r="X574" s="2"/>
    </row>
    <row r="575" spans="11:24" ht="15" hidden="1" customHeight="1">
      <c r="K575" s="5">
        <v>46091</v>
      </c>
      <c r="L575" s="8" t="s">
        <v>154</v>
      </c>
      <c r="M575" s="9" t="str">
        <f>IF(Tabela1[[#This Row],[Motorista]]="","",IFERROR(_xlfn.XLOOKUP(Tabela1[[#This Row],[Motorista]],Base!A:A,Base!B:B),""))</f>
        <v>FOB</v>
      </c>
      <c r="N575" s="20" t="str">
        <f t="shared" si="23"/>
        <v>Finalizado</v>
      </c>
      <c r="O5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75" s="2">
        <v>0.46944444444444444</v>
      </c>
      <c r="Q575" s="2">
        <v>0.58333333333333337</v>
      </c>
      <c r="R575" s="16">
        <v>0.68680555555555556</v>
      </c>
      <c r="S575" s="16"/>
      <c r="T575" s="14">
        <f>IF(OR(Tabela1[[#This Row],[Entrada]]="",Tabela1[[#This Row],[Saída]]=""), "", Tabela1[[#This Row],[Saída]]-Tabela1[[#This Row],[Entrada]])</f>
        <v>0.10347222222222219</v>
      </c>
      <c r="U575" s="15">
        <f>IF(OR('Controle de CT'!$R575= "", 'Controle de CT'!$P575= ""), "", 'Controle de CT'!$R575-'Controle de CT'!$P575)</f>
        <v>0.21736111111111112</v>
      </c>
      <c r="V575" s="1"/>
      <c r="W575" s="2"/>
      <c r="X575" s="2"/>
    </row>
    <row r="576" spans="11:24" ht="15" hidden="1" customHeight="1">
      <c r="K576" s="5">
        <v>46091</v>
      </c>
      <c r="L576" s="8" t="s">
        <v>162</v>
      </c>
      <c r="M576" s="9" t="str">
        <f>IF(Tabela1[[#This Row],[Motorista]]="","",IFERROR(_xlfn.XLOOKUP(Tabela1[[#This Row],[Motorista]],Base!A:A,Base!B:B),""))</f>
        <v>FOB</v>
      </c>
      <c r="N576" s="20" t="str">
        <f t="shared" si="23"/>
        <v>Aguardando Entrada</v>
      </c>
      <c r="O5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76" s="2">
        <v>0.53194444444444444</v>
      </c>
      <c r="R576" s="16"/>
      <c r="S576" s="16"/>
      <c r="T576" s="14" t="str">
        <f>IF(OR(Tabela1[[#This Row],[Entrada]]="",Tabela1[[#This Row],[Saída]]=""), "", Tabela1[[#This Row],[Saída]]-Tabela1[[#This Row],[Entrada]])</f>
        <v/>
      </c>
      <c r="U576" s="15" t="str">
        <f>IF(OR('Controle de CT'!$R576= "", 'Controle de CT'!$P576= ""), "", 'Controle de CT'!$R576-'Controle de CT'!$P576)</f>
        <v/>
      </c>
      <c r="V576" s="1"/>
      <c r="W576" s="2"/>
      <c r="X576" s="2"/>
    </row>
    <row r="577" spans="11:24" ht="15" hidden="1" customHeight="1">
      <c r="K577" s="5">
        <v>46091</v>
      </c>
      <c r="L577" s="8" t="s">
        <v>42</v>
      </c>
      <c r="M577" s="9" t="str">
        <f>IF(Tabela1[[#This Row],[Motorista]]="","",IFERROR(_xlfn.XLOOKUP(Tabela1[[#This Row],[Motorista]],Base!A:A,Base!B:B),""))</f>
        <v>CIF</v>
      </c>
      <c r="N577" s="20" t="str">
        <f t="shared" si="23"/>
        <v>Aguardando Entrada</v>
      </c>
      <c r="O5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577" s="2">
        <v>0.56111111111111112</v>
      </c>
      <c r="R577" s="16"/>
      <c r="S577" s="16"/>
      <c r="T577" s="14" t="str">
        <f>IF(OR(Tabela1[[#This Row],[Entrada]]="",Tabela1[[#This Row],[Saída]]=""), "", Tabela1[[#This Row],[Saída]]-Tabela1[[#This Row],[Entrada]])</f>
        <v/>
      </c>
      <c r="U577" s="15" t="str">
        <f>IF(OR('Controle de CT'!$R577= "", 'Controle de CT'!$P577= ""), "", 'Controle de CT'!$R577-'Controle de CT'!$P577)</f>
        <v/>
      </c>
      <c r="V577" s="1"/>
      <c r="W577" s="2"/>
      <c r="X577" s="2"/>
    </row>
    <row r="578" spans="11:24" ht="15" hidden="1" customHeight="1">
      <c r="K578" s="5">
        <v>46091</v>
      </c>
      <c r="L578" s="8" t="s">
        <v>86</v>
      </c>
      <c r="M578" s="9" t="str">
        <f>IF(Tabela1[[#This Row],[Motorista]]="","",IFERROR(_xlfn.XLOOKUP(Tabela1[[#This Row],[Motorista]],Base!A:A,Base!B:B),""))</f>
        <v>FOB</v>
      </c>
      <c r="N578" s="20" t="str">
        <f t="shared" ref="N578:N601" si="24">IF(R578&lt;&gt;"","Finalizado", IF(Q578&lt;&gt;"","Fila de Carregamento", IF(P578&lt;&gt;"","Aguardando Entrada","")))</f>
        <v>Aguardando Entrada</v>
      </c>
      <c r="O5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78" s="2">
        <v>0.59930555555555554</v>
      </c>
      <c r="R578" s="16"/>
      <c r="S578" s="16"/>
      <c r="T578" s="14" t="str">
        <f>IF(OR(Tabela1[[#This Row],[Entrada]]="",Tabela1[[#This Row],[Saída]]=""), "", Tabela1[[#This Row],[Saída]]-Tabela1[[#This Row],[Entrada]])</f>
        <v/>
      </c>
      <c r="U578" s="15" t="str">
        <f>IF(OR('Controle de CT'!$R578= "", 'Controle de CT'!$P578= ""), "", 'Controle de CT'!$R578-'Controle de CT'!$P578)</f>
        <v/>
      </c>
      <c r="V578" s="1"/>
      <c r="W578" s="2"/>
      <c r="X578" s="2"/>
    </row>
    <row r="579" spans="11:24" ht="15" hidden="1" customHeight="1">
      <c r="K579" s="5">
        <v>46091</v>
      </c>
      <c r="L579" s="8" t="s">
        <v>111</v>
      </c>
      <c r="M579" s="9" t="str">
        <f>IF(Tabela1[[#This Row],[Motorista]]="","",IFERROR(_xlfn.XLOOKUP(Tabela1[[#This Row],[Motorista]],Base!A:A,Base!B:B),""))</f>
        <v>FOB</v>
      </c>
      <c r="N579" s="20" t="str">
        <f t="shared" si="24"/>
        <v>Finalizado</v>
      </c>
      <c r="O5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79" s="2">
        <v>0.62916666666666665</v>
      </c>
      <c r="Q579" s="2">
        <v>0.65694444444444444</v>
      </c>
      <c r="R579" s="16">
        <v>0.71944444444444444</v>
      </c>
      <c r="S579" s="16"/>
      <c r="T579" s="14">
        <f>IF(OR(Tabela1[[#This Row],[Entrada]]="",Tabela1[[#This Row],[Saída]]=""), "", Tabela1[[#This Row],[Saída]]-Tabela1[[#This Row],[Entrada]])</f>
        <v>6.25E-2</v>
      </c>
      <c r="U579" s="15">
        <f>IF(OR('Controle de CT'!$R579= "", 'Controle de CT'!$P579= ""), "", 'Controle de CT'!$R579-'Controle de CT'!$P579)</f>
        <v>9.027777777777779E-2</v>
      </c>
      <c r="V579" s="1"/>
      <c r="W579" s="2"/>
      <c r="X579" s="2"/>
    </row>
    <row r="580" spans="11:24" ht="15" hidden="1" customHeight="1">
      <c r="K580" s="5">
        <v>46091</v>
      </c>
      <c r="L580" s="8" t="s">
        <v>91</v>
      </c>
      <c r="M580" s="9" t="str">
        <f>IF(Tabela1[[#This Row],[Motorista]]="","",IFERROR(_xlfn.XLOOKUP(Tabela1[[#This Row],[Motorista]],Base!A:A,Base!B:B),""))</f>
        <v>FOB</v>
      </c>
      <c r="N580" s="20" t="str">
        <f t="shared" si="24"/>
        <v>Finalizado</v>
      </c>
      <c r="O5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80" s="2">
        <v>0.62430555555555556</v>
      </c>
      <c r="Q580" s="2">
        <v>0.67013888888888884</v>
      </c>
      <c r="R580" s="16">
        <v>0.72916666666666663</v>
      </c>
      <c r="S580" s="16" t="s">
        <v>97</v>
      </c>
      <c r="T580" s="14">
        <f>IF(OR(Tabela1[[#This Row],[Entrada]]="",Tabela1[[#This Row],[Saída]]=""), "", Tabela1[[#This Row],[Saída]]-Tabela1[[#This Row],[Entrada]])</f>
        <v>5.902777777777779E-2</v>
      </c>
      <c r="U580" s="15">
        <f>IF(OR('Controle de CT'!$R580= "", 'Controle de CT'!$P580= ""), "", 'Controle de CT'!$R580-'Controle de CT'!$P580)</f>
        <v>0.10486111111111107</v>
      </c>
      <c r="V580" s="1"/>
      <c r="W580" s="2"/>
      <c r="X580" s="2"/>
    </row>
    <row r="581" spans="11:24" ht="15" hidden="1" customHeight="1">
      <c r="K581" s="5">
        <v>46091</v>
      </c>
      <c r="L581" s="8" t="s">
        <v>90</v>
      </c>
      <c r="M581" s="9" t="str">
        <f>IF(Tabela1[[#This Row],[Motorista]]="","",IFERROR(_xlfn.XLOOKUP(Tabela1[[#This Row],[Motorista]],Base!A:A,Base!B:B),""))</f>
        <v>FOB</v>
      </c>
      <c r="N581" s="20" t="str">
        <f t="shared" si="24"/>
        <v>Finalizado</v>
      </c>
      <c r="O5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81" s="2">
        <v>0.65833333333333333</v>
      </c>
      <c r="Q581" s="2">
        <v>0.68819444444444444</v>
      </c>
      <c r="R581" s="16">
        <v>0.74583333333333335</v>
      </c>
      <c r="S581" s="16"/>
      <c r="T581" s="14">
        <f>IF(OR(Tabela1[[#This Row],[Entrada]]="",Tabela1[[#This Row],[Saída]]=""), "", Tabela1[[#This Row],[Saída]]-Tabela1[[#This Row],[Entrada]])</f>
        <v>5.7638888888888906E-2</v>
      </c>
      <c r="U581" s="15">
        <f>IF(OR('Controle de CT'!$R581= "", 'Controle de CT'!$P581= ""), "", 'Controle de CT'!$R581-'Controle de CT'!$P581)</f>
        <v>8.7500000000000022E-2</v>
      </c>
      <c r="V581" s="1"/>
      <c r="W581" s="2"/>
      <c r="X581" s="2"/>
    </row>
    <row r="582" spans="11:24" ht="15" hidden="1" customHeight="1">
      <c r="K582" s="5">
        <v>46091</v>
      </c>
      <c r="L582" s="8" t="s">
        <v>178</v>
      </c>
      <c r="M582" s="9" t="str">
        <f>IF(Tabela1[[#This Row],[Motorista]]="","",IFERROR(_xlfn.XLOOKUP(Tabela1[[#This Row],[Motorista]],Base!A:A,Base!B:B),""))</f>
        <v>Transferência</v>
      </c>
      <c r="N582" s="20" t="str">
        <f t="shared" si="24"/>
        <v>Fila de Carregamento</v>
      </c>
      <c r="O5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82" s="2">
        <v>0.74027777777777781</v>
      </c>
      <c r="Q582" s="2">
        <v>0.75763888888888886</v>
      </c>
      <c r="R582" s="16"/>
      <c r="S582" s="16"/>
      <c r="T582" s="14" t="str">
        <f>IF(OR(Tabela1[[#This Row],[Entrada]]="",Tabela1[[#This Row],[Saída]]=""), "", Tabela1[[#This Row],[Saída]]-Tabela1[[#This Row],[Entrada]])</f>
        <v/>
      </c>
      <c r="U582" s="15" t="str">
        <f>IF(OR('Controle de CT'!$R582= "", 'Controle de CT'!$P582= ""), "", 'Controle de CT'!$R582-'Controle de CT'!$P582)</f>
        <v/>
      </c>
      <c r="V582" s="1"/>
      <c r="W582" s="2"/>
      <c r="X582" s="2"/>
    </row>
    <row r="583" spans="11:24" ht="15" hidden="1" customHeight="1">
      <c r="K583" s="5">
        <v>46092</v>
      </c>
      <c r="L583" s="8" t="s">
        <v>42</v>
      </c>
      <c r="M583" s="9" t="str">
        <f>IF(Tabela1[[#This Row],[Motorista]]="","",IFERROR(_xlfn.XLOOKUP(Tabela1[[#This Row],[Motorista]],Base!A:A,Base!B:B),""))</f>
        <v>CIF</v>
      </c>
      <c r="N583" s="20" t="str">
        <f t="shared" si="24"/>
        <v>Finalizado</v>
      </c>
      <c r="O5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83" s="2">
        <v>0.24305555555555555</v>
      </c>
      <c r="Q583" s="2">
        <v>0.26111111111111113</v>
      </c>
      <c r="R583" s="16">
        <v>0.29166666666666669</v>
      </c>
      <c r="S583" s="16"/>
      <c r="T583" s="14">
        <f>IF(OR(Tabela1[[#This Row],[Entrada]]="",Tabela1[[#This Row],[Saída]]=""), "", Tabela1[[#This Row],[Saída]]-Tabela1[[#This Row],[Entrada]])</f>
        <v>3.0555555555555558E-2</v>
      </c>
      <c r="U583" s="15">
        <f>IF(OR('Controle de CT'!$R583= "", 'Controle de CT'!$P583= ""), "", 'Controle de CT'!$R583-'Controle de CT'!$P583)</f>
        <v>4.8611111111111133E-2</v>
      </c>
      <c r="V583" s="1"/>
      <c r="W583" s="2"/>
      <c r="X583" s="2"/>
    </row>
    <row r="584" spans="11:24" ht="15" hidden="1" customHeight="1">
      <c r="K584" s="5">
        <v>46092</v>
      </c>
      <c r="L584" s="8" t="s">
        <v>47</v>
      </c>
      <c r="M584" s="9" t="str">
        <f>IF(Tabela1[[#This Row],[Motorista]]="","",IFERROR(_xlfn.XLOOKUP(Tabela1[[#This Row],[Motorista]],Base!A:A,Base!B:B),""))</f>
        <v>CIF</v>
      </c>
      <c r="N584" s="20" t="str">
        <f t="shared" si="24"/>
        <v>Fila de Carregamento</v>
      </c>
      <c r="O5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84" s="2">
        <v>0.26805555555555555</v>
      </c>
      <c r="Q584" s="2">
        <v>0.28472222222222221</v>
      </c>
      <c r="R584" s="16"/>
      <c r="S584" s="16"/>
      <c r="T584" s="14" t="str">
        <f>IF(OR(Tabela1[[#This Row],[Entrada]]="",Tabela1[[#This Row],[Saída]]=""), "", Tabela1[[#This Row],[Saída]]-Tabela1[[#This Row],[Entrada]])</f>
        <v/>
      </c>
      <c r="U584" s="15" t="str">
        <f>IF(OR('Controle de CT'!$R584= "", 'Controle de CT'!$P584= ""), "", 'Controle de CT'!$R584-'Controle de CT'!$P584)</f>
        <v/>
      </c>
      <c r="V584" s="1"/>
      <c r="W584" s="2"/>
      <c r="X584" s="2"/>
    </row>
    <row r="585" spans="11:24" ht="15" hidden="1" customHeight="1">
      <c r="K585" s="5">
        <v>46092</v>
      </c>
      <c r="L585" s="8" t="s">
        <v>93</v>
      </c>
      <c r="M585" s="9" t="str">
        <f>IF(Tabela1[[#This Row],[Motorista]]="","",IFERROR(_xlfn.XLOOKUP(Tabela1[[#This Row],[Motorista]],Base!A:A,Base!B:B),""))</f>
        <v>FOB</v>
      </c>
      <c r="N585" s="20" t="str">
        <f t="shared" si="24"/>
        <v>Aguardando Entrada</v>
      </c>
      <c r="O5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85" s="2">
        <v>0.27777777777777779</v>
      </c>
      <c r="R585" s="16"/>
      <c r="S585" s="16"/>
      <c r="T585" s="14" t="str">
        <f>IF(OR(Tabela1[[#This Row],[Entrada]]="",Tabela1[[#This Row],[Saída]]=""), "", Tabela1[[#This Row],[Saída]]-Tabela1[[#This Row],[Entrada]])</f>
        <v/>
      </c>
      <c r="U585" s="15" t="str">
        <f>IF(OR('Controle de CT'!$R585= "", 'Controle de CT'!$P585= ""), "", 'Controle de CT'!$R585-'Controle de CT'!$P585)</f>
        <v/>
      </c>
      <c r="V585" s="1"/>
      <c r="W585" s="2"/>
      <c r="X585" s="2"/>
    </row>
    <row r="586" spans="11:24" ht="15" hidden="1" customHeight="1">
      <c r="K586" s="5">
        <v>46092</v>
      </c>
      <c r="L586" s="8" t="s">
        <v>95</v>
      </c>
      <c r="M586" s="9" t="str">
        <f>IF(Tabela1[[#This Row],[Motorista]]="","",IFERROR(_xlfn.XLOOKUP(Tabela1[[#This Row],[Motorista]],Base!A:A,Base!B:B),""))</f>
        <v>FOB</v>
      </c>
      <c r="N586" s="20" t="str">
        <f t="shared" si="24"/>
        <v>Finalizado</v>
      </c>
      <c r="O5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86" s="2">
        <v>0.27986111111111112</v>
      </c>
      <c r="Q586" s="2">
        <v>0.31736111111111109</v>
      </c>
      <c r="R586" s="16">
        <v>0.45833333333333331</v>
      </c>
      <c r="S586" s="16"/>
      <c r="T586" s="14">
        <f>IF(OR(Tabela1[[#This Row],[Entrada]]="",Tabela1[[#This Row],[Saída]]=""), "", Tabela1[[#This Row],[Saída]]-Tabela1[[#This Row],[Entrada]])</f>
        <v>0.14097222222222222</v>
      </c>
      <c r="U586" s="15">
        <f>IF(OR('Controle de CT'!$R586= "", 'Controle de CT'!$P586= ""), "", 'Controle de CT'!$R586-'Controle de CT'!$P586)</f>
        <v>0.1784722222222222</v>
      </c>
      <c r="V586" s="1"/>
      <c r="W586" s="2"/>
      <c r="X586" s="2"/>
    </row>
    <row r="587" spans="11:24" ht="15" hidden="1" customHeight="1">
      <c r="K587" s="5">
        <v>46092</v>
      </c>
      <c r="L587" s="8" t="s">
        <v>89</v>
      </c>
      <c r="M587" s="9" t="str">
        <f>IF(Tabela1[[#This Row],[Motorista]]="","",IFERROR(_xlfn.XLOOKUP(Tabela1[[#This Row],[Motorista]],Base!A:A,Base!B:B),""))</f>
        <v>FOB</v>
      </c>
      <c r="N587" s="20" t="str">
        <f t="shared" si="24"/>
        <v>Aguardando Entrada</v>
      </c>
      <c r="O5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87" s="2">
        <v>0.28541666666666665</v>
      </c>
      <c r="R587" s="16"/>
      <c r="S587" s="16"/>
      <c r="T587" s="14" t="str">
        <f>IF(OR(Tabela1[[#This Row],[Entrada]]="",Tabela1[[#This Row],[Saída]]=""), "", Tabela1[[#This Row],[Saída]]-Tabela1[[#This Row],[Entrada]])</f>
        <v/>
      </c>
      <c r="U587" s="15" t="str">
        <f>IF(OR('Controle de CT'!$R587= "", 'Controle de CT'!$P587= ""), "", 'Controle de CT'!$R587-'Controle de CT'!$P587)</f>
        <v/>
      </c>
      <c r="V587" s="1"/>
      <c r="W587" s="2"/>
      <c r="X587" s="2"/>
    </row>
    <row r="588" spans="11:24" ht="15" hidden="1" customHeight="1">
      <c r="K588" s="5">
        <v>46092</v>
      </c>
      <c r="L588" s="8" t="s">
        <v>92</v>
      </c>
      <c r="M588" s="9" t="str">
        <f>IF(Tabela1[[#This Row],[Motorista]]="","",IFERROR(_xlfn.XLOOKUP(Tabela1[[#This Row],[Motorista]],Base!A:A,Base!B:B),""))</f>
        <v>FOB</v>
      </c>
      <c r="N588" s="20" t="str">
        <f t="shared" si="24"/>
        <v>Fila de Carregamento</v>
      </c>
      <c r="O5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88" s="4">
        <v>0.31666666666666665</v>
      </c>
      <c r="Q588" s="4">
        <v>0.39583333333333331</v>
      </c>
      <c r="R588" s="23"/>
      <c r="S588" s="16"/>
      <c r="T588" s="14" t="str">
        <f>IF(OR(Tabela1[[#This Row],[Entrada]]="",Tabela1[[#This Row],[Saída]]=""), "", Tabela1[[#This Row],[Saída]]-Tabela1[[#This Row],[Entrada]])</f>
        <v/>
      </c>
      <c r="U588" s="15" t="str">
        <f>IF(OR('Controle de CT'!$R588= "", 'Controle de CT'!$P588= ""), "", 'Controle de CT'!$R588-'Controle de CT'!$P588)</f>
        <v/>
      </c>
      <c r="V588" s="1"/>
      <c r="W588" s="2"/>
      <c r="X588" s="2"/>
    </row>
    <row r="589" spans="11:24" ht="15" hidden="1" customHeight="1">
      <c r="K589" s="5">
        <v>46092</v>
      </c>
      <c r="L589" s="8" t="s">
        <v>106</v>
      </c>
      <c r="M589" s="9" t="str">
        <f>IF(Tabela1[[#This Row],[Motorista]]="","",IFERROR(_xlfn.XLOOKUP(Tabela1[[#This Row],[Motorista]],Base!A:A,Base!B:B),""))</f>
        <v>FOB</v>
      </c>
      <c r="N589" s="20" t="str">
        <f t="shared" si="24"/>
        <v/>
      </c>
      <c r="O5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589" s="16"/>
      <c r="S589" s="16"/>
      <c r="T589" s="14" t="str">
        <f>IF(OR(Tabela1[[#This Row],[Entrada]]="",Tabela1[[#This Row],[Saída]]=""), "", Tabela1[[#This Row],[Saída]]-Tabela1[[#This Row],[Entrada]])</f>
        <v/>
      </c>
      <c r="U589" s="15" t="str">
        <f>IF(OR('Controle de CT'!$R589= "", 'Controle de CT'!$P589= ""), "", 'Controle de CT'!$R589-'Controle de CT'!$P589)</f>
        <v/>
      </c>
      <c r="V589" s="1"/>
      <c r="W589" s="2"/>
      <c r="X589" s="2"/>
    </row>
    <row r="590" spans="11:24" ht="15" hidden="1" customHeight="1">
      <c r="K590" s="5">
        <v>46092</v>
      </c>
      <c r="L590" s="8" t="s">
        <v>102</v>
      </c>
      <c r="M590" s="9" t="str">
        <f>IF(Tabela1[[#This Row],[Motorista]]="","",IFERROR(_xlfn.XLOOKUP(Tabela1[[#This Row],[Motorista]],Base!A:A,Base!B:B),""))</f>
        <v>Transferência</v>
      </c>
      <c r="N590" s="20" t="str">
        <f t="shared" si="24"/>
        <v>Finalizado</v>
      </c>
      <c r="O5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0" s="2">
        <v>0.33333333333333331</v>
      </c>
      <c r="Q590" s="2">
        <v>0.35416666666666669</v>
      </c>
      <c r="R590" s="16">
        <v>0.375</v>
      </c>
      <c r="S590" s="16"/>
      <c r="T590" s="14">
        <f>IF(OR(Tabela1[[#This Row],[Entrada]]="",Tabela1[[#This Row],[Saída]]=""), "", Tabela1[[#This Row],[Saída]]-Tabela1[[#This Row],[Entrada]])</f>
        <v>2.0833333333333315E-2</v>
      </c>
      <c r="U590" s="15">
        <f>IF(OR('Controle de CT'!$R590= "", 'Controle de CT'!$P590= ""), "", 'Controle de CT'!$R590-'Controle de CT'!$P590)</f>
        <v>4.1666666666666685E-2</v>
      </c>
      <c r="V590" s="1"/>
      <c r="W590" s="2"/>
      <c r="X590" s="2"/>
    </row>
    <row r="591" spans="11:24" ht="15" hidden="1" customHeight="1">
      <c r="K591" s="5">
        <v>46092</v>
      </c>
      <c r="L591" s="8" t="s">
        <v>86</v>
      </c>
      <c r="M591" s="9" t="str">
        <f>IF(Tabela1[[#This Row],[Motorista]]="","",IFERROR(_xlfn.XLOOKUP(Tabela1[[#This Row],[Motorista]],Base!A:A,Base!B:B),""))</f>
        <v>FOB</v>
      </c>
      <c r="N591" s="20" t="str">
        <f t="shared" si="24"/>
        <v>Fila de Carregamento</v>
      </c>
      <c r="O5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1" s="2">
        <v>0.35069444444444442</v>
      </c>
      <c r="Q591" s="2">
        <v>0.39652777777777776</v>
      </c>
      <c r="R591" s="16"/>
      <c r="S591" s="16"/>
      <c r="T591" s="14" t="str">
        <f>IF(OR(Tabela1[[#This Row],[Entrada]]="",Tabela1[[#This Row],[Saída]]=""), "", Tabela1[[#This Row],[Saída]]-Tabela1[[#This Row],[Entrada]])</f>
        <v/>
      </c>
      <c r="U591" s="15" t="str">
        <f>IF(OR('Controle de CT'!$R591= "", 'Controle de CT'!$P591= ""), "", 'Controle de CT'!$R591-'Controle de CT'!$P591)</f>
        <v/>
      </c>
      <c r="V591" s="1"/>
      <c r="W591" s="2"/>
      <c r="X591" s="2"/>
    </row>
    <row r="592" spans="11:24" ht="15" hidden="1" customHeight="1">
      <c r="K592" s="5">
        <v>46092</v>
      </c>
      <c r="L592" s="8" t="s">
        <v>58</v>
      </c>
      <c r="M592" s="9" t="str">
        <f>IF(Tabela1[[#This Row],[Motorista]]="","",IFERROR(_xlfn.XLOOKUP(Tabela1[[#This Row],[Motorista]],Base!A:A,Base!B:B),""))</f>
        <v xml:space="preserve">CIF </v>
      </c>
      <c r="N592" s="20" t="str">
        <f t="shared" si="24"/>
        <v>Finalizado</v>
      </c>
      <c r="O5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2" s="2">
        <v>0.37222222222222223</v>
      </c>
      <c r="Q592" s="2">
        <v>0.45833333333333331</v>
      </c>
      <c r="R592" s="16">
        <v>0.45833333333333331</v>
      </c>
      <c r="S592" s="16"/>
      <c r="T592" s="14">
        <f>IF(OR(Tabela1[[#This Row],[Entrada]]="",Tabela1[[#This Row],[Saída]]=""), "", Tabela1[[#This Row],[Saída]]-Tabela1[[#This Row],[Entrada]])</f>
        <v>0</v>
      </c>
      <c r="U592" s="15">
        <f>IF(OR('Controle de CT'!$R592= "", 'Controle de CT'!$P592= ""), "", 'Controle de CT'!$R592-'Controle de CT'!$P592)</f>
        <v>8.6111111111111083E-2</v>
      </c>
      <c r="V592" s="1"/>
      <c r="W592" s="2"/>
      <c r="X592" s="2"/>
    </row>
    <row r="593" spans="11:24" ht="15" hidden="1" customHeight="1">
      <c r="K593" s="5">
        <v>46092</v>
      </c>
      <c r="L593" s="8" t="s">
        <v>162</v>
      </c>
      <c r="M593" s="9" t="str">
        <f>IF(Tabela1[[#This Row],[Motorista]]="","",IFERROR(_xlfn.XLOOKUP(Tabela1[[#This Row],[Motorista]],Base!A:A,Base!B:B),""))</f>
        <v>FOB</v>
      </c>
      <c r="N593" s="20" t="str">
        <f t="shared" si="24"/>
        <v>Aguardando Entrada</v>
      </c>
      <c r="O5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3" s="2">
        <v>0.34652777777777777</v>
      </c>
      <c r="R593" s="16"/>
      <c r="S593" s="16"/>
      <c r="T593" s="14" t="str">
        <f>IF(OR(Tabela1[[#This Row],[Entrada]]="",Tabela1[[#This Row],[Saída]]=""), "", Tabela1[[#This Row],[Saída]]-Tabela1[[#This Row],[Entrada]])</f>
        <v/>
      </c>
      <c r="U593" s="15" t="str">
        <f>IF(OR('Controle de CT'!$R593= "", 'Controle de CT'!$P593= ""), "", 'Controle de CT'!$R593-'Controle de CT'!$P593)</f>
        <v/>
      </c>
      <c r="V593" s="1"/>
      <c r="W593" s="2"/>
      <c r="X593" s="2"/>
    </row>
    <row r="594" spans="11:24" ht="15" hidden="1" customHeight="1">
      <c r="K594" s="5">
        <v>46092</v>
      </c>
      <c r="L594" s="8" t="s">
        <v>179</v>
      </c>
      <c r="M594" s="9" t="str">
        <f>IF(Tabela1[[#This Row],[Motorista]]="","",IFERROR(_xlfn.XLOOKUP(Tabela1[[#This Row],[Motorista]],Base!A:A,Base!B:B),""))</f>
        <v>Transferência</v>
      </c>
      <c r="N594" s="20" t="str">
        <f t="shared" si="24"/>
        <v>Aguardando Entrada</v>
      </c>
      <c r="O5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4" s="2">
        <v>0.4</v>
      </c>
      <c r="R594" s="16"/>
      <c r="S594" s="16"/>
      <c r="T594" s="14" t="str">
        <f>IF(OR(Tabela1[[#This Row],[Entrada]]="",Tabela1[[#This Row],[Saída]]=""), "", Tabela1[[#This Row],[Saída]]-Tabela1[[#This Row],[Entrada]])</f>
        <v/>
      </c>
      <c r="U594" s="15" t="str">
        <f>IF(OR('Controle de CT'!$R594= "", 'Controle de CT'!$P594= ""), "", 'Controle de CT'!$R594-'Controle de CT'!$P594)</f>
        <v/>
      </c>
      <c r="V594" s="1"/>
      <c r="W594" s="2"/>
      <c r="X594" s="2"/>
    </row>
    <row r="595" spans="11:24" ht="15" hidden="1" customHeight="1">
      <c r="K595" s="5">
        <v>46092</v>
      </c>
      <c r="L595" s="8" t="s">
        <v>93</v>
      </c>
      <c r="M595" s="9" t="str">
        <f>IF(Tabela1[[#This Row],[Motorista]]="","",IFERROR(_xlfn.XLOOKUP(Tabela1[[#This Row],[Motorista]],Base!A:A,Base!B:B),""))</f>
        <v>FOB</v>
      </c>
      <c r="N595" s="20" t="str">
        <f t="shared" si="24"/>
        <v>Aguardando Entrada</v>
      </c>
      <c r="O5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95" s="2">
        <v>0.33333333333333331</v>
      </c>
      <c r="R595" s="16"/>
      <c r="S595" s="16"/>
      <c r="T595" s="14" t="str">
        <f>IF(OR(Tabela1[[#This Row],[Entrada]]="",Tabela1[[#This Row],[Saída]]=""), "", Tabela1[[#This Row],[Saída]]-Tabela1[[#This Row],[Entrada]])</f>
        <v/>
      </c>
      <c r="U595" s="15" t="str">
        <f>IF(OR('Controle de CT'!$R595= "", 'Controle de CT'!$P595= ""), "", 'Controle de CT'!$R595-'Controle de CT'!$P595)</f>
        <v/>
      </c>
      <c r="V595" s="1"/>
      <c r="W595" s="2"/>
      <c r="X595" s="2"/>
    </row>
    <row r="596" spans="11:24" ht="15" hidden="1" customHeight="1">
      <c r="K596" s="5">
        <v>46092</v>
      </c>
      <c r="L596" s="8" t="s">
        <v>42</v>
      </c>
      <c r="M596" s="9" t="str">
        <f>IF(Tabela1[[#This Row],[Motorista]]="","",IFERROR(_xlfn.XLOOKUP(Tabela1[[#This Row],[Motorista]],Base!A:A,Base!B:B),""))</f>
        <v>CIF</v>
      </c>
      <c r="N596" s="20" t="str">
        <f t="shared" si="24"/>
        <v>Fila de Carregamento</v>
      </c>
      <c r="O5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96" s="2">
        <v>0.4201388888888889</v>
      </c>
      <c r="Q596" s="2">
        <v>0.46597222222222223</v>
      </c>
      <c r="R596" s="16"/>
      <c r="S596" s="16"/>
      <c r="T596" s="14" t="str">
        <f>IF(OR(Tabela1[[#This Row],[Entrada]]="",Tabela1[[#This Row],[Saída]]=""), "", Tabela1[[#This Row],[Saída]]-Tabela1[[#This Row],[Entrada]])</f>
        <v/>
      </c>
      <c r="U596" s="15" t="str">
        <f>IF(OR('Controle de CT'!$R596= "", 'Controle de CT'!$P596= ""), "", 'Controle de CT'!$R596-'Controle de CT'!$P596)</f>
        <v/>
      </c>
      <c r="V596" s="1"/>
      <c r="W596" s="2"/>
      <c r="X596" s="2"/>
    </row>
    <row r="597" spans="11:24" ht="15" hidden="1" customHeight="1">
      <c r="K597" s="5">
        <v>46092</v>
      </c>
      <c r="L597" s="8" t="s">
        <v>153</v>
      </c>
      <c r="M597" s="9" t="str">
        <f>IF(Tabela1[[#This Row],[Motorista]]="","",IFERROR(_xlfn.XLOOKUP(Tabela1[[#This Row],[Motorista]],Base!A:A,Base!B:B),""))</f>
        <v>FOB</v>
      </c>
      <c r="N597" s="20" t="str">
        <f t="shared" si="24"/>
        <v/>
      </c>
      <c r="O5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597" s="16"/>
      <c r="S597" s="16"/>
      <c r="T597" s="14" t="str">
        <f>IF(OR(Tabela1[[#This Row],[Entrada]]="",Tabela1[[#This Row],[Saída]]=""), "", Tabela1[[#This Row],[Saída]]-Tabela1[[#This Row],[Entrada]])</f>
        <v/>
      </c>
      <c r="U597" s="15" t="str">
        <f>IF(OR('Controle de CT'!$R597= "", 'Controle de CT'!$P597= ""), "", 'Controle de CT'!$R597-'Controle de CT'!$P597)</f>
        <v/>
      </c>
      <c r="V597" s="1"/>
      <c r="W597" s="2"/>
      <c r="X597" s="2"/>
    </row>
    <row r="598" spans="11:24" ht="15" hidden="1" customHeight="1">
      <c r="K598" s="5">
        <v>46092</v>
      </c>
      <c r="L598" s="8" t="s">
        <v>95</v>
      </c>
      <c r="M598" s="9" t="str">
        <f>IF(Tabela1[[#This Row],[Motorista]]="","",IFERROR(_xlfn.XLOOKUP(Tabela1[[#This Row],[Motorista]],Base!A:A,Base!B:B),""))</f>
        <v>FOB</v>
      </c>
      <c r="N598" s="20" t="str">
        <f t="shared" si="24"/>
        <v>Aguardando Entrada</v>
      </c>
      <c r="O5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598" s="2">
        <v>0.55694444444444446</v>
      </c>
      <c r="R598" s="16"/>
      <c r="S598" s="16"/>
      <c r="T598" s="14" t="str">
        <f>IF(OR(Tabela1[[#This Row],[Entrada]]="",Tabela1[[#This Row],[Saída]]=""), "", Tabela1[[#This Row],[Saída]]-Tabela1[[#This Row],[Entrada]])</f>
        <v/>
      </c>
      <c r="U598" s="15" t="str">
        <f>IF(OR('Controle de CT'!$R598= "", 'Controle de CT'!$P598= ""), "", 'Controle de CT'!$R598-'Controle de CT'!$P598)</f>
        <v/>
      </c>
      <c r="V598" s="1"/>
      <c r="W598" s="2"/>
      <c r="X598" s="2"/>
    </row>
    <row r="599" spans="11:24" ht="15" hidden="1" customHeight="1">
      <c r="K599" s="5">
        <v>46092</v>
      </c>
      <c r="L599" s="8" t="s">
        <v>55</v>
      </c>
      <c r="M599" s="9" t="str">
        <f>IF(Tabela1[[#This Row],[Motorista]]="","",IFERROR(_xlfn.XLOOKUP(Tabela1[[#This Row],[Motorista]],Base!A:A,Base!B:B),""))</f>
        <v>CIF</v>
      </c>
      <c r="N599" s="20" t="str">
        <f t="shared" si="24"/>
        <v>Fila de Carregamento</v>
      </c>
      <c r="O5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599" s="2">
        <v>0.55902777777777779</v>
      </c>
      <c r="Q599" s="2">
        <v>0.5756944444444444</v>
      </c>
      <c r="R599" s="16"/>
      <c r="S599" s="16"/>
      <c r="T599" s="14" t="str">
        <f>IF(OR(Tabela1[[#This Row],[Entrada]]="",Tabela1[[#This Row],[Saída]]=""), "", Tabela1[[#This Row],[Saída]]-Tabela1[[#This Row],[Entrada]])</f>
        <v/>
      </c>
      <c r="U599" s="15" t="str">
        <f>IF(OR('Controle de CT'!$R599= "", 'Controle de CT'!$P599= ""), "", 'Controle de CT'!$R599-'Controle de CT'!$P599)</f>
        <v/>
      </c>
      <c r="V599" s="1"/>
      <c r="W599" s="2"/>
      <c r="X599" s="2"/>
    </row>
    <row r="600" spans="11:24" ht="15" hidden="1" customHeight="1">
      <c r="K600" s="5">
        <v>46092</v>
      </c>
      <c r="L600" s="8" t="s">
        <v>91</v>
      </c>
      <c r="M600" s="9" t="str">
        <f>IF(Tabela1[[#This Row],[Motorista]]="","",IFERROR(_xlfn.XLOOKUP(Tabela1[[#This Row],[Motorista]],Base!A:A,Base!B:B),""))</f>
        <v>FOB</v>
      </c>
      <c r="N600" s="20" t="str">
        <f t="shared" si="24"/>
        <v/>
      </c>
      <c r="O6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00" s="16"/>
      <c r="S600" s="16"/>
      <c r="T600" s="14" t="str">
        <f>IF(OR(Tabela1[[#This Row],[Entrada]]="",Tabela1[[#This Row],[Saída]]=""), "", Tabela1[[#This Row],[Saída]]-Tabela1[[#This Row],[Entrada]])</f>
        <v/>
      </c>
      <c r="U600" s="15" t="str">
        <f>IF(OR('Controle de CT'!$R600= "", 'Controle de CT'!$P600= ""), "", 'Controle de CT'!$R600-'Controle de CT'!$P600)</f>
        <v/>
      </c>
      <c r="V600" s="1"/>
      <c r="W600" s="2"/>
      <c r="X600" s="2"/>
    </row>
    <row r="601" spans="11:24" ht="15" hidden="1" customHeight="1">
      <c r="K601" s="5">
        <v>46093</v>
      </c>
      <c r="L601" s="8" t="s">
        <v>108</v>
      </c>
      <c r="M601" s="9" t="str">
        <f>IF(Tabela1[[#This Row],[Motorista]]="","",IFERROR(_xlfn.XLOOKUP(Tabela1[[#This Row],[Motorista]],Base!A:A,Base!B:B),""))</f>
        <v>Transferência</v>
      </c>
      <c r="N601" s="20" t="str">
        <f t="shared" si="24"/>
        <v>Aguardando Entrada</v>
      </c>
      <c r="O6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1" s="4">
        <v>0.37430555555555556</v>
      </c>
      <c r="Q601" s="4"/>
      <c r="R601" s="23"/>
      <c r="S601" s="16"/>
      <c r="T601" s="14" t="str">
        <f>IF(OR(Tabela1[[#This Row],[Entrada]]="",Tabela1[[#This Row],[Saída]]=""), "", Tabela1[[#This Row],[Saída]]-Tabela1[[#This Row],[Entrada]])</f>
        <v/>
      </c>
      <c r="U601" s="15" t="str">
        <f>IF(OR('Controle de CT'!$R601= "", 'Controle de CT'!$P601= ""), "", 'Controle de CT'!$R601-'Controle de CT'!$P601)</f>
        <v/>
      </c>
      <c r="V601" s="1"/>
      <c r="W601" s="2"/>
      <c r="X601" s="2"/>
    </row>
    <row r="602" spans="11:24" ht="15" hidden="1" customHeight="1">
      <c r="K602" s="5">
        <v>46093</v>
      </c>
      <c r="L602" s="8" t="s">
        <v>86</v>
      </c>
      <c r="M602" s="9" t="str">
        <f>IF(Tabela1[[#This Row],[Motorista]]="","",IFERROR(_xlfn.XLOOKUP(Tabela1[[#This Row],[Motorista]],Base!A:A,Base!B:B),""))</f>
        <v>FOB</v>
      </c>
      <c r="N602" s="20" t="str">
        <f t="shared" ref="N602:N626" si="25">IF(R602&lt;&gt;"","Finalizado", IF(Q602&lt;&gt;"","Fila de Carregamento", IF(P602&lt;&gt;"","Aguardando Entrada","")))</f>
        <v>Fila de Carregamento</v>
      </c>
      <c r="O6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2" s="4"/>
      <c r="Q602" s="4">
        <v>0.41249999999999998</v>
      </c>
      <c r="R602" s="23"/>
      <c r="S602" s="16" t="s">
        <v>85</v>
      </c>
      <c r="T602" s="14" t="str">
        <f>IF(OR(Tabela1[[#This Row],[Entrada]]="",Tabela1[[#This Row],[Saída]]=""), "", Tabela1[[#This Row],[Saída]]-Tabela1[[#This Row],[Entrada]])</f>
        <v/>
      </c>
      <c r="U602" s="15" t="str">
        <f>IF(OR('Controle de CT'!$R602= "", 'Controle de CT'!$P602= ""), "", 'Controle de CT'!$R602-'Controle de CT'!$P602)</f>
        <v/>
      </c>
      <c r="V602" s="1"/>
      <c r="W602" s="2"/>
      <c r="X602" s="2"/>
    </row>
    <row r="603" spans="11:24" ht="15" hidden="1" customHeight="1">
      <c r="K603" s="5">
        <v>46093</v>
      </c>
      <c r="L603" s="8" t="s">
        <v>88</v>
      </c>
      <c r="M603" s="9" t="str">
        <f>IF(Tabela1[[#This Row],[Motorista]]="","",IFERROR(_xlfn.XLOOKUP(Tabela1[[#This Row],[Motorista]],Base!A:A,Base!B:B),""))</f>
        <v>RZD</v>
      </c>
      <c r="N603" s="20" t="str">
        <f t="shared" si="25"/>
        <v>Fila de Carregamento</v>
      </c>
      <c r="O6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3" s="2">
        <v>0.29722222222222222</v>
      </c>
      <c r="Q603" s="2">
        <v>0.31527777777777777</v>
      </c>
      <c r="R603" s="16"/>
      <c r="S603" s="16"/>
      <c r="T603" s="14" t="str">
        <f>IF(OR(Tabela1[[#This Row],[Entrada]]="",Tabela1[[#This Row],[Saída]]=""), "", Tabela1[[#This Row],[Saída]]-Tabela1[[#This Row],[Entrada]])</f>
        <v/>
      </c>
      <c r="U603" s="15" t="str">
        <f>IF(OR('Controle de CT'!$R603= "", 'Controle de CT'!$P603= ""), "", 'Controle de CT'!$R603-'Controle de CT'!$P603)</f>
        <v/>
      </c>
      <c r="V603" s="1"/>
      <c r="W603" s="2"/>
      <c r="X603" s="2"/>
    </row>
    <row r="604" spans="11:24" ht="15" hidden="1" customHeight="1">
      <c r="K604" s="5">
        <v>46093</v>
      </c>
      <c r="L604" s="8" t="s">
        <v>57</v>
      </c>
      <c r="M604" s="9" t="str">
        <f>IF(Tabela1[[#This Row],[Motorista]]="","",IFERROR(_xlfn.XLOOKUP(Tabela1[[#This Row],[Motorista]],Base!A:A,Base!B:B),""))</f>
        <v>CIF</v>
      </c>
      <c r="N604" s="20" t="str">
        <f t="shared" si="25"/>
        <v>Finalizado</v>
      </c>
      <c r="O6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4" s="2">
        <v>0.25833333333333336</v>
      </c>
      <c r="Q604" s="2">
        <v>0.28749999999999998</v>
      </c>
      <c r="R604" s="16">
        <v>0.32222222222222224</v>
      </c>
      <c r="S604" s="16" t="s">
        <v>85</v>
      </c>
      <c r="T604" s="14">
        <f>IF(OR(Tabela1[[#This Row],[Entrada]]="",Tabela1[[#This Row],[Saída]]=""), "", Tabela1[[#This Row],[Saída]]-Tabela1[[#This Row],[Entrada]])</f>
        <v>3.4722222222222265E-2</v>
      </c>
      <c r="U604" s="15">
        <f>IF(OR('Controle de CT'!$R604= "", 'Controle de CT'!$P604= ""), "", 'Controle de CT'!$R604-'Controle de CT'!$P604)</f>
        <v>6.3888888888888884E-2</v>
      </c>
      <c r="V604" s="1"/>
      <c r="W604" s="2"/>
      <c r="X604" s="2"/>
    </row>
    <row r="605" spans="11:24" ht="15" hidden="1" customHeight="1">
      <c r="K605" s="5">
        <v>46093</v>
      </c>
      <c r="L605" s="8" t="s">
        <v>49</v>
      </c>
      <c r="M605" s="9" t="str">
        <f>IF(Tabela1[[#This Row],[Motorista]]="","",IFERROR(_xlfn.XLOOKUP(Tabela1[[#This Row],[Motorista]],Base!A:A,Base!B:B),""))</f>
        <v>CIF</v>
      </c>
      <c r="N605" s="20" t="str">
        <f t="shared" si="25"/>
        <v>Finalizado</v>
      </c>
      <c r="O6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05" s="2">
        <v>0.26250000000000001</v>
      </c>
      <c r="Q605" s="2">
        <v>0.28958333333333336</v>
      </c>
      <c r="R605" s="16">
        <v>0.34027777777777779</v>
      </c>
      <c r="S605" s="16" t="s">
        <v>85</v>
      </c>
      <c r="T605" s="14">
        <f>IF(OR(Tabela1[[#This Row],[Entrada]]="",Tabela1[[#This Row],[Saída]]=""), "", Tabela1[[#This Row],[Saída]]-Tabela1[[#This Row],[Entrada]])</f>
        <v>5.0694444444444431E-2</v>
      </c>
      <c r="U605" s="15">
        <f>IF(OR('Controle de CT'!$R605= "", 'Controle de CT'!$P605= ""), "", 'Controle de CT'!$R605-'Controle de CT'!$P605)</f>
        <v>7.7777777777777779E-2</v>
      </c>
      <c r="V605" s="1"/>
      <c r="W605" s="2"/>
      <c r="X605" s="2"/>
    </row>
    <row r="606" spans="11:24" ht="15" hidden="1" customHeight="1">
      <c r="K606" s="5">
        <v>46093</v>
      </c>
      <c r="L606" s="8" t="s">
        <v>47</v>
      </c>
      <c r="M606" s="9" t="str">
        <f>IF(Tabela1[[#This Row],[Motorista]]="","",IFERROR(_xlfn.XLOOKUP(Tabela1[[#This Row],[Motorista]],Base!A:A,Base!B:B),""))</f>
        <v>CIF</v>
      </c>
      <c r="N606" s="20" t="str">
        <f t="shared" si="25"/>
        <v>Fila de Carregamento</v>
      </c>
      <c r="O6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6" s="2">
        <v>0.26250000000000001</v>
      </c>
      <c r="Q606" s="2">
        <v>0.29166666666666669</v>
      </c>
      <c r="R606" s="16"/>
      <c r="S606" s="16" t="s">
        <v>85</v>
      </c>
      <c r="T606" s="14" t="str">
        <f>IF(OR(Tabela1[[#This Row],[Entrada]]="",Tabela1[[#This Row],[Saída]]=""), "", Tabela1[[#This Row],[Saída]]-Tabela1[[#This Row],[Entrada]])</f>
        <v/>
      </c>
      <c r="U606" s="15" t="str">
        <f>IF(OR('Controle de CT'!$R606= "", 'Controle de CT'!$P606= ""), "", 'Controle de CT'!$R606-'Controle de CT'!$P606)</f>
        <v/>
      </c>
      <c r="V606" s="1"/>
      <c r="W606" s="2"/>
      <c r="X606" s="2"/>
    </row>
    <row r="607" spans="11:24" ht="15" hidden="1" customHeight="1">
      <c r="K607" s="5">
        <v>46093</v>
      </c>
      <c r="L607" s="8" t="s">
        <v>153</v>
      </c>
      <c r="M607" s="9" t="str">
        <f>IF(Tabela1[[#This Row],[Motorista]]="","",IFERROR(_xlfn.XLOOKUP(Tabela1[[#This Row],[Motorista]],Base!A:A,Base!B:B),""))</f>
        <v>FOB</v>
      </c>
      <c r="N607" s="20" t="str">
        <f t="shared" si="25"/>
        <v/>
      </c>
      <c r="O6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07" s="16"/>
      <c r="S607" s="16"/>
      <c r="T607" s="14" t="str">
        <f>IF(OR(Tabela1[[#This Row],[Entrada]]="",Tabela1[[#This Row],[Saída]]=""), "", Tabela1[[#This Row],[Saída]]-Tabela1[[#This Row],[Entrada]])</f>
        <v/>
      </c>
      <c r="U607" s="15" t="str">
        <f>IF(OR('Controle de CT'!$R607= "", 'Controle de CT'!$P607= ""), "", 'Controle de CT'!$R607-'Controle de CT'!$P607)</f>
        <v/>
      </c>
      <c r="V607" s="1"/>
      <c r="W607" s="2"/>
      <c r="X607" s="2"/>
    </row>
    <row r="608" spans="11:24" ht="15" hidden="1" customHeight="1">
      <c r="K608" s="5">
        <v>46093</v>
      </c>
      <c r="L608" s="8" t="s">
        <v>95</v>
      </c>
      <c r="M608" s="9" t="str">
        <f>IF(Tabela1[[#This Row],[Motorista]]="","",IFERROR(_xlfn.XLOOKUP(Tabela1[[#This Row],[Motorista]],Base!A:A,Base!B:B),""))</f>
        <v>FOB</v>
      </c>
      <c r="N608" s="20" t="str">
        <f t="shared" si="25"/>
        <v>Aguardando Entrada</v>
      </c>
      <c r="O6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8" s="2">
        <v>0.28541666666666665</v>
      </c>
      <c r="R608" s="16"/>
      <c r="S608" s="16"/>
      <c r="T608" s="14" t="str">
        <f>IF(OR(Tabela1[[#This Row],[Entrada]]="",Tabela1[[#This Row],[Saída]]=""), "", Tabela1[[#This Row],[Saída]]-Tabela1[[#This Row],[Entrada]])</f>
        <v/>
      </c>
      <c r="U608" s="15" t="str">
        <f>IF(OR('Controle de CT'!$R608= "", 'Controle de CT'!$P608= ""), "", 'Controle de CT'!$R608-'Controle de CT'!$P608)</f>
        <v/>
      </c>
      <c r="V608" s="1"/>
      <c r="W608" s="2"/>
      <c r="X608" s="2"/>
    </row>
    <row r="609" spans="11:24" ht="15" hidden="1" customHeight="1">
      <c r="K609" s="5">
        <v>46093</v>
      </c>
      <c r="L609" s="8" t="s">
        <v>42</v>
      </c>
      <c r="M609" s="9" t="str">
        <f>IF(Tabela1[[#This Row],[Motorista]]="","",IFERROR(_xlfn.XLOOKUP(Tabela1[[#This Row],[Motorista]],Base!A:A,Base!B:B),""))</f>
        <v>CIF</v>
      </c>
      <c r="N609" s="20" t="str">
        <f t="shared" si="25"/>
        <v>Fila de Carregamento</v>
      </c>
      <c r="O6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09" s="2">
        <v>0.28680555555555554</v>
      </c>
      <c r="Q609" s="2">
        <v>0.30416666666666664</v>
      </c>
      <c r="R609" s="16"/>
      <c r="S609" s="16" t="s">
        <v>85</v>
      </c>
      <c r="T609" s="14" t="str">
        <f>IF(OR(Tabela1[[#This Row],[Entrada]]="",Tabela1[[#This Row],[Saída]]=""), "", Tabela1[[#This Row],[Saída]]-Tabela1[[#This Row],[Entrada]])</f>
        <v/>
      </c>
      <c r="U609" s="15" t="str">
        <f>IF(OR('Controle de CT'!$R609= "", 'Controle de CT'!$P609= ""), "", 'Controle de CT'!$R609-'Controle de CT'!$P609)</f>
        <v/>
      </c>
      <c r="V609" s="1"/>
      <c r="W609" s="2"/>
      <c r="X609" s="2"/>
    </row>
    <row r="610" spans="11:24" ht="15" hidden="1" customHeight="1">
      <c r="K610" s="5">
        <v>46093</v>
      </c>
      <c r="L610" s="8" t="s">
        <v>93</v>
      </c>
      <c r="M610" s="9" t="str">
        <f>IF(Tabela1[[#This Row],[Motorista]]="","",IFERROR(_xlfn.XLOOKUP(Tabela1[[#This Row],[Motorista]],Base!A:A,Base!B:B),""))</f>
        <v>FOB</v>
      </c>
      <c r="N610" s="20" t="str">
        <f t="shared" si="25"/>
        <v>Finalizado</v>
      </c>
      <c r="O6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10" s="2">
        <v>0.33263888888888887</v>
      </c>
      <c r="Q610" s="2">
        <v>0.34166666666666667</v>
      </c>
      <c r="R610" s="16">
        <v>0.38263888888888886</v>
      </c>
      <c r="S610" s="16" t="s">
        <v>85</v>
      </c>
      <c r="T610" s="14">
        <f>IF(OR(Tabela1[[#This Row],[Entrada]]="",Tabela1[[#This Row],[Saída]]=""), "", Tabela1[[#This Row],[Saída]]-Tabela1[[#This Row],[Entrada]])</f>
        <v>4.0972222222222188E-2</v>
      </c>
      <c r="U610" s="15">
        <f>IF(OR('Controle de CT'!$R610= "", 'Controle de CT'!$P610= ""), "", 'Controle de CT'!$R610-'Controle de CT'!$P610)</f>
        <v>4.9999999999999989E-2</v>
      </c>
      <c r="V610" s="1"/>
      <c r="W610" s="2"/>
      <c r="X610" s="2"/>
    </row>
    <row r="611" spans="11:24" ht="15" hidden="1" customHeight="1">
      <c r="K611" s="5">
        <v>46093</v>
      </c>
      <c r="L611" s="8" t="s">
        <v>87</v>
      </c>
      <c r="M611" s="9" t="str">
        <f>IF(Tabela1[[#This Row],[Motorista]]="","",IFERROR(_xlfn.XLOOKUP(Tabela1[[#This Row],[Motorista]],Base!A:A,Base!B:B),""))</f>
        <v>FOB</v>
      </c>
      <c r="N611" s="20" t="str">
        <f t="shared" si="25"/>
        <v>Finalizado</v>
      </c>
      <c r="O6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11" s="2">
        <v>0.33263888888888887</v>
      </c>
      <c r="R611" s="16">
        <v>0.39583333333333331</v>
      </c>
      <c r="S611" s="16" t="s">
        <v>85</v>
      </c>
      <c r="T611" s="14" t="str">
        <f>IF(OR(Tabela1[[#This Row],[Entrada]]="",Tabela1[[#This Row],[Saída]]=""), "", Tabela1[[#This Row],[Saída]]-Tabela1[[#This Row],[Entrada]])</f>
        <v/>
      </c>
      <c r="U611" s="15">
        <f>IF(OR('Controle de CT'!$R611= "", 'Controle de CT'!$P611= ""), "", 'Controle de CT'!$R611-'Controle de CT'!$P611)</f>
        <v>6.3194444444444442E-2</v>
      </c>
      <c r="V611" s="1"/>
      <c r="W611" s="2"/>
      <c r="X611" s="2"/>
    </row>
    <row r="612" spans="11:24" ht="15" hidden="1" customHeight="1">
      <c r="K612" s="5">
        <v>46093</v>
      </c>
      <c r="L612" s="8" t="s">
        <v>92</v>
      </c>
      <c r="M612" s="9" t="str">
        <f>IF(Tabela1[[#This Row],[Motorista]]="","",IFERROR(_xlfn.XLOOKUP(Tabela1[[#This Row],[Motorista]],Base!A:A,Base!B:B),""))</f>
        <v>FOB</v>
      </c>
      <c r="N612" s="20" t="str">
        <f t="shared" si="25"/>
        <v>Finalizado</v>
      </c>
      <c r="O6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12" s="2">
        <v>0.33263888888888887</v>
      </c>
      <c r="Q612" s="2">
        <v>0.35902777777777778</v>
      </c>
      <c r="R612" s="16">
        <v>0.40763888888888888</v>
      </c>
      <c r="S612" s="16" t="s">
        <v>85</v>
      </c>
      <c r="T612" s="14">
        <f>IF(OR(Tabela1[[#This Row],[Entrada]]="",Tabela1[[#This Row],[Saída]]=""), "", Tabela1[[#This Row],[Saída]]-Tabela1[[#This Row],[Entrada]])</f>
        <v>4.8611111111111105E-2</v>
      </c>
      <c r="U612" s="15">
        <f>IF(OR('Controle de CT'!$R612= "", 'Controle de CT'!$P612= ""), "", 'Controle de CT'!$R612-'Controle de CT'!$P612)</f>
        <v>7.5000000000000011E-2</v>
      </c>
      <c r="V612" s="1"/>
      <c r="W612" s="2"/>
      <c r="X612" s="2"/>
    </row>
    <row r="613" spans="11:24" ht="15" hidden="1" customHeight="1">
      <c r="K613" s="5">
        <v>46093</v>
      </c>
      <c r="L613" s="8" t="s">
        <v>101</v>
      </c>
      <c r="M613" s="9" t="str">
        <f>IF(Tabela1[[#This Row],[Motorista]]="","",IFERROR(_xlfn.XLOOKUP(Tabela1[[#This Row],[Motorista]],Base!A:A,Base!B:B),""))</f>
        <v>FOB</v>
      </c>
      <c r="N613" s="20" t="str">
        <f t="shared" si="25"/>
        <v>Finalizado</v>
      </c>
      <c r="O6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3" s="2">
        <v>0.3347222222222222</v>
      </c>
      <c r="Q613" s="2">
        <v>0.40833333333333333</v>
      </c>
      <c r="R613" s="16">
        <v>0.45694444444444443</v>
      </c>
      <c r="S613" s="16" t="s">
        <v>85</v>
      </c>
      <c r="T613" s="14">
        <f>IF(OR(Tabela1[[#This Row],[Entrada]]="",Tabela1[[#This Row],[Saída]]=""), "", Tabela1[[#This Row],[Saída]]-Tabela1[[#This Row],[Entrada]])</f>
        <v>4.8611111111111105E-2</v>
      </c>
      <c r="U613" s="15">
        <f>IF(OR('Controle de CT'!$R613= "", 'Controle de CT'!$P613= ""), "", 'Controle de CT'!$R613-'Controle de CT'!$P613)</f>
        <v>0.12222222222222223</v>
      </c>
      <c r="V613" s="1"/>
      <c r="W613" s="2"/>
      <c r="X613" s="2"/>
    </row>
    <row r="614" spans="11:24" ht="15" hidden="1" customHeight="1">
      <c r="K614" s="5">
        <v>46093</v>
      </c>
      <c r="L614" s="8" t="s">
        <v>104</v>
      </c>
      <c r="M614" s="9" t="str">
        <f>IF(Tabela1[[#This Row],[Motorista]]="","",IFERROR(_xlfn.XLOOKUP(Tabela1[[#This Row],[Motorista]],Base!A:A,Base!B:B),""))</f>
        <v>RZD</v>
      </c>
      <c r="N614" s="20" t="str">
        <f t="shared" si="25"/>
        <v>Finalizado</v>
      </c>
      <c r="O6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14" s="16">
        <v>0.34097222222222223</v>
      </c>
      <c r="S614" s="16"/>
      <c r="T614" s="14" t="str">
        <f>IF(OR(Tabela1[[#This Row],[Entrada]]="",Tabela1[[#This Row],[Saída]]=""), "", Tabela1[[#This Row],[Saída]]-Tabela1[[#This Row],[Entrada]])</f>
        <v/>
      </c>
      <c r="U614" s="15" t="str">
        <f>IF(OR('Controle de CT'!$R614= "", 'Controle de CT'!$P614= ""), "", 'Controle de CT'!$R614-'Controle de CT'!$P614)</f>
        <v/>
      </c>
      <c r="V614" s="1"/>
      <c r="W614" s="2"/>
      <c r="X614" s="2"/>
    </row>
    <row r="615" spans="11:24" ht="15" hidden="1" customHeight="1">
      <c r="K615" s="5">
        <v>46093</v>
      </c>
      <c r="L615" s="8" t="s">
        <v>111</v>
      </c>
      <c r="M615" s="9" t="str">
        <f>IF(Tabela1[[#This Row],[Motorista]]="","",IFERROR(_xlfn.XLOOKUP(Tabela1[[#This Row],[Motorista]],Base!A:A,Base!B:B),""))</f>
        <v>FOB</v>
      </c>
      <c r="N615" s="20" t="str">
        <f t="shared" si="25"/>
        <v>Aguardando Entrada</v>
      </c>
      <c r="O6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5" s="2">
        <v>0.36458333333333331</v>
      </c>
      <c r="R615" s="16"/>
      <c r="S615" s="16"/>
      <c r="T615" s="14" t="str">
        <f>IF(OR(Tabela1[[#This Row],[Entrada]]="",Tabela1[[#This Row],[Saída]]=""), "", Tabela1[[#This Row],[Saída]]-Tabela1[[#This Row],[Entrada]])</f>
        <v/>
      </c>
      <c r="U615" s="15" t="str">
        <f>IF(OR('Controle de CT'!$R615= "", 'Controle de CT'!$P615= ""), "", 'Controle de CT'!$R615-'Controle de CT'!$P615)</f>
        <v/>
      </c>
      <c r="V615" s="1"/>
      <c r="W615" s="2"/>
      <c r="X615" s="2"/>
    </row>
    <row r="616" spans="11:24" ht="15" hidden="1" customHeight="1">
      <c r="K616" s="5">
        <v>46093</v>
      </c>
      <c r="L616" s="8" t="s">
        <v>56</v>
      </c>
      <c r="M616" s="9" t="str">
        <f>IF(Tabela1[[#This Row],[Motorista]]="","",IFERROR(_xlfn.XLOOKUP(Tabela1[[#This Row],[Motorista]],Base!A:A,Base!B:B),""))</f>
        <v/>
      </c>
      <c r="N616" s="20" t="str">
        <f t="shared" si="25"/>
        <v>Finalizado</v>
      </c>
      <c r="O6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6" s="2">
        <v>0.36805555555555558</v>
      </c>
      <c r="Q616" s="2">
        <v>0.37847222222222221</v>
      </c>
      <c r="R616" s="16">
        <v>0.41249999999999998</v>
      </c>
      <c r="S616" s="16" t="s">
        <v>85</v>
      </c>
      <c r="T616" s="14">
        <f>IF(OR(Tabela1[[#This Row],[Entrada]]="",Tabela1[[#This Row],[Saída]]=""), "", Tabela1[[#This Row],[Saída]]-Tabela1[[#This Row],[Entrada]])</f>
        <v>3.4027777777777768E-2</v>
      </c>
      <c r="U616" s="15">
        <f>IF(OR('Controle de CT'!$R616= "", 'Controle de CT'!$P616= ""), "", 'Controle de CT'!$R616-'Controle de CT'!$P616)</f>
        <v>4.4444444444444398E-2</v>
      </c>
      <c r="V616" s="1"/>
      <c r="W616" s="2"/>
      <c r="X616" s="2"/>
    </row>
    <row r="617" spans="11:24" ht="15" hidden="1" customHeight="1">
      <c r="K617" s="5">
        <v>46093</v>
      </c>
      <c r="L617" s="8" t="s">
        <v>168</v>
      </c>
      <c r="M617" s="9" t="str">
        <f>IF(Tabela1[[#This Row],[Motorista]]="","",IFERROR(_xlfn.XLOOKUP(Tabela1[[#This Row],[Motorista]],Base!A:A,Base!B:B),""))</f>
        <v>FOB</v>
      </c>
      <c r="N617" s="20" t="str">
        <f t="shared" si="25"/>
        <v>Aguardando Entrada</v>
      </c>
      <c r="O6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7" s="2">
        <v>0.37986111111111109</v>
      </c>
      <c r="R617" s="16"/>
      <c r="S617" s="16" t="s">
        <v>97</v>
      </c>
      <c r="T617" s="14" t="str">
        <f>IF(OR(Tabela1[[#This Row],[Entrada]]="",Tabela1[[#This Row],[Saída]]=""), "", Tabela1[[#This Row],[Saída]]-Tabela1[[#This Row],[Entrada]])</f>
        <v/>
      </c>
      <c r="U617" s="15" t="str">
        <f>IF(OR('Controle de CT'!$R617= "", 'Controle de CT'!$P617= ""), "", 'Controle de CT'!$R617-'Controle de CT'!$P617)</f>
        <v/>
      </c>
      <c r="V617" s="1"/>
      <c r="W617" s="2"/>
      <c r="X617" s="2"/>
    </row>
    <row r="618" spans="11:24" ht="15" hidden="1" customHeight="1">
      <c r="K618" s="5">
        <v>46093</v>
      </c>
      <c r="L618" s="8" t="s">
        <v>55</v>
      </c>
      <c r="M618" s="9" t="str">
        <f>IF(Tabela1[[#This Row],[Motorista]]="","",IFERROR(_xlfn.XLOOKUP(Tabela1[[#This Row],[Motorista]],Base!A:A,Base!B:B),""))</f>
        <v>CIF</v>
      </c>
      <c r="N618" s="20" t="str">
        <f t="shared" si="25"/>
        <v>Fila de Carregamento</v>
      </c>
      <c r="O6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18" s="2">
        <v>0.40902777777777777</v>
      </c>
      <c r="Q618" s="2">
        <v>0.4284722222222222</v>
      </c>
      <c r="R618" s="16"/>
      <c r="S618" s="16"/>
      <c r="T618" s="14" t="str">
        <f>IF(OR(Tabela1[[#This Row],[Entrada]]="",Tabela1[[#This Row],[Saída]]=""), "", Tabela1[[#This Row],[Saída]]-Tabela1[[#This Row],[Entrada]])</f>
        <v/>
      </c>
      <c r="U618" s="15" t="str">
        <f>IF(OR('Controle de CT'!$R618= "", 'Controle de CT'!$P618= ""), "", 'Controle de CT'!$R618-'Controle de CT'!$P618)</f>
        <v/>
      </c>
      <c r="V618" s="1"/>
      <c r="W618" s="2"/>
      <c r="X618" s="2"/>
    </row>
    <row r="619" spans="11:24" ht="15" hidden="1" customHeight="1">
      <c r="K619" s="5">
        <v>46093</v>
      </c>
      <c r="L619" s="8" t="s">
        <v>49</v>
      </c>
      <c r="M619" s="9" t="str">
        <f>IF(Tabela1[[#This Row],[Motorista]]="","",IFERROR(_xlfn.XLOOKUP(Tabela1[[#This Row],[Motorista]],Base!A:A,Base!B:B),""))</f>
        <v>CIF</v>
      </c>
      <c r="N619" s="20" t="str">
        <f t="shared" si="25"/>
        <v>Fila de Carregamento</v>
      </c>
      <c r="O6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19" s="2">
        <v>0.41736111111111113</v>
      </c>
      <c r="Q619" s="2">
        <v>0.4513888888888889</v>
      </c>
      <c r="R619" s="16"/>
      <c r="S619" s="16"/>
      <c r="T619" s="14" t="str">
        <f>IF(OR(Tabela1[[#This Row],[Entrada]]="",Tabela1[[#This Row],[Saída]]=""), "", Tabela1[[#This Row],[Saída]]-Tabela1[[#This Row],[Entrada]])</f>
        <v/>
      </c>
      <c r="U619" s="15" t="str">
        <f>IF(OR('Controle de CT'!$R619= "", 'Controle de CT'!$P619= ""), "", 'Controle de CT'!$R619-'Controle de CT'!$P619)</f>
        <v/>
      </c>
      <c r="V619" s="1"/>
      <c r="W619" s="2"/>
      <c r="X619" s="2"/>
    </row>
    <row r="620" spans="11:24" ht="15" hidden="1" customHeight="1">
      <c r="K620" s="5">
        <v>46093</v>
      </c>
      <c r="L620" s="8" t="s">
        <v>163</v>
      </c>
      <c r="M620" s="9" t="str">
        <f>IF(Tabela1[[#This Row],[Motorista]]="","",IFERROR(_xlfn.XLOOKUP(Tabela1[[#This Row],[Motorista]],Base!A:A,Base!B:B),""))</f>
        <v>Transferência</v>
      </c>
      <c r="N620" s="20" t="str">
        <f t="shared" si="25"/>
        <v>Fila de Carregamento</v>
      </c>
      <c r="O6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620" s="2">
        <v>0.42152777777777778</v>
      </c>
      <c r="R620" s="16"/>
      <c r="S620" s="16" t="s">
        <v>97</v>
      </c>
      <c r="T620" s="14" t="str">
        <f>IF(OR(Tabela1[[#This Row],[Entrada]]="",Tabela1[[#This Row],[Saída]]=""), "", Tabela1[[#This Row],[Saída]]-Tabela1[[#This Row],[Entrada]])</f>
        <v/>
      </c>
      <c r="U620" s="15" t="str">
        <f>IF(OR('Controle de CT'!$R620= "", 'Controle de CT'!$P620= ""), "", 'Controle de CT'!$R620-'Controle de CT'!$P620)</f>
        <v/>
      </c>
      <c r="V620" s="1"/>
      <c r="W620" s="2"/>
      <c r="X620" s="2"/>
    </row>
    <row r="621" spans="11:24" ht="15" hidden="1" customHeight="1">
      <c r="K621" s="5">
        <v>46093</v>
      </c>
      <c r="L621" s="8" t="s">
        <v>137</v>
      </c>
      <c r="M621" s="9" t="str">
        <f>IF(Tabela1[[#This Row],[Motorista]]="","",IFERROR(_xlfn.XLOOKUP(Tabela1[[#This Row],[Motorista]],Base!A:A,Base!B:B),""))</f>
        <v>RZD</v>
      </c>
      <c r="N621" s="20" t="str">
        <f t="shared" si="25"/>
        <v>Fila de Carregamento</v>
      </c>
      <c r="O6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1" s="2">
        <v>0.4152777777777778</v>
      </c>
      <c r="Q621" s="2">
        <v>0.41666666666666669</v>
      </c>
      <c r="R621" s="16"/>
      <c r="S621" s="16"/>
      <c r="T621" s="14" t="str">
        <f>IF(OR(Tabela1[[#This Row],[Entrada]]="",Tabela1[[#This Row],[Saída]]=""), "", Tabela1[[#This Row],[Saída]]-Tabela1[[#This Row],[Entrada]])</f>
        <v/>
      </c>
      <c r="U621" s="15" t="str">
        <f>IF(OR('Controle de CT'!$R621= "", 'Controle de CT'!$P621= ""), "", 'Controle de CT'!$R621-'Controle de CT'!$P621)</f>
        <v/>
      </c>
      <c r="V621" s="1"/>
      <c r="W621" s="2"/>
      <c r="X621" s="2"/>
    </row>
    <row r="622" spans="11:24" ht="15" hidden="1" customHeight="1">
      <c r="K622" s="5">
        <v>46093</v>
      </c>
      <c r="L622" s="8" t="s">
        <v>162</v>
      </c>
      <c r="M622" s="9" t="str">
        <f>IF(Tabela1[[#This Row],[Motorista]]="","",IFERROR(_xlfn.XLOOKUP(Tabela1[[#This Row],[Motorista]],Base!A:A,Base!B:B),""))</f>
        <v>FOB</v>
      </c>
      <c r="N622" s="20" t="str">
        <f t="shared" si="25"/>
        <v>Fila de Carregamento</v>
      </c>
      <c r="O6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2" s="2">
        <v>0.44583333333333336</v>
      </c>
      <c r="Q622" s="2">
        <v>0.47916666666666669</v>
      </c>
      <c r="R622" s="16"/>
      <c r="S622" s="16"/>
      <c r="T622" s="14" t="str">
        <f>IF(OR(Tabela1[[#This Row],[Entrada]]="",Tabela1[[#This Row],[Saída]]=""), "", Tabela1[[#This Row],[Saída]]-Tabela1[[#This Row],[Entrada]])</f>
        <v/>
      </c>
      <c r="U622" s="15" t="str">
        <f>IF(OR('Controle de CT'!$R622= "", 'Controle de CT'!$P622= ""), "", 'Controle de CT'!$R622-'Controle de CT'!$P622)</f>
        <v/>
      </c>
      <c r="V622" s="1"/>
      <c r="W622" s="2"/>
      <c r="X622" s="2"/>
    </row>
    <row r="623" spans="11:24" ht="15" hidden="1" customHeight="1">
      <c r="K623" s="5">
        <v>46093</v>
      </c>
      <c r="L623" s="8" t="s">
        <v>58</v>
      </c>
      <c r="M623" s="9" t="str">
        <f>IF(Tabela1[[#This Row],[Motorista]]="","",IFERROR(_xlfn.XLOOKUP(Tabela1[[#This Row],[Motorista]],Base!A:A,Base!B:B),""))</f>
        <v xml:space="preserve">CIF </v>
      </c>
      <c r="N623" s="20" t="str">
        <f t="shared" si="25"/>
        <v>Aguardando Entrada</v>
      </c>
      <c r="O6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3" s="2">
        <v>0.45347222222222222</v>
      </c>
      <c r="R623" s="16"/>
      <c r="S623" s="16"/>
      <c r="T623" s="14" t="str">
        <f>IF(OR(Tabela1[[#This Row],[Entrada]]="",Tabela1[[#This Row],[Saída]]=""), "", Tabela1[[#This Row],[Saída]]-Tabela1[[#This Row],[Entrada]])</f>
        <v/>
      </c>
      <c r="U623" s="15" t="str">
        <f>IF(OR('Controle de CT'!$R623= "", 'Controle de CT'!$P623= ""), "", 'Controle de CT'!$R623-'Controle de CT'!$P623)</f>
        <v/>
      </c>
      <c r="V623" s="1"/>
      <c r="W623" s="2"/>
      <c r="X623" s="2"/>
    </row>
    <row r="624" spans="11:24" ht="15" hidden="1" customHeight="1">
      <c r="K624" s="5">
        <v>46093</v>
      </c>
      <c r="L624" s="8" t="s">
        <v>126</v>
      </c>
      <c r="M624" s="9" t="str">
        <f>IF(Tabela1[[#This Row],[Motorista]]="","",IFERROR(_xlfn.XLOOKUP(Tabela1[[#This Row],[Motorista]],Base!A:A,Base!B:B),""))</f>
        <v>Transferência</v>
      </c>
      <c r="N624" s="20" t="str">
        <f t="shared" si="25"/>
        <v>Aguardando Entrada</v>
      </c>
      <c r="O6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4" s="2">
        <v>0.45555555555555555</v>
      </c>
      <c r="R624" s="16"/>
      <c r="S624" s="16"/>
      <c r="T624" s="14" t="str">
        <f>IF(OR(Tabela1[[#This Row],[Entrada]]="",Tabela1[[#This Row],[Saída]]=""), "", Tabela1[[#This Row],[Saída]]-Tabela1[[#This Row],[Entrada]])</f>
        <v/>
      </c>
      <c r="U624" s="15" t="str">
        <f>IF(OR('Controle de CT'!$R624= "", 'Controle de CT'!$P624= ""), "", 'Controle de CT'!$R624-'Controle de CT'!$P624)</f>
        <v/>
      </c>
      <c r="V624" s="1"/>
      <c r="W624" s="2"/>
      <c r="X624" s="2"/>
    </row>
    <row r="625" spans="11:24" ht="15" hidden="1" customHeight="1">
      <c r="K625" s="5">
        <v>46093</v>
      </c>
      <c r="L625" s="8" t="s">
        <v>106</v>
      </c>
      <c r="M625" s="9" t="str">
        <f>IF(Tabela1[[#This Row],[Motorista]]="","",IFERROR(_xlfn.XLOOKUP(Tabela1[[#This Row],[Motorista]],Base!A:A,Base!B:B),""))</f>
        <v>FOB</v>
      </c>
      <c r="N625" s="20" t="str">
        <f t="shared" si="25"/>
        <v>Aguardando Entrada</v>
      </c>
      <c r="O6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5" s="2">
        <v>0.48472222222222222</v>
      </c>
      <c r="R625" s="16"/>
      <c r="S625" s="16"/>
      <c r="T625" s="14" t="str">
        <f>IF(OR(Tabela1[[#This Row],[Entrada]]="",Tabela1[[#This Row],[Saída]]=""), "", Tabela1[[#This Row],[Saída]]-Tabela1[[#This Row],[Entrada]])</f>
        <v/>
      </c>
      <c r="U625" s="15" t="str">
        <f>IF(OR('Controle de CT'!$R625= "", 'Controle de CT'!$P625= ""), "", 'Controle de CT'!$R625-'Controle de CT'!$P625)</f>
        <v/>
      </c>
      <c r="V625" s="1"/>
      <c r="W625" s="2"/>
      <c r="X625" s="2"/>
    </row>
    <row r="626" spans="11:24" ht="15" hidden="1" customHeight="1">
      <c r="K626" s="5">
        <v>46093</v>
      </c>
      <c r="L626" s="8" t="s">
        <v>180</v>
      </c>
      <c r="M626" s="9" t="str">
        <f>IF(Tabela1[[#This Row],[Motorista]]="","",IFERROR(_xlfn.XLOOKUP(Tabela1[[#This Row],[Motorista]],Base!A:A,Base!B:B),""))</f>
        <v>Transferência</v>
      </c>
      <c r="N626" s="20" t="str">
        <f t="shared" si="25"/>
        <v>Aguardando Entrada</v>
      </c>
      <c r="O6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6" s="2">
        <v>0.48888888888888887</v>
      </c>
      <c r="R626" s="16"/>
      <c r="S626" s="16"/>
      <c r="T626" s="14" t="str">
        <f>IF(OR(Tabela1[[#This Row],[Entrada]]="",Tabela1[[#This Row],[Saída]]=""), "", Tabela1[[#This Row],[Saída]]-Tabela1[[#This Row],[Entrada]])</f>
        <v/>
      </c>
      <c r="U626" s="15" t="str">
        <f>IF(OR('Controle de CT'!$R626= "", 'Controle de CT'!$P626= ""), "", 'Controle de CT'!$R626-'Controle de CT'!$P626)</f>
        <v/>
      </c>
      <c r="V626" s="1"/>
      <c r="W626" s="2"/>
      <c r="X626" s="2"/>
    </row>
    <row r="627" spans="11:24" ht="15" hidden="1" customHeight="1">
      <c r="K627" s="5">
        <v>46093</v>
      </c>
      <c r="L627" s="8" t="s">
        <v>154</v>
      </c>
      <c r="M627" s="9" t="str">
        <f>IF(Tabela1[[#This Row],[Motorista]]="","",IFERROR(_xlfn.XLOOKUP(Tabela1[[#This Row],[Motorista]],Base!A:A,Base!B:B),""))</f>
        <v>FOB</v>
      </c>
      <c r="N627" s="20" t="str">
        <f t="shared" ref="N627:N690" si="26">IF(R627&lt;&gt;"","Finalizado", IF(Q627&lt;&gt;"","Fila de Carregamento", IF(P627&lt;&gt;"","Aguardando Entrada","")))</f>
        <v/>
      </c>
      <c r="O6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27" s="4"/>
      <c r="Q627" s="4"/>
      <c r="R627" s="23"/>
      <c r="S627" s="16"/>
      <c r="T627" s="14" t="str">
        <f>IF(OR(Tabela1[[#This Row],[Entrada]]="",Tabela1[[#This Row],[Saída]]=""), "", Tabela1[[#This Row],[Saída]]-Tabela1[[#This Row],[Entrada]])</f>
        <v/>
      </c>
      <c r="U627" s="15" t="str">
        <f>IF(OR('Controle de CT'!$R627= "", 'Controle de CT'!$P627= ""), "", 'Controle de CT'!$R627-'Controle de CT'!$P627)</f>
        <v/>
      </c>
      <c r="V627" s="1"/>
      <c r="W627" s="2"/>
      <c r="X627" s="2"/>
    </row>
    <row r="628" spans="11:24" ht="15" hidden="1" customHeight="1">
      <c r="K628" s="5">
        <v>46093</v>
      </c>
      <c r="L628" s="8" t="s">
        <v>87</v>
      </c>
      <c r="M628" s="9" t="str">
        <f>IF(Tabela1[[#This Row],[Motorista]]="","",IFERROR(_xlfn.XLOOKUP(Tabela1[[#This Row],[Motorista]],Base!A:A,Base!B:B),""))</f>
        <v>FOB</v>
      </c>
      <c r="N628" s="20" t="str">
        <f t="shared" si="26"/>
        <v>Fila de Carregamento</v>
      </c>
      <c r="O6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28" s="2">
        <v>0.50347222222222221</v>
      </c>
      <c r="Q628" s="2">
        <v>0.59791666666666665</v>
      </c>
      <c r="R628" s="16"/>
      <c r="S628" s="16"/>
      <c r="T628" s="14" t="str">
        <f>IF(OR(Tabela1[[#This Row],[Entrada]]="",Tabela1[[#This Row],[Saída]]=""), "", Tabela1[[#This Row],[Saída]]-Tabela1[[#This Row],[Entrada]])</f>
        <v/>
      </c>
      <c r="U628" s="15" t="str">
        <f>IF(OR('Controle de CT'!$R628= "", 'Controle de CT'!$P628= ""), "", 'Controle de CT'!$R628-'Controle de CT'!$P628)</f>
        <v/>
      </c>
      <c r="V628" s="1"/>
      <c r="W628" s="2"/>
      <c r="X628" s="2"/>
    </row>
    <row r="629" spans="11:24" ht="15" hidden="1" customHeight="1">
      <c r="K629" s="5">
        <v>46093</v>
      </c>
      <c r="L629" s="8" t="s">
        <v>93</v>
      </c>
      <c r="M629" s="9" t="str">
        <f>IF(Tabela1[[#This Row],[Motorista]]="","",IFERROR(_xlfn.XLOOKUP(Tabela1[[#This Row],[Motorista]],Base!A:A,Base!B:B),""))</f>
        <v>FOB</v>
      </c>
      <c r="N629" s="20" t="str">
        <f t="shared" si="26"/>
        <v>Aguardando Entrada</v>
      </c>
      <c r="O6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29" s="2">
        <v>0.55208333333333337</v>
      </c>
      <c r="R629" s="16"/>
      <c r="S629" s="16"/>
      <c r="T629" s="14" t="str">
        <f>IF(OR(Tabela1[[#This Row],[Entrada]]="",Tabela1[[#This Row],[Saída]]=""), "", Tabela1[[#This Row],[Saída]]-Tabela1[[#This Row],[Entrada]])</f>
        <v/>
      </c>
      <c r="U629" s="15" t="str">
        <f>IF(OR('Controle de CT'!$R629= "", 'Controle de CT'!$P629= ""), "", 'Controle de CT'!$R629-'Controle de CT'!$P629)</f>
        <v/>
      </c>
      <c r="V629" s="1"/>
      <c r="W629" s="2"/>
      <c r="X629" s="2"/>
    </row>
    <row r="630" spans="11:24" ht="15" hidden="1" customHeight="1">
      <c r="K630" s="5">
        <v>46093</v>
      </c>
      <c r="L630" s="8" t="s">
        <v>92</v>
      </c>
      <c r="M630" s="9" t="str">
        <f>IF(Tabela1[[#This Row],[Motorista]]="","",IFERROR(_xlfn.XLOOKUP(Tabela1[[#This Row],[Motorista]],Base!A:A,Base!B:B),""))</f>
        <v>FOB</v>
      </c>
      <c r="N630" s="20" t="str">
        <f t="shared" si="26"/>
        <v>Fila de Carregamento</v>
      </c>
      <c r="O6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30" s="2">
        <v>0.54791666666666672</v>
      </c>
      <c r="Q630" s="2">
        <v>0.625</v>
      </c>
      <c r="R630" s="16"/>
      <c r="S630" s="16"/>
      <c r="T630" s="14" t="str">
        <f>IF(OR(Tabela1[[#This Row],[Entrada]]="",Tabela1[[#This Row],[Saída]]=""), "", Tabela1[[#This Row],[Saída]]-Tabela1[[#This Row],[Entrada]])</f>
        <v/>
      </c>
      <c r="U630" s="15" t="str">
        <f>IF(OR('Controle de CT'!$R630= "", 'Controle de CT'!$P630= ""), "", 'Controle de CT'!$R630-'Controle de CT'!$P630)</f>
        <v/>
      </c>
      <c r="V630" s="1"/>
      <c r="W630" s="2"/>
      <c r="X630" s="2"/>
    </row>
    <row r="631" spans="11:24" ht="15" hidden="1" customHeight="1">
      <c r="K631" s="5">
        <v>46093</v>
      </c>
      <c r="L631" s="8" t="s">
        <v>116</v>
      </c>
      <c r="M631" s="9" t="str">
        <f>IF(Tabela1[[#This Row],[Motorista]]="","",IFERROR(_xlfn.XLOOKUP(Tabela1[[#This Row],[Motorista]],Base!A:A,Base!B:B),""))</f>
        <v xml:space="preserve">CIF </v>
      </c>
      <c r="N631" s="20" t="str">
        <f t="shared" si="26"/>
        <v>Aguardando Entrada</v>
      </c>
      <c r="O6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1" s="2">
        <v>0.63611111111111107</v>
      </c>
      <c r="R631" s="16"/>
      <c r="S631" s="16"/>
      <c r="T631" s="14" t="str">
        <f>IF(OR(Tabela1[[#This Row],[Entrada]]="",Tabela1[[#This Row],[Saída]]=""), "", Tabela1[[#This Row],[Saída]]-Tabela1[[#This Row],[Entrada]])</f>
        <v/>
      </c>
      <c r="U631" s="15" t="str">
        <f>IF(OR('Controle de CT'!$R631= "", 'Controle de CT'!$P631= ""), "", 'Controle de CT'!$R631-'Controle de CT'!$P631)</f>
        <v/>
      </c>
      <c r="V631" s="1"/>
      <c r="W631" s="2"/>
      <c r="X631" s="2"/>
    </row>
    <row r="632" spans="11:24" ht="15" hidden="1" customHeight="1">
      <c r="K632" s="5">
        <v>46094</v>
      </c>
      <c r="L632" s="8" t="s">
        <v>42</v>
      </c>
      <c r="M632" s="9" t="str">
        <f>IF(Tabela1[[#This Row],[Motorista]]="","",IFERROR(_xlfn.XLOOKUP(Tabela1[[#This Row],[Motorista]],Base!A:A,Base!B:B),""))</f>
        <v>CIF</v>
      </c>
      <c r="N632" s="20" t="str">
        <f t="shared" si="26"/>
        <v>Finalizado</v>
      </c>
      <c r="O6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2" s="2">
        <v>0.25416666666666665</v>
      </c>
      <c r="Q632" s="2">
        <v>0.27638888888888891</v>
      </c>
      <c r="R632" s="16">
        <v>0.30972222222222223</v>
      </c>
      <c r="S632" s="16" t="s">
        <v>85</v>
      </c>
      <c r="T632" s="14">
        <f>IF(OR(Tabela1[[#This Row],[Entrada]]="",Tabela1[[#This Row],[Saída]]=""), "", Tabela1[[#This Row],[Saída]]-Tabela1[[#This Row],[Entrada]])</f>
        <v>3.3333333333333326E-2</v>
      </c>
      <c r="U632" s="15">
        <f>IF(OR('Controle de CT'!$R632= "", 'Controle de CT'!$P632= ""), "", 'Controle de CT'!$R632-'Controle de CT'!$P632)</f>
        <v>5.555555555555558E-2</v>
      </c>
      <c r="V632" s="1"/>
      <c r="W632" s="2"/>
      <c r="X632" s="2"/>
    </row>
    <row r="633" spans="11:24" ht="15" hidden="1" customHeight="1">
      <c r="K633" s="5">
        <v>46094</v>
      </c>
      <c r="L633" s="8" t="s">
        <v>58</v>
      </c>
      <c r="M633" s="9" t="str">
        <f>IF(Tabela1[[#This Row],[Motorista]]="","",IFERROR(_xlfn.XLOOKUP(Tabela1[[#This Row],[Motorista]],Base!A:A,Base!B:B),""))</f>
        <v xml:space="preserve">CIF </v>
      </c>
      <c r="N633" s="20" t="str">
        <f t="shared" si="26"/>
        <v>Finalizado</v>
      </c>
      <c r="O6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33" s="2">
        <v>0.25486111111111109</v>
      </c>
      <c r="Q633" s="2">
        <v>0.27986111111111112</v>
      </c>
      <c r="R633" s="16">
        <v>0.3347222222222222</v>
      </c>
      <c r="S633" s="16"/>
      <c r="T633" s="14">
        <f>IF(OR(Tabela1[[#This Row],[Entrada]]="",Tabela1[[#This Row],[Saída]]=""), "", Tabela1[[#This Row],[Saída]]-Tabela1[[#This Row],[Entrada]])</f>
        <v>5.4861111111111083E-2</v>
      </c>
      <c r="U633" s="15">
        <f>IF(OR('Controle de CT'!$R633= "", 'Controle de CT'!$P633= ""), "", 'Controle de CT'!$R633-'Controle de CT'!$P633)</f>
        <v>7.9861111111111105E-2</v>
      </c>
      <c r="V633" s="1"/>
      <c r="W633" s="2"/>
      <c r="X633" s="2"/>
    </row>
    <row r="634" spans="11:24" ht="15" hidden="1" customHeight="1">
      <c r="K634" s="5">
        <v>46094</v>
      </c>
      <c r="L634" s="8" t="s">
        <v>49</v>
      </c>
      <c r="M634" s="9" t="str">
        <f>IF(Tabela1[[#This Row],[Motorista]]="","",IFERROR(_xlfn.XLOOKUP(Tabela1[[#This Row],[Motorista]],Base!A:A,Base!B:B),""))</f>
        <v>CIF</v>
      </c>
      <c r="N634" s="20" t="str">
        <f t="shared" si="26"/>
        <v>Finalizado</v>
      </c>
      <c r="O6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4" s="2">
        <v>0.26111111111111113</v>
      </c>
      <c r="Q634" s="2">
        <v>0.29166666666666669</v>
      </c>
      <c r="R634" s="16">
        <v>0.34583333333333333</v>
      </c>
      <c r="S634" s="16" t="s">
        <v>85</v>
      </c>
      <c r="T634" s="14">
        <f>IF(OR(Tabela1[[#This Row],[Entrada]]="",Tabela1[[#This Row],[Saída]]=""), "", Tabela1[[#This Row],[Saída]]-Tabela1[[#This Row],[Entrada]])</f>
        <v>5.4166666666666641E-2</v>
      </c>
      <c r="U634" s="15">
        <f>IF(OR('Controle de CT'!$R634= "", 'Controle de CT'!$P634= ""), "", 'Controle de CT'!$R634-'Controle de CT'!$P634)</f>
        <v>8.4722222222222199E-2</v>
      </c>
      <c r="V634" s="1"/>
      <c r="W634" s="2"/>
      <c r="X634" s="2"/>
    </row>
    <row r="635" spans="11:24" ht="15" hidden="1" customHeight="1">
      <c r="K635" s="5">
        <v>46094</v>
      </c>
      <c r="L635" s="8" t="s">
        <v>56</v>
      </c>
      <c r="M635" s="9" t="str">
        <f>IF(Tabela1[[#This Row],[Motorista]]="","",IFERROR(_xlfn.XLOOKUP(Tabela1[[#This Row],[Motorista]],Base!A:A,Base!B:B),""))</f>
        <v/>
      </c>
      <c r="N635" s="20" t="str">
        <f t="shared" si="26"/>
        <v>Finalizado</v>
      </c>
      <c r="O6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635" s="2">
        <v>0.26180555555555557</v>
      </c>
      <c r="Q635" s="2">
        <v>0.31666666666666665</v>
      </c>
      <c r="R635" s="16">
        <v>0.34791666666666665</v>
      </c>
      <c r="S635" s="16" t="s">
        <v>85</v>
      </c>
      <c r="T635" s="14">
        <f>IF(OR(Tabela1[[#This Row],[Entrada]]="",Tabela1[[#This Row],[Saída]]=""), "", Tabela1[[#This Row],[Saída]]-Tabela1[[#This Row],[Entrada]])</f>
        <v>3.125E-2</v>
      </c>
      <c r="U635" s="15">
        <f>IF(OR('Controle de CT'!$R635= "", 'Controle de CT'!$P635= ""), "", 'Controle de CT'!$R635-'Controle de CT'!$P635)</f>
        <v>8.6111111111111083E-2</v>
      </c>
      <c r="V635" s="1"/>
      <c r="W635" s="2"/>
      <c r="X635" s="2"/>
    </row>
    <row r="636" spans="11:24" ht="15" hidden="1" customHeight="1">
      <c r="K636" s="5">
        <v>46094</v>
      </c>
      <c r="L636" s="8" t="s">
        <v>47</v>
      </c>
      <c r="M636" s="9" t="str">
        <f>IF(Tabela1[[#This Row],[Motorista]]="","",IFERROR(_xlfn.XLOOKUP(Tabela1[[#This Row],[Motorista]],Base!A:A,Base!B:B),""))</f>
        <v>CIF</v>
      </c>
      <c r="N636" s="20" t="str">
        <f t="shared" si="26"/>
        <v>Finalizado</v>
      </c>
      <c r="O6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6" s="2">
        <v>0.26597222222222222</v>
      </c>
      <c r="Q636" s="2">
        <v>0.29444444444444445</v>
      </c>
      <c r="R636" s="16">
        <v>0.35347222222222224</v>
      </c>
      <c r="S636" s="16" t="s">
        <v>85</v>
      </c>
      <c r="T636" s="14">
        <f>IF(OR(Tabela1[[#This Row],[Entrada]]="",Tabela1[[#This Row],[Saída]]=""), "", Tabela1[[#This Row],[Saída]]-Tabela1[[#This Row],[Entrada]])</f>
        <v>5.902777777777779E-2</v>
      </c>
      <c r="U636" s="15">
        <f>IF(OR('Controle de CT'!$R636= "", 'Controle de CT'!$P636= ""), "", 'Controle de CT'!$R636-'Controle de CT'!$P636)</f>
        <v>8.7500000000000022E-2</v>
      </c>
      <c r="V636" s="1"/>
      <c r="W636" s="2"/>
      <c r="X636" s="2"/>
    </row>
    <row r="637" spans="11:24" ht="15" hidden="1" customHeight="1">
      <c r="K637" s="5">
        <v>46094</v>
      </c>
      <c r="L637" s="8" t="s">
        <v>57</v>
      </c>
      <c r="M637" s="9" t="str">
        <f>IF(Tabela1[[#This Row],[Motorista]]="","",IFERROR(_xlfn.XLOOKUP(Tabela1[[#This Row],[Motorista]],Base!A:A,Base!B:B),""))</f>
        <v>CIF</v>
      </c>
      <c r="N637" s="20" t="str">
        <f t="shared" si="26"/>
        <v>Finalizado</v>
      </c>
      <c r="O6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7" s="2">
        <v>0.26666666666666666</v>
      </c>
      <c r="Q637" s="2">
        <v>0.36458333333333331</v>
      </c>
      <c r="R637" s="16">
        <v>0.40416666666666667</v>
      </c>
      <c r="S637" s="16" t="s">
        <v>85</v>
      </c>
      <c r="T637" s="14">
        <f>IF(OR(Tabela1[[#This Row],[Entrada]]="",Tabela1[[#This Row],[Saída]]=""), "", Tabela1[[#This Row],[Saída]]-Tabela1[[#This Row],[Entrada]])</f>
        <v>3.9583333333333359E-2</v>
      </c>
      <c r="U637" s="15">
        <f>IF(OR('Controle de CT'!$R637= "", 'Controle de CT'!$P637= ""), "", 'Controle de CT'!$R637-'Controle de CT'!$P637)</f>
        <v>0.13750000000000001</v>
      </c>
      <c r="V637" s="1"/>
      <c r="W637" s="2"/>
      <c r="X637" s="2"/>
    </row>
    <row r="638" spans="11:24" ht="15" hidden="1" customHeight="1">
      <c r="K638" s="5">
        <v>46094</v>
      </c>
      <c r="L638" s="8" t="s">
        <v>93</v>
      </c>
      <c r="M638" s="9" t="str">
        <f>IF(Tabela1[[#This Row],[Motorista]]="","",IFERROR(_xlfn.XLOOKUP(Tabela1[[#This Row],[Motorista]],Base!A:A,Base!B:B),""))</f>
        <v>FOB</v>
      </c>
      <c r="N638" s="20" t="str">
        <f t="shared" si="26"/>
        <v>Finalizado</v>
      </c>
      <c r="O6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38" s="2">
        <v>0.29930555555555555</v>
      </c>
      <c r="Q638" s="2">
        <v>0.34097222222222223</v>
      </c>
      <c r="R638" s="16">
        <v>0.37847222222222221</v>
      </c>
      <c r="S638" s="16" t="s">
        <v>85</v>
      </c>
      <c r="T638" s="14">
        <f>IF(OR(Tabela1[[#This Row],[Entrada]]="",Tabela1[[#This Row],[Saída]]=""), "", Tabela1[[#This Row],[Saída]]-Tabela1[[#This Row],[Entrada]])</f>
        <v>3.7499999999999978E-2</v>
      </c>
      <c r="U638" s="15">
        <f>IF(OR('Controle de CT'!$R638= "", 'Controle de CT'!$P638= ""), "", 'Controle de CT'!$R638-'Controle de CT'!$P638)</f>
        <v>7.9166666666666663E-2</v>
      </c>
      <c r="V638" s="1"/>
      <c r="W638" s="2"/>
      <c r="X638" s="2"/>
    </row>
    <row r="639" spans="11:24" ht="15" hidden="1" customHeight="1">
      <c r="K639" s="5">
        <v>46094</v>
      </c>
      <c r="L639" s="8" t="s">
        <v>123</v>
      </c>
      <c r="M639" s="9" t="str">
        <f>IF(Tabela1[[#This Row],[Motorista]]="","",IFERROR(_xlfn.XLOOKUP(Tabela1[[#This Row],[Motorista]],Base!A:A,Base!B:B),""))</f>
        <v>RZD</v>
      </c>
      <c r="N639" s="20" t="str">
        <f t="shared" si="26"/>
        <v/>
      </c>
      <c r="O6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39" s="16"/>
      <c r="S639" s="16" t="s">
        <v>85</v>
      </c>
      <c r="T639" s="14" t="str">
        <f>IF(OR(Tabela1[[#This Row],[Entrada]]="",Tabela1[[#This Row],[Saída]]=""), "", Tabela1[[#This Row],[Saída]]-Tabela1[[#This Row],[Entrada]])</f>
        <v/>
      </c>
      <c r="U639" s="15" t="str">
        <f>IF(OR('Controle de CT'!$R639= "", 'Controle de CT'!$P639= ""), "", 'Controle de CT'!$R639-'Controle de CT'!$P639)</f>
        <v/>
      </c>
      <c r="V639" s="1"/>
      <c r="W639" s="2"/>
      <c r="X639" s="2"/>
    </row>
    <row r="640" spans="11:24" ht="15" hidden="1" customHeight="1">
      <c r="K640" s="5">
        <v>46094</v>
      </c>
      <c r="L640" t="s">
        <v>181</v>
      </c>
      <c r="M640" s="9" t="str">
        <f>IF(Tabela1[[#This Row],[Motorista]]="","",IFERROR(_xlfn.XLOOKUP(Tabela1[[#This Row],[Motorista]],Base!A:A,Base!B:B),""))</f>
        <v>FOB</v>
      </c>
      <c r="N640" s="20" t="str">
        <f t="shared" si="26"/>
        <v/>
      </c>
      <c r="O6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40" s="16"/>
      <c r="S640" s="16" t="s">
        <v>85</v>
      </c>
      <c r="T640" s="14" t="str">
        <f>IF(OR(Tabela1[[#This Row],[Entrada]]="",Tabela1[[#This Row],[Saída]]=""), "", Tabela1[[#This Row],[Saída]]-Tabela1[[#This Row],[Entrada]])</f>
        <v/>
      </c>
      <c r="U640" s="15" t="str">
        <f>IF(OR('Controle de CT'!$R640= "", 'Controle de CT'!$P640= ""), "", 'Controle de CT'!$R640-'Controle de CT'!$P640)</f>
        <v/>
      </c>
      <c r="V640" s="1"/>
      <c r="W640" s="2"/>
      <c r="X640" s="2"/>
    </row>
    <row r="641" spans="11:24" ht="15" hidden="1" customHeight="1">
      <c r="K641" s="5">
        <v>46094</v>
      </c>
      <c r="L641" s="8" t="s">
        <v>109</v>
      </c>
      <c r="M641" s="9" t="str">
        <f>IF(Tabela1[[#This Row],[Motorista]]="","",IFERROR(_xlfn.XLOOKUP(Tabela1[[#This Row],[Motorista]],Base!A:A,Base!B:B),""))</f>
        <v>Transferência</v>
      </c>
      <c r="N641" s="20" t="str">
        <f t="shared" si="26"/>
        <v/>
      </c>
      <c r="O6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41" s="16"/>
      <c r="S641" s="16" t="s">
        <v>85</v>
      </c>
      <c r="T641" s="14" t="str">
        <f>IF(OR(Tabela1[[#This Row],[Entrada]]="",Tabela1[[#This Row],[Saída]]=""), "", Tabela1[[#This Row],[Saída]]-Tabela1[[#This Row],[Entrada]])</f>
        <v/>
      </c>
      <c r="U641" s="15" t="str">
        <f>IF(OR('Controle de CT'!$R641= "", 'Controle de CT'!$P641= ""), "", 'Controle de CT'!$R641-'Controle de CT'!$P641)</f>
        <v/>
      </c>
      <c r="V641" s="1"/>
      <c r="W641" s="2"/>
      <c r="X641" s="2"/>
    </row>
    <row r="642" spans="11:24" ht="15" hidden="1" customHeight="1">
      <c r="K642" s="5">
        <v>46094</v>
      </c>
      <c r="L642" s="8" t="s">
        <v>86</v>
      </c>
      <c r="M642" s="9" t="str">
        <f>IF(Tabela1[[#This Row],[Motorista]]="","",IFERROR(_xlfn.XLOOKUP(Tabela1[[#This Row],[Motorista]],Base!A:A,Base!B:B),""))</f>
        <v>FOB</v>
      </c>
      <c r="N642" s="20" t="str">
        <f t="shared" si="26"/>
        <v>Aguardando Entrada</v>
      </c>
      <c r="O6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642" s="2">
        <v>0.30416666666666664</v>
      </c>
      <c r="R642" s="16"/>
      <c r="S642" s="16" t="s">
        <v>85</v>
      </c>
      <c r="T642" s="14" t="str">
        <f>IF(OR(Tabela1[[#This Row],[Entrada]]="",Tabela1[[#This Row],[Saída]]=""), "", Tabela1[[#This Row],[Saída]]-Tabela1[[#This Row],[Entrada]])</f>
        <v/>
      </c>
      <c r="U642" s="15" t="str">
        <f>IF(OR('Controle de CT'!$R642= "", 'Controle de CT'!$P642= ""), "", 'Controle de CT'!$R642-'Controle de CT'!$P642)</f>
        <v/>
      </c>
      <c r="V642" s="1"/>
      <c r="W642" s="2"/>
      <c r="X642" s="2"/>
    </row>
    <row r="643" spans="11:24" ht="15" hidden="1" customHeight="1">
      <c r="K643" s="5">
        <v>46094</v>
      </c>
      <c r="L643" s="8" t="s">
        <v>182</v>
      </c>
      <c r="M643" s="9" t="str">
        <f>IF(Tabela1[[#This Row],[Motorista]]="","",IFERROR(_xlfn.XLOOKUP(Tabela1[[#This Row],[Motorista]],Base!A:A,Base!B:B),""))</f>
        <v>FOB</v>
      </c>
      <c r="N643" s="20" t="str">
        <f t="shared" si="26"/>
        <v>Aguardando Entrada</v>
      </c>
      <c r="O6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43" s="2">
        <v>0.28680555555555554</v>
      </c>
      <c r="R643" s="16"/>
      <c r="S643" s="16" t="s">
        <v>85</v>
      </c>
      <c r="T643" s="14" t="str">
        <f>IF(OR(Tabela1[[#This Row],[Entrada]]="",Tabela1[[#This Row],[Saída]]=""), "", Tabela1[[#This Row],[Saída]]-Tabela1[[#This Row],[Entrada]])</f>
        <v/>
      </c>
      <c r="U643" s="15" t="str">
        <f>IF(OR('Controle de CT'!$R643= "", 'Controle de CT'!$P643= ""), "", 'Controle de CT'!$R643-'Controle de CT'!$P643)</f>
        <v/>
      </c>
      <c r="V643" s="1"/>
      <c r="W643" s="2"/>
      <c r="X643" s="2"/>
    </row>
    <row r="644" spans="11:24" ht="15" hidden="1" customHeight="1">
      <c r="K644" s="5">
        <v>46094</v>
      </c>
      <c r="L644" s="8" t="s">
        <v>87</v>
      </c>
      <c r="M644" s="9" t="str">
        <f>IF(Tabela1[[#This Row],[Motorista]]="","",IFERROR(_xlfn.XLOOKUP(Tabela1[[#This Row],[Motorista]],Base!A:A,Base!B:B),""))</f>
        <v>FOB</v>
      </c>
      <c r="N644" s="20" t="str">
        <f t="shared" si="26"/>
        <v>Fila de Carregamento</v>
      </c>
      <c r="O6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Q644" s="2">
        <v>0.40138888888888891</v>
      </c>
      <c r="R644" s="16"/>
      <c r="S644" s="16" t="s">
        <v>85</v>
      </c>
      <c r="T644" s="14" t="str">
        <f>IF(OR(Tabela1[[#This Row],[Entrada]]="",Tabela1[[#This Row],[Saída]]=""), "", Tabela1[[#This Row],[Saída]]-Tabela1[[#This Row],[Entrada]])</f>
        <v/>
      </c>
      <c r="U644" s="15" t="str">
        <f>IF(OR('Controle de CT'!$R644= "", 'Controle de CT'!$P644= ""), "", 'Controle de CT'!$R644-'Controle de CT'!$P644)</f>
        <v/>
      </c>
      <c r="V644" s="1"/>
      <c r="W644" s="2"/>
      <c r="X644" s="2"/>
    </row>
    <row r="645" spans="11:24" ht="15" hidden="1" customHeight="1">
      <c r="K645" s="5">
        <v>46094</v>
      </c>
      <c r="L645" s="8" t="s">
        <v>86</v>
      </c>
      <c r="M645" s="9" t="str">
        <f>IF(Tabela1[[#This Row],[Motorista]]="","",IFERROR(_xlfn.XLOOKUP(Tabela1[[#This Row],[Motorista]],Base!A:A,Base!B:B),""))</f>
        <v>FOB</v>
      </c>
      <c r="N645" s="20" t="str">
        <f t="shared" si="26"/>
        <v>Fila de Carregamento</v>
      </c>
      <c r="O6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Q645" s="2">
        <v>0.36041666666666666</v>
      </c>
      <c r="R645" s="16"/>
      <c r="S645" s="16" t="s">
        <v>85</v>
      </c>
      <c r="T645" s="14" t="str">
        <f>IF(OR(Tabela1[[#This Row],[Entrada]]="",Tabela1[[#This Row],[Saída]]=""), "", Tabela1[[#This Row],[Saída]]-Tabela1[[#This Row],[Entrada]])</f>
        <v/>
      </c>
      <c r="U645" s="15" t="str">
        <f>IF(OR('Controle de CT'!$R645= "", 'Controle de CT'!$P645= ""), "", 'Controle de CT'!$R645-'Controle de CT'!$P645)</f>
        <v/>
      </c>
      <c r="V645" s="1"/>
      <c r="W645" s="2"/>
      <c r="X645" s="2"/>
    </row>
    <row r="646" spans="11:24" ht="15" hidden="1" customHeight="1">
      <c r="K646" s="5">
        <v>46094</v>
      </c>
      <c r="L646" s="8" t="s">
        <v>56</v>
      </c>
      <c r="M646" s="9" t="str">
        <f>IF(Tabela1[[#This Row],[Motorista]]="","",IFERROR(_xlfn.XLOOKUP(Tabela1[[#This Row],[Motorista]],Base!A:A,Base!B:B),""))</f>
        <v/>
      </c>
      <c r="N646" s="20" t="str">
        <f t="shared" si="26"/>
        <v>Finalizado</v>
      </c>
      <c r="O6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646" s="2">
        <v>0.41388888888888886</v>
      </c>
      <c r="Q646" s="2">
        <v>0.42638888888888887</v>
      </c>
      <c r="R646" s="16">
        <v>0.47569444444444442</v>
      </c>
      <c r="S646" s="16" t="s">
        <v>85</v>
      </c>
      <c r="T646" s="14">
        <f>IF(OR(Tabela1[[#This Row],[Entrada]]="",Tabela1[[#This Row],[Saída]]=""), "", Tabela1[[#This Row],[Saída]]-Tabela1[[#This Row],[Entrada]])</f>
        <v>4.9305555555555547E-2</v>
      </c>
      <c r="U646" s="15">
        <f>IF(OR('Controle de CT'!$R646= "", 'Controle de CT'!$P646= ""), "", 'Controle de CT'!$R646-'Controle de CT'!$P646)</f>
        <v>6.1805555555555558E-2</v>
      </c>
      <c r="V646" s="1"/>
      <c r="W646" s="2"/>
      <c r="X646" s="2"/>
    </row>
    <row r="647" spans="11:24" ht="15" hidden="1" customHeight="1">
      <c r="K647" s="5">
        <v>46094</v>
      </c>
      <c r="L647" s="8" t="s">
        <v>95</v>
      </c>
      <c r="M647" s="9" t="str">
        <f>IF(Tabela1[[#This Row],[Motorista]]="","",IFERROR(_xlfn.XLOOKUP(Tabela1[[#This Row],[Motorista]],Base!A:A,Base!B:B),""))</f>
        <v>FOB</v>
      </c>
      <c r="N647" s="20" t="str">
        <f t="shared" si="26"/>
        <v/>
      </c>
      <c r="O6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47" s="16"/>
      <c r="S647" s="16" t="s">
        <v>85</v>
      </c>
      <c r="T647" s="14" t="str">
        <f>IF(OR(Tabela1[[#This Row],[Entrada]]="",Tabela1[[#This Row],[Saída]]=""), "", Tabela1[[#This Row],[Saída]]-Tabela1[[#This Row],[Entrada]])</f>
        <v/>
      </c>
      <c r="U647" s="15" t="str">
        <f>IF(OR('Controle de CT'!$R647= "", 'Controle de CT'!$P647= ""), "", 'Controle de CT'!$R647-'Controle de CT'!$P647)</f>
        <v/>
      </c>
      <c r="V647" s="1"/>
      <c r="W647" s="2"/>
      <c r="X647" s="2"/>
    </row>
    <row r="648" spans="11:24" ht="15" hidden="1" customHeight="1">
      <c r="K648" s="5">
        <v>46094</v>
      </c>
      <c r="L648" s="8" t="s">
        <v>55</v>
      </c>
      <c r="M648" s="9" t="str">
        <f>IF(Tabela1[[#This Row],[Motorista]]="","",IFERROR(_xlfn.XLOOKUP(Tabela1[[#This Row],[Motorista]],Base!A:A,Base!B:B),""))</f>
        <v>CIF</v>
      </c>
      <c r="N648" s="20" t="str">
        <f t="shared" si="26"/>
        <v>Finalizado</v>
      </c>
      <c r="O6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48" s="2">
        <v>0.4375</v>
      </c>
      <c r="Q648" s="2">
        <v>0.52083333333333337</v>
      </c>
      <c r="R648" s="16">
        <v>0.58333333333333337</v>
      </c>
      <c r="S648" s="16" t="s">
        <v>85</v>
      </c>
      <c r="T648" s="14">
        <f>IF(OR(Tabela1[[#This Row],[Entrada]]="",Tabela1[[#This Row],[Saída]]=""), "", Tabela1[[#This Row],[Saída]]-Tabela1[[#This Row],[Entrada]])</f>
        <v>6.25E-2</v>
      </c>
      <c r="U648" s="15">
        <f>IF(OR('Controle de CT'!$R648= "", 'Controle de CT'!$P648= ""), "", 'Controle de CT'!$R648-'Controle de CT'!$P648)</f>
        <v>0.14583333333333337</v>
      </c>
      <c r="V648" s="1"/>
      <c r="W648" s="2"/>
      <c r="X648" s="2"/>
    </row>
    <row r="649" spans="11:24" ht="14.45" hidden="1">
      <c r="K649" s="5">
        <v>46094</v>
      </c>
      <c r="L649" s="8" t="s">
        <v>52</v>
      </c>
      <c r="M649" s="9" t="str">
        <f>IF(Tabela1[[#This Row],[Motorista]]="","",IFERROR(_xlfn.XLOOKUP(Tabela1[[#This Row],[Motorista]],Base!A:A,Base!B:B),""))</f>
        <v>CIF</v>
      </c>
      <c r="N649" s="20" t="str">
        <f t="shared" si="26"/>
        <v>Finalizado</v>
      </c>
      <c r="O6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49" s="2">
        <v>0.45416666666666666</v>
      </c>
      <c r="Q649" s="2">
        <v>0.51875000000000004</v>
      </c>
      <c r="R649" s="16">
        <v>0.55763888888888891</v>
      </c>
      <c r="S649" s="16" t="s">
        <v>85</v>
      </c>
      <c r="T649" s="14">
        <f>IF(OR(Tabela1[[#This Row],[Entrada]]="",Tabela1[[#This Row],[Saída]]=""), "", Tabela1[[#This Row],[Saída]]-Tabela1[[#This Row],[Entrada]])</f>
        <v>3.8888888888888862E-2</v>
      </c>
      <c r="U649" s="15">
        <f>IF(OR('Controle de CT'!$R649= "", 'Controle de CT'!$P649= ""), "", 'Controle de CT'!$R649-'Controle de CT'!$P649)</f>
        <v>0.10347222222222224</v>
      </c>
      <c r="V649" s="1"/>
      <c r="W649" s="2"/>
      <c r="X649" s="2"/>
    </row>
    <row r="650" spans="11:24" ht="15" hidden="1" customHeight="1">
      <c r="K650" s="5">
        <v>46094</v>
      </c>
      <c r="L650" s="8" t="s">
        <v>87</v>
      </c>
      <c r="M650" s="9" t="str">
        <f>IF(Tabela1[[#This Row],[Motorista]]="","",IFERROR(_xlfn.XLOOKUP(Tabela1[[#This Row],[Motorista]],Base!A:A,Base!B:B),""))</f>
        <v>FOB</v>
      </c>
      <c r="N650" s="20" t="str">
        <f t="shared" si="26"/>
        <v>Finalizado</v>
      </c>
      <c r="O650" s="4">
        <v>0.50208333333333333</v>
      </c>
      <c r="P650" s="4">
        <v>0.50208333333333333</v>
      </c>
      <c r="Q650" s="4">
        <v>0.54583333333333328</v>
      </c>
      <c r="R650" s="23">
        <v>0.60138888888888886</v>
      </c>
      <c r="S650" s="16" t="s">
        <v>85</v>
      </c>
      <c r="T650" s="14">
        <f>IF(OR(Tabela1[[#This Row],[Entrada]]="",Tabela1[[#This Row],[Saída]]=""), "", Tabela1[[#This Row],[Saída]]-Tabela1[[#This Row],[Entrada]])</f>
        <v>5.555555555555558E-2</v>
      </c>
      <c r="U650" s="15">
        <f>IF(OR('Controle de CT'!$R650= "", 'Controle de CT'!$P650= ""), "", 'Controle de CT'!$R650-'Controle de CT'!$P650)</f>
        <v>9.9305555555555536E-2</v>
      </c>
      <c r="V650" s="1"/>
      <c r="W650" s="2"/>
      <c r="X650" s="2"/>
    </row>
    <row r="651" spans="11:24" ht="15" hidden="1" customHeight="1">
      <c r="K651" s="5">
        <v>46094</v>
      </c>
      <c r="L651" s="8" t="s">
        <v>86</v>
      </c>
      <c r="M651" s="22" t="str">
        <f>IF(Tabela1[[#This Row],[Motorista]]="","",IFERROR(_xlfn.XLOOKUP(Tabela1[[#This Row],[Motorista]],Base!A:A,Base!B:B),""))</f>
        <v>FOB</v>
      </c>
      <c r="N651" s="20" t="str">
        <f t="shared" si="26"/>
        <v>Finalizado</v>
      </c>
      <c r="O651" s="2">
        <v>0.60138888888888886</v>
      </c>
      <c r="P651" s="2">
        <v>0.60138888888888886</v>
      </c>
      <c r="Q651" s="2">
        <v>0.63402777777777775</v>
      </c>
      <c r="R651" s="16">
        <v>0.67777777777777781</v>
      </c>
      <c r="S651" s="16" t="s">
        <v>85</v>
      </c>
      <c r="T651" s="14">
        <f>IF(OR(Tabela1[[#This Row],[Entrada]]="",Tabela1[[#This Row],[Saída]]=""), "", Tabela1[[#This Row],[Saída]]-Tabela1[[#This Row],[Entrada]])</f>
        <v>4.3750000000000067E-2</v>
      </c>
      <c r="U651" s="15">
        <f>IF(OR('Controle de CT'!$R651= "", 'Controle de CT'!$P651= ""), "", 'Controle de CT'!$R651-'Controle de CT'!$P651)</f>
        <v>7.6388888888888951E-2</v>
      </c>
      <c r="V651" s="1"/>
      <c r="W651" s="2"/>
      <c r="X651" s="2"/>
    </row>
    <row r="652" spans="11:24" ht="15" hidden="1" customHeight="1">
      <c r="K652" s="5">
        <v>46094</v>
      </c>
      <c r="L652" s="8" t="s">
        <v>91</v>
      </c>
      <c r="M652" s="22" t="str">
        <f>IF(Tabela1[[#This Row],[Motorista]]="","",IFERROR(_xlfn.XLOOKUP(Tabela1[[#This Row],[Motorista]],Base!A:A,Base!B:B),""))</f>
        <v>FOB</v>
      </c>
      <c r="N652" s="20" t="str">
        <f t="shared" si="26"/>
        <v>Finalizado</v>
      </c>
      <c r="O652" s="2">
        <v>0.5625</v>
      </c>
      <c r="P652" s="2">
        <v>0.5625</v>
      </c>
      <c r="Q652" s="2">
        <v>0.60763888888888884</v>
      </c>
      <c r="R652" s="16">
        <v>0.67986111111111114</v>
      </c>
      <c r="S652" s="16" t="s">
        <v>85</v>
      </c>
      <c r="T652" s="14">
        <f>IF(OR(Tabela1[[#This Row],[Entrada]]="",Tabela1[[#This Row],[Saída]]=""), "", Tabela1[[#This Row],[Saída]]-Tabela1[[#This Row],[Entrada]])</f>
        <v>7.2222222222222299E-2</v>
      </c>
      <c r="U652" s="15">
        <f>IF(OR('Controle de CT'!$R652= "", 'Controle de CT'!$P652= ""), "", 'Controle de CT'!$R652-'Controle de CT'!$P652)</f>
        <v>0.11736111111111114</v>
      </c>
      <c r="V652" s="1"/>
      <c r="W652" s="2"/>
      <c r="X652" s="2"/>
    </row>
    <row r="653" spans="11:24" ht="15" hidden="1" customHeight="1">
      <c r="K653" s="5">
        <v>46094</v>
      </c>
      <c r="L653" s="8" t="s">
        <v>162</v>
      </c>
      <c r="M653" s="22" t="str">
        <f>IF(Tabela1[[#This Row],[Motorista]]="","",IFERROR(_xlfn.XLOOKUP(Tabela1[[#This Row],[Motorista]],Base!A:A,Base!B:B),""))</f>
        <v>FOB</v>
      </c>
      <c r="N653" s="20" t="str">
        <f t="shared" si="26"/>
        <v>Finalizado</v>
      </c>
      <c r="O653" s="2">
        <v>0.59722222222222221</v>
      </c>
      <c r="P653" s="2">
        <v>0.59722222222222221</v>
      </c>
      <c r="Q653" s="2">
        <v>0.62083333333333335</v>
      </c>
      <c r="R653" s="16">
        <v>0.70694444444444449</v>
      </c>
      <c r="S653" s="16" t="s">
        <v>85</v>
      </c>
      <c r="T653" s="14">
        <f>IF(OR(Tabela1[[#This Row],[Entrada]]="",Tabela1[[#This Row],[Saída]]=""), "", Tabela1[[#This Row],[Saída]]-Tabela1[[#This Row],[Entrada]])</f>
        <v>8.6111111111111138E-2</v>
      </c>
      <c r="U653" s="15">
        <f>IF(OR('Controle de CT'!$R653= "", 'Controle de CT'!$P653= ""), "", 'Controle de CT'!$R653-'Controle de CT'!$P653)</f>
        <v>0.10972222222222228</v>
      </c>
      <c r="V653" s="1"/>
      <c r="W653" s="2"/>
      <c r="X653" s="2"/>
    </row>
    <row r="654" spans="11:24" ht="15" hidden="1" customHeight="1">
      <c r="K654" s="5">
        <v>46094</v>
      </c>
      <c r="L654" s="8" t="s">
        <v>56</v>
      </c>
      <c r="M654" s="22" t="str">
        <f>IF(Tabela1[[#This Row],[Motorista]]="","",IFERROR(_xlfn.XLOOKUP(Tabela1[[#This Row],[Motorista]],Base!A:A,Base!B:B),""))</f>
        <v/>
      </c>
      <c r="N654" s="20" t="str">
        <f t="shared" si="26"/>
        <v>Finalizado</v>
      </c>
      <c r="O654" s="2">
        <v>0.62916666666666665</v>
      </c>
      <c r="P654" s="2">
        <v>0.62916666666666665</v>
      </c>
      <c r="Q654" s="2">
        <v>0.63611111111111107</v>
      </c>
      <c r="R654" s="16">
        <v>0.6875</v>
      </c>
      <c r="S654" s="16" t="s">
        <v>85</v>
      </c>
      <c r="T654" s="14">
        <f>IF(OR(Tabela1[[#This Row],[Entrada]]="",Tabela1[[#This Row],[Saída]]=""), "", Tabela1[[#This Row],[Saída]]-Tabela1[[#This Row],[Entrada]])</f>
        <v>5.1388888888888928E-2</v>
      </c>
      <c r="U654" s="15">
        <f>IF(OR('Controle de CT'!$R654= "", 'Controle de CT'!$P654= ""), "", 'Controle de CT'!$R654-'Controle de CT'!$P654)</f>
        <v>5.8333333333333348E-2</v>
      </c>
      <c r="V654" s="1"/>
      <c r="W654" s="2"/>
      <c r="X654" s="2"/>
    </row>
    <row r="655" spans="11:24" ht="15" hidden="1" customHeight="1">
      <c r="K655" s="5">
        <v>46094</v>
      </c>
      <c r="L655" s="8" t="s">
        <v>58</v>
      </c>
      <c r="M655" s="22" t="str">
        <f>IF(Tabela1[[#This Row],[Motorista]]="","",IFERROR(_xlfn.XLOOKUP(Tabela1[[#This Row],[Motorista]],Base!A:A,Base!B:B),""))</f>
        <v xml:space="preserve">CIF </v>
      </c>
      <c r="N655" s="20" t="str">
        <f t="shared" si="26"/>
        <v>Finalizado</v>
      </c>
      <c r="O655" s="2">
        <v>0.67361111111111116</v>
      </c>
      <c r="P655" s="2">
        <v>0.67361111111111116</v>
      </c>
      <c r="Q655" s="2">
        <v>0.67986111111111114</v>
      </c>
      <c r="R655" s="16">
        <v>0.73402777777777772</v>
      </c>
      <c r="S655" s="16" t="s">
        <v>85</v>
      </c>
      <c r="T655" s="14">
        <f>IF(OR(Tabela1[[#This Row],[Entrada]]="",Tabela1[[#This Row],[Saída]]=""), "", Tabela1[[#This Row],[Saída]]-Tabela1[[#This Row],[Entrada]])</f>
        <v>5.4166666666666585E-2</v>
      </c>
      <c r="U655" s="15">
        <f>IF(OR('Controle de CT'!$R655= "", 'Controle de CT'!$P655= ""), "", 'Controle de CT'!$R655-'Controle de CT'!$P655)</f>
        <v>6.0416666666666563E-2</v>
      </c>
      <c r="V655" s="1"/>
      <c r="W655" s="2"/>
      <c r="X655" s="2"/>
    </row>
    <row r="656" spans="11:24" ht="15" hidden="1" customHeight="1">
      <c r="K656" s="5">
        <v>46094</v>
      </c>
      <c r="L656" s="8" t="s">
        <v>183</v>
      </c>
      <c r="M656" s="22" t="str">
        <f>IF(Tabela1[[#This Row],[Motorista]]="","",IFERROR(_xlfn.XLOOKUP(Tabela1[[#This Row],[Motorista]],Base!A:A,Base!B:B),""))</f>
        <v>FOB</v>
      </c>
      <c r="N656" s="20" t="str">
        <f t="shared" si="26"/>
        <v>Finalizado</v>
      </c>
      <c r="O656" s="2">
        <v>0.50069444444444444</v>
      </c>
      <c r="P656" s="2">
        <v>0.50069444444444444</v>
      </c>
      <c r="Q656" s="2">
        <v>0.56597222222222221</v>
      </c>
      <c r="R656" s="16">
        <v>0.59652777777777777</v>
      </c>
      <c r="S656" s="16" t="s">
        <v>85</v>
      </c>
      <c r="T656" s="14">
        <f>IF(OR(Tabela1[[#This Row],[Entrada]]="",Tabela1[[#This Row],[Saída]]=""), "", Tabela1[[#This Row],[Saída]]-Tabela1[[#This Row],[Entrada]])</f>
        <v>3.0555555555555558E-2</v>
      </c>
      <c r="U656" s="15">
        <f>IF(OR('Controle de CT'!$R656= "", 'Controle de CT'!$P656= ""), "", 'Controle de CT'!$R656-'Controle de CT'!$P656)</f>
        <v>9.5833333333333326E-2</v>
      </c>
      <c r="V656" s="1"/>
      <c r="W656" s="2"/>
      <c r="X656" s="2"/>
    </row>
    <row r="657" spans="11:24" ht="15" hidden="1" customHeight="1">
      <c r="K657" s="5">
        <v>46094</v>
      </c>
      <c r="L657" s="8" t="s">
        <v>89</v>
      </c>
      <c r="M657" s="9" t="str">
        <f>IF(Tabela1[[#This Row],[Motorista]]="","",IFERROR(_xlfn.XLOOKUP(Tabela1[[#This Row],[Motorista]],Base!A:A,Base!B:B),""))</f>
        <v>FOB</v>
      </c>
      <c r="N657" s="20" t="str">
        <f t="shared" si="26"/>
        <v>Finalizado</v>
      </c>
      <c r="O6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57" s="2">
        <v>0.69374999999999998</v>
      </c>
      <c r="Q657" s="2">
        <v>0.72569444444444442</v>
      </c>
      <c r="R657" s="16">
        <v>0.79236111111111107</v>
      </c>
      <c r="S657" s="16" t="s">
        <v>85</v>
      </c>
      <c r="T657" s="14">
        <f>IF(OR(Tabela1[[#This Row],[Entrada]]="",Tabela1[[#This Row],[Saída]]=""), "", Tabela1[[#This Row],[Saída]]-Tabela1[[#This Row],[Entrada]])</f>
        <v>6.6666666666666652E-2</v>
      </c>
      <c r="U657" s="15">
        <f>IF(OR('Controle de CT'!$R657= "", 'Controle de CT'!$P657= ""), "", 'Controle de CT'!$R657-'Controle de CT'!$P657)</f>
        <v>9.8611111111111094E-2</v>
      </c>
      <c r="V657" s="1"/>
      <c r="W657" s="2"/>
      <c r="X657" s="2"/>
    </row>
    <row r="658" spans="11:24" ht="15" hidden="1" customHeight="1">
      <c r="K658" s="5">
        <v>46094</v>
      </c>
      <c r="L658" s="8" t="s">
        <v>184</v>
      </c>
      <c r="M658" s="9" t="str">
        <f>IF(Tabela1[[#This Row],[Motorista]]="","",IFERROR(_xlfn.XLOOKUP(Tabela1[[#This Row],[Motorista]],Base!A:A,Base!B:B),""))</f>
        <v>FOB</v>
      </c>
      <c r="N658" s="20" t="str">
        <f t="shared" si="26"/>
        <v>Finalizado</v>
      </c>
      <c r="O6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58" s="2">
        <v>0.69930555555555551</v>
      </c>
      <c r="Q658" s="2">
        <v>0.74583333333333335</v>
      </c>
      <c r="R658" s="16">
        <v>0.8125</v>
      </c>
      <c r="S658" s="16" t="s">
        <v>85</v>
      </c>
      <c r="T658" s="14">
        <f>IF(OR(Tabela1[[#This Row],[Entrada]]="",Tabela1[[#This Row],[Saída]]=""), "", Tabela1[[#This Row],[Saída]]-Tabela1[[#This Row],[Entrada]])</f>
        <v>6.6666666666666652E-2</v>
      </c>
      <c r="U658" s="15">
        <f>IF(OR('Controle de CT'!$R658= "", 'Controle de CT'!$P658= ""), "", 'Controle de CT'!$R658-'Controle de CT'!$P658)</f>
        <v>0.11319444444444449</v>
      </c>
      <c r="V658" s="1" t="s">
        <v>185</v>
      </c>
      <c r="W658" s="2"/>
      <c r="X658" s="2"/>
    </row>
    <row r="659" spans="11:24" ht="15" hidden="1" customHeight="1">
      <c r="K659" s="5">
        <v>46094</v>
      </c>
      <c r="L659" s="8" t="s">
        <v>87</v>
      </c>
      <c r="M659" s="9" t="str">
        <f>IF(Tabela1[[#This Row],[Motorista]]="","",IFERROR(_xlfn.XLOOKUP(Tabela1[[#This Row],[Motorista]],Base!A:A,Base!B:B),""))</f>
        <v>FOB</v>
      </c>
      <c r="N659" s="20" t="str">
        <f t="shared" si="26"/>
        <v>Finalizado</v>
      </c>
      <c r="O6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659" s="2">
        <v>0.7006944444444444</v>
      </c>
      <c r="Q659" s="2">
        <v>0.78611111111111109</v>
      </c>
      <c r="R659" s="16">
        <v>0.81666666666666665</v>
      </c>
      <c r="S659" s="16" t="s">
        <v>85</v>
      </c>
      <c r="T659" s="14">
        <f>IF(OR(Tabela1[[#This Row],[Entrada]]="",Tabela1[[#This Row],[Saída]]=""), "", Tabela1[[#This Row],[Saída]]-Tabela1[[#This Row],[Entrada]])</f>
        <v>3.0555555555555558E-2</v>
      </c>
      <c r="U659" s="15">
        <f>IF(OR('Controle de CT'!$R659= "", 'Controle de CT'!$P659= ""), "", 'Controle de CT'!$R659-'Controle de CT'!$P659)</f>
        <v>0.11597222222222225</v>
      </c>
      <c r="V659" s="1" t="s">
        <v>186</v>
      </c>
      <c r="W659" s="2"/>
      <c r="X659" s="2"/>
    </row>
    <row r="660" spans="11:24" ht="15" hidden="1" customHeight="1">
      <c r="K660" s="5">
        <v>46095</v>
      </c>
      <c r="L660" s="8" t="s">
        <v>47</v>
      </c>
      <c r="M660" s="9" t="str">
        <f>IF(Tabela1[[#This Row],[Motorista]]="","",IFERROR(_xlfn.XLOOKUP(Tabela1[[#This Row],[Motorista]],Base!A:A,Base!B:B),""))</f>
        <v>CIF</v>
      </c>
      <c r="N660" s="20" t="str">
        <f t="shared" si="26"/>
        <v>Fila de Carregamento</v>
      </c>
      <c r="O6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0" s="2">
        <v>0.24652777777777779</v>
      </c>
      <c r="Q660" s="2">
        <v>0.28472222222222221</v>
      </c>
      <c r="R660" s="16"/>
      <c r="S660" s="16" t="s">
        <v>85</v>
      </c>
      <c r="T660" s="14" t="str">
        <f>IF(OR(Tabela1[[#This Row],[Entrada]]="",Tabela1[[#This Row],[Saída]]=""), "", Tabela1[[#This Row],[Saída]]-Tabela1[[#This Row],[Entrada]])</f>
        <v/>
      </c>
      <c r="U660" s="15" t="str">
        <f>IF(OR('Controle de CT'!$R660= "", 'Controle de CT'!$P660= ""), "", 'Controle de CT'!$R660-'Controle de CT'!$P660)</f>
        <v/>
      </c>
      <c r="V660" s="1"/>
      <c r="W660" s="2"/>
      <c r="X660" s="2"/>
    </row>
    <row r="661" spans="11:24" ht="15" hidden="1" customHeight="1">
      <c r="K661" s="5">
        <v>46095</v>
      </c>
      <c r="L661" s="8" t="s">
        <v>49</v>
      </c>
      <c r="M661" s="9" t="str">
        <f>IF(Tabela1[[#This Row],[Motorista]]="","",IFERROR(_xlfn.XLOOKUP(Tabela1[[#This Row],[Motorista]],Base!A:A,Base!B:B),""))</f>
        <v>CIF</v>
      </c>
      <c r="N661" s="20" t="str">
        <f t="shared" si="26"/>
        <v>Fila de Carregamento</v>
      </c>
      <c r="O6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1" s="2">
        <v>0.25555555555555554</v>
      </c>
      <c r="Q661" s="2">
        <v>0.28819444444444442</v>
      </c>
      <c r="R661" s="16"/>
      <c r="S661" s="16" t="s">
        <v>85</v>
      </c>
      <c r="T661" s="14" t="str">
        <f>IF(OR(Tabela1[[#This Row],[Entrada]]="",Tabela1[[#This Row],[Saída]]=""), "", Tabela1[[#This Row],[Saída]]-Tabela1[[#This Row],[Entrada]])</f>
        <v/>
      </c>
      <c r="U661" s="15" t="str">
        <f>IF(OR('Controle de CT'!$R661= "", 'Controle de CT'!$P661= ""), "", 'Controle de CT'!$R661-'Controle de CT'!$P661)</f>
        <v/>
      </c>
      <c r="V661" s="1"/>
      <c r="W661" s="2"/>
      <c r="X661" s="2"/>
    </row>
    <row r="662" spans="11:24" ht="15" hidden="1" customHeight="1">
      <c r="K662" s="5">
        <v>46095</v>
      </c>
      <c r="L662" s="8" t="s">
        <v>57</v>
      </c>
      <c r="M662" s="9" t="str">
        <f>IF(Tabela1[[#This Row],[Motorista]]="","",IFERROR(_xlfn.XLOOKUP(Tabela1[[#This Row],[Motorista]],Base!A:A,Base!B:B),""))</f>
        <v>CIF</v>
      </c>
      <c r="N662" s="20" t="str">
        <f t="shared" si="26"/>
        <v>Aguardando Entrada</v>
      </c>
      <c r="O6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2" s="2">
        <v>0.25555555555555554</v>
      </c>
      <c r="R662" s="16"/>
      <c r="S662" s="16" t="s">
        <v>85</v>
      </c>
      <c r="T662" s="14" t="str">
        <f>IF(OR(Tabela1[[#This Row],[Entrada]]="",Tabela1[[#This Row],[Saída]]=""), "", Tabela1[[#This Row],[Saída]]-Tabela1[[#This Row],[Entrada]])</f>
        <v/>
      </c>
      <c r="U662" s="15" t="str">
        <f>IF(OR('Controle de CT'!$R662= "", 'Controle de CT'!$P662= ""), "", 'Controle de CT'!$R662-'Controle de CT'!$P662)</f>
        <v/>
      </c>
      <c r="V662" s="1"/>
      <c r="W662" s="2"/>
      <c r="X662" s="2"/>
    </row>
    <row r="663" spans="11:24" ht="15" hidden="1" customHeight="1">
      <c r="K663" s="5">
        <v>46095</v>
      </c>
      <c r="L663" s="8" t="s">
        <v>45</v>
      </c>
      <c r="M663" s="9" t="str">
        <f>IF(Tabela1[[#This Row],[Motorista]]="","",IFERROR(_xlfn.XLOOKUP(Tabela1[[#This Row],[Motorista]],Base!A:A,Base!B:B),""))</f>
        <v>CIF</v>
      </c>
      <c r="N663" s="20" t="str">
        <f t="shared" si="26"/>
        <v>Aguardando Entrada</v>
      </c>
      <c r="O6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3" s="2">
        <v>0.25972222222222224</v>
      </c>
      <c r="R663" s="16"/>
      <c r="S663" s="16" t="s">
        <v>85</v>
      </c>
      <c r="T663" s="14" t="str">
        <f>IF(OR(Tabela1[[#This Row],[Entrada]]="",Tabela1[[#This Row],[Saída]]=""), "", Tabela1[[#This Row],[Saída]]-Tabela1[[#This Row],[Entrada]])</f>
        <v/>
      </c>
      <c r="U663" s="15" t="str">
        <f>IF(OR('Controle de CT'!$R663= "", 'Controle de CT'!$P663= ""), "", 'Controle de CT'!$R663-'Controle de CT'!$P663)</f>
        <v/>
      </c>
      <c r="V663" s="1"/>
      <c r="W663" s="2"/>
      <c r="X663" s="2"/>
    </row>
    <row r="664" spans="11:24" ht="15" hidden="1" customHeight="1">
      <c r="K664" s="5">
        <v>46095</v>
      </c>
      <c r="L664" s="8" t="s">
        <v>92</v>
      </c>
      <c r="M664" s="9" t="str">
        <f>IF(Tabela1[[#This Row],[Motorista]]="","",IFERROR(_xlfn.XLOOKUP(Tabela1[[#This Row],[Motorista]],Base!A:A,Base!B:B),""))</f>
        <v>FOB</v>
      </c>
      <c r="N664" s="20" t="str">
        <f t="shared" si="26"/>
        <v/>
      </c>
      <c r="O6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4" s="4"/>
      <c r="Q664" s="4"/>
      <c r="R664" s="23"/>
      <c r="S664" s="16" t="s">
        <v>85</v>
      </c>
      <c r="T664" s="14" t="str">
        <f>IF(OR(Tabela1[[#This Row],[Entrada]]="",Tabela1[[#This Row],[Saída]]=""), "", Tabela1[[#This Row],[Saída]]-Tabela1[[#This Row],[Entrada]])</f>
        <v/>
      </c>
      <c r="U664" s="15" t="str">
        <f>IF(OR('Controle de CT'!$R664= "", 'Controle de CT'!$P664= ""), "", 'Controle de CT'!$R664-'Controle de CT'!$P664)</f>
        <v/>
      </c>
      <c r="V664" s="1"/>
      <c r="W664" s="2"/>
      <c r="X664" s="2"/>
    </row>
    <row r="665" spans="11:24" ht="15" hidden="1" customHeight="1">
      <c r="K665" s="5">
        <v>46095</v>
      </c>
      <c r="L665" s="8" t="s">
        <v>124</v>
      </c>
      <c r="M665" s="9" t="str">
        <f>IF(Tabela1[[#This Row],[Motorista]]="","",IFERROR(_xlfn.XLOOKUP(Tabela1[[#This Row],[Motorista]],Base!A:A,Base!B:B),""))</f>
        <v>Transferência</v>
      </c>
      <c r="N665" s="20" t="str">
        <f t="shared" si="26"/>
        <v>Aguardando Entrada</v>
      </c>
      <c r="O6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5" s="2">
        <v>0.26805555555555555</v>
      </c>
      <c r="R665" s="16"/>
      <c r="S665" s="16" t="s">
        <v>85</v>
      </c>
      <c r="T665" s="14" t="str">
        <f>IF(OR(Tabela1[[#This Row],[Entrada]]="",Tabela1[[#This Row],[Saída]]=""), "", Tabela1[[#This Row],[Saída]]-Tabela1[[#This Row],[Entrada]])</f>
        <v/>
      </c>
      <c r="U665" s="15" t="str">
        <f>IF(OR('Controle de CT'!$R665= "", 'Controle de CT'!$P665= ""), "", 'Controle de CT'!$R665-'Controle de CT'!$P665)</f>
        <v/>
      </c>
      <c r="V665" s="1"/>
      <c r="W665" s="2"/>
      <c r="X665" s="2"/>
    </row>
    <row r="666" spans="11:24" ht="15" hidden="1" customHeight="1">
      <c r="K666" s="5">
        <v>46095</v>
      </c>
      <c r="L666" s="8" t="s">
        <v>187</v>
      </c>
      <c r="M666" s="9" t="str">
        <f>IF(Tabela1[[#This Row],[Motorista]]="","",IFERROR(_xlfn.XLOOKUP(Tabela1[[#This Row],[Motorista]],Base!A:A,Base!B:B),""))</f>
        <v>Transferência</v>
      </c>
      <c r="N666" s="20" t="str">
        <f t="shared" si="26"/>
        <v>Aguardando Entrada</v>
      </c>
      <c r="O6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6" s="2">
        <v>0.26874999999999999</v>
      </c>
      <c r="R666" s="16"/>
      <c r="S666" s="16" t="s">
        <v>85</v>
      </c>
      <c r="T666" s="14" t="str">
        <f>IF(OR(Tabela1[[#This Row],[Entrada]]="",Tabela1[[#This Row],[Saída]]=""), "", Tabela1[[#This Row],[Saída]]-Tabela1[[#This Row],[Entrada]])</f>
        <v/>
      </c>
      <c r="U666" s="15" t="str">
        <f>IF(OR('Controle de CT'!$R666= "", 'Controle de CT'!$P666= ""), "", 'Controle de CT'!$R666-'Controle de CT'!$P666)</f>
        <v/>
      </c>
      <c r="V666" s="1"/>
      <c r="W666" s="2"/>
      <c r="X666" s="2"/>
    </row>
    <row r="667" spans="11:24" ht="15" hidden="1" customHeight="1">
      <c r="K667" s="5">
        <v>46095</v>
      </c>
      <c r="L667" s="8" t="s">
        <v>86</v>
      </c>
      <c r="M667" s="9" t="str">
        <f>IF(Tabela1[[#This Row],[Motorista]]="","",IFERROR(_xlfn.XLOOKUP(Tabela1[[#This Row],[Motorista]],Base!A:A,Base!B:B),""))</f>
        <v>FOB</v>
      </c>
      <c r="N667" s="20" t="str">
        <f t="shared" si="26"/>
        <v>Aguardando Entrada</v>
      </c>
      <c r="O6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67" s="2">
        <v>0.27152777777777776</v>
      </c>
      <c r="R667" s="16"/>
      <c r="S667" s="16" t="s">
        <v>85</v>
      </c>
      <c r="T667" s="14" t="str">
        <f>IF(OR(Tabela1[[#This Row],[Entrada]]="",Tabela1[[#This Row],[Saída]]=""), "", Tabela1[[#This Row],[Saída]]-Tabela1[[#This Row],[Entrada]])</f>
        <v/>
      </c>
      <c r="U667" s="15" t="str">
        <f>IF(OR('Controle de CT'!$R667= "", 'Controle de CT'!$P667= ""), "", 'Controle de CT'!$R667-'Controle de CT'!$P667)</f>
        <v/>
      </c>
      <c r="V667" s="1"/>
      <c r="W667" s="2"/>
      <c r="X667" s="2"/>
    </row>
    <row r="668" spans="11:24" ht="15" hidden="1" customHeight="1">
      <c r="K668" s="5">
        <v>46095</v>
      </c>
      <c r="L668" s="8" t="s">
        <v>93</v>
      </c>
      <c r="M668" s="9" t="str">
        <f>IF(Tabela1[[#This Row],[Motorista]]="","",IFERROR(_xlfn.XLOOKUP(Tabela1[[#This Row],[Motorista]],Base!A:A,Base!B:B),""))</f>
        <v>FOB</v>
      </c>
      <c r="N668" s="20" t="str">
        <f t="shared" si="26"/>
        <v/>
      </c>
      <c r="O6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68" s="16"/>
      <c r="S668" s="16" t="s">
        <v>85</v>
      </c>
      <c r="T668" s="14" t="str">
        <f>IF(OR(Tabela1[[#This Row],[Entrada]]="",Tabela1[[#This Row],[Saída]]=""), "", Tabela1[[#This Row],[Saída]]-Tabela1[[#This Row],[Entrada]])</f>
        <v/>
      </c>
      <c r="U668" s="15" t="str">
        <f>IF(OR('Controle de CT'!$R668= "", 'Controle de CT'!$P668= ""), "", 'Controle de CT'!$R668-'Controle de CT'!$P668)</f>
        <v/>
      </c>
      <c r="V668" s="1"/>
      <c r="W668" s="2"/>
      <c r="X668" s="2"/>
    </row>
    <row r="669" spans="11:24" ht="15" hidden="1" customHeight="1">
      <c r="K669" s="5">
        <v>46097</v>
      </c>
      <c r="L669" s="8" t="s">
        <v>108</v>
      </c>
      <c r="M669" s="9" t="str">
        <f>IF(Tabela1[[#This Row],[Motorista]]="","",IFERROR(_xlfn.XLOOKUP(Tabela1[[#This Row],[Motorista]],Base!A:A,Base!B:B),""))</f>
        <v>Transferência</v>
      </c>
      <c r="N669" s="20" t="str">
        <f t="shared" si="26"/>
        <v/>
      </c>
      <c r="O6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69" s="16"/>
      <c r="S669" s="16" t="s">
        <v>85</v>
      </c>
      <c r="T669" s="14" t="str">
        <f>IF(OR(Tabela1[[#This Row],[Entrada]]="",Tabela1[[#This Row],[Saída]]=""), "", Tabela1[[#This Row],[Saída]]-Tabela1[[#This Row],[Entrada]])</f>
        <v/>
      </c>
      <c r="U669" s="15" t="str">
        <f>IF(OR('Controle de CT'!$R669= "", 'Controle de CT'!$P669= ""), "", 'Controle de CT'!$R669-'Controle de CT'!$P669)</f>
        <v/>
      </c>
      <c r="V669" s="1"/>
      <c r="W669" s="2"/>
      <c r="X669" s="2"/>
    </row>
    <row r="670" spans="11:24" ht="15" hidden="1" customHeight="1">
      <c r="K670" s="5">
        <v>46097</v>
      </c>
      <c r="L670" s="8" t="s">
        <v>150</v>
      </c>
      <c r="M670" s="9" t="str">
        <f>IF(Tabela1[[#This Row],[Motorista]]="","",IFERROR(_xlfn.XLOOKUP(Tabela1[[#This Row],[Motorista]],Base!A:A,Base!B:B),""))</f>
        <v>Transferência</v>
      </c>
      <c r="N670" s="20" t="str">
        <f t="shared" si="26"/>
        <v>Aguardando Entrada</v>
      </c>
      <c r="O6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0" s="2">
        <v>0.13333333333333333</v>
      </c>
      <c r="R670" s="16"/>
      <c r="S670" s="16" t="s">
        <v>85</v>
      </c>
      <c r="T670" s="14" t="str">
        <f>IF(OR(Tabela1[[#This Row],[Entrada]]="",Tabela1[[#This Row],[Saída]]=""), "", Tabela1[[#This Row],[Saída]]-Tabela1[[#This Row],[Entrada]])</f>
        <v/>
      </c>
      <c r="U670" s="15" t="str">
        <f>IF(OR('Controle de CT'!$R670= "", 'Controle de CT'!$P670= ""), "", 'Controle de CT'!$R670-'Controle de CT'!$P670)</f>
        <v/>
      </c>
      <c r="V670" s="1"/>
      <c r="W670" s="2"/>
      <c r="X670" s="2"/>
    </row>
    <row r="671" spans="11:24" ht="15" hidden="1" customHeight="1">
      <c r="K671" s="5">
        <v>46097</v>
      </c>
      <c r="L671" s="8" t="s">
        <v>109</v>
      </c>
      <c r="M671" s="9" t="str">
        <f>IF(Tabela1[[#This Row],[Motorista]]="","",IFERROR(_xlfn.XLOOKUP(Tabela1[[#This Row],[Motorista]],Base!A:A,Base!B:B),""))</f>
        <v>Transferência</v>
      </c>
      <c r="N671" s="20" t="str">
        <f t="shared" si="26"/>
        <v/>
      </c>
      <c r="O6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71" s="16"/>
      <c r="S671" s="16" t="s">
        <v>85</v>
      </c>
      <c r="T671" s="14" t="str">
        <f>IF(OR(Tabela1[[#This Row],[Entrada]]="",Tabela1[[#This Row],[Saída]]=""), "", Tabela1[[#This Row],[Saída]]-Tabela1[[#This Row],[Entrada]])</f>
        <v/>
      </c>
      <c r="U671" s="15" t="str">
        <f>IF(OR('Controle de CT'!$R671= "", 'Controle de CT'!$P671= ""), "", 'Controle de CT'!$R671-'Controle de CT'!$P671)</f>
        <v/>
      </c>
      <c r="V671" s="1"/>
      <c r="W671" s="2"/>
      <c r="X671" s="2"/>
    </row>
    <row r="672" spans="11:24" ht="15" hidden="1" customHeight="1">
      <c r="K672" s="5">
        <v>46097</v>
      </c>
      <c r="L672" s="8" t="s">
        <v>101</v>
      </c>
      <c r="M672" s="9" t="str">
        <f>IF(Tabela1[[#This Row],[Motorista]]="","",IFERROR(_xlfn.XLOOKUP(Tabela1[[#This Row],[Motorista]],Base!A:A,Base!B:B),""))</f>
        <v>FOB</v>
      </c>
      <c r="N672" s="20" t="str">
        <f t="shared" si="26"/>
        <v>Fila de Carregamento</v>
      </c>
      <c r="O6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2" s="2">
        <v>0.22152777777777777</v>
      </c>
      <c r="Q672" s="2">
        <v>0.3215277777777778</v>
      </c>
      <c r="R672" s="16"/>
      <c r="S672" s="16" t="s">
        <v>85</v>
      </c>
      <c r="T672" s="14" t="str">
        <f>IF(OR(Tabela1[[#This Row],[Entrada]]="",Tabela1[[#This Row],[Saída]]=""), "", Tabela1[[#This Row],[Saída]]-Tabela1[[#This Row],[Entrada]])</f>
        <v/>
      </c>
      <c r="U672" s="15" t="str">
        <f>IF(OR('Controle de CT'!$R672= "", 'Controle de CT'!$P672= ""), "", 'Controle de CT'!$R672-'Controle de CT'!$P672)</f>
        <v/>
      </c>
      <c r="V672" s="1" t="s">
        <v>188</v>
      </c>
      <c r="W672" s="2"/>
      <c r="X672" s="2"/>
    </row>
    <row r="673" spans="11:24" ht="15" hidden="1" customHeight="1">
      <c r="K673" s="5">
        <v>46097</v>
      </c>
      <c r="L673" s="8" t="s">
        <v>45</v>
      </c>
      <c r="M673" s="9" t="str">
        <f>IF(Tabela1[[#This Row],[Motorista]]="","",IFERROR(_xlfn.XLOOKUP(Tabela1[[#This Row],[Motorista]],Base!A:A,Base!B:B),""))</f>
        <v>CIF</v>
      </c>
      <c r="N673" s="20" t="str">
        <f t="shared" si="26"/>
        <v>Finalizado</v>
      </c>
      <c r="O6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3" s="2">
        <v>0.23055555555555557</v>
      </c>
      <c r="Q673" s="2">
        <v>0.27152777777777776</v>
      </c>
      <c r="R673" s="16">
        <v>0.31736111111111109</v>
      </c>
      <c r="S673" s="16" t="s">
        <v>85</v>
      </c>
      <c r="T673" s="14">
        <f>IF(OR(Tabela1[[#This Row],[Entrada]]="",Tabela1[[#This Row],[Saída]]=""), "", Tabela1[[#This Row],[Saída]]-Tabela1[[#This Row],[Entrada]])</f>
        <v>4.5833333333333337E-2</v>
      </c>
      <c r="U673" s="15">
        <f>IF(OR('Controle de CT'!$R673= "", 'Controle de CT'!$P673= ""), "", 'Controle de CT'!$R673-'Controle de CT'!$P673)</f>
        <v>8.6805555555555525E-2</v>
      </c>
      <c r="V673" s="1"/>
      <c r="W673" s="2"/>
      <c r="X673" s="2"/>
    </row>
    <row r="674" spans="11:24" ht="15" hidden="1" customHeight="1">
      <c r="K674" s="5">
        <v>46097</v>
      </c>
      <c r="L674" s="8" t="s">
        <v>86</v>
      </c>
      <c r="M674" s="9" t="str">
        <f>IF(Tabela1[[#This Row],[Motorista]]="","",IFERROR(_xlfn.XLOOKUP(Tabela1[[#This Row],[Motorista]],Base!A:A,Base!B:B),""))</f>
        <v>FOB</v>
      </c>
      <c r="N674" s="20" t="str">
        <f t="shared" si="26"/>
        <v/>
      </c>
      <c r="O6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674" s="16"/>
      <c r="S674" s="16" t="s">
        <v>85</v>
      </c>
      <c r="T674" s="14" t="str">
        <f>IF(OR(Tabela1[[#This Row],[Entrada]]="",Tabela1[[#This Row],[Saída]]=""), "", Tabela1[[#This Row],[Saída]]-Tabela1[[#This Row],[Entrada]])</f>
        <v/>
      </c>
      <c r="U674" s="15" t="str">
        <f>IF(OR('Controle de CT'!$R674= "", 'Controle de CT'!$P674= ""), "", 'Controle de CT'!$R674-'Controle de CT'!$P674)</f>
        <v/>
      </c>
      <c r="V674" s="1"/>
      <c r="W674" s="2"/>
      <c r="X674" s="2"/>
    </row>
    <row r="675" spans="11:24" ht="15" hidden="1" customHeight="1">
      <c r="K675" s="5">
        <v>46097</v>
      </c>
      <c r="L675" s="8" t="s">
        <v>55</v>
      </c>
      <c r="M675" s="9" t="str">
        <f>IF(Tabela1[[#This Row],[Motorista]]="","",IFERROR(_xlfn.XLOOKUP(Tabela1[[#This Row],[Motorista]],Base!A:A,Base!B:B),""))</f>
        <v>CIF</v>
      </c>
      <c r="N675" s="20" t="str">
        <f t="shared" si="26"/>
        <v>Aguardando Entrada</v>
      </c>
      <c r="O6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5" s="2">
        <v>0.24652777777777779</v>
      </c>
      <c r="R675" s="16"/>
      <c r="S675" s="16" t="s">
        <v>85</v>
      </c>
      <c r="T675" s="14" t="str">
        <f>IF(OR(Tabela1[[#This Row],[Entrada]]="",Tabela1[[#This Row],[Saída]]=""), "", Tabela1[[#This Row],[Saída]]-Tabela1[[#This Row],[Entrada]])</f>
        <v/>
      </c>
      <c r="U675" s="15" t="str">
        <f>IF(OR('Controle de CT'!$R675= "", 'Controle de CT'!$P675= ""), "", 'Controle de CT'!$R675-'Controle de CT'!$P675)</f>
        <v/>
      </c>
      <c r="V675" s="1" t="s">
        <v>188</v>
      </c>
      <c r="W675" s="2"/>
      <c r="X675" s="2"/>
    </row>
    <row r="676" spans="11:24" ht="15" hidden="1" customHeight="1">
      <c r="K676" s="5">
        <v>46097</v>
      </c>
      <c r="L676" s="8" t="s">
        <v>42</v>
      </c>
      <c r="M676" s="9" t="str">
        <f>IF(Tabela1[[#This Row],[Motorista]]="","",IFERROR(_xlfn.XLOOKUP(Tabela1[[#This Row],[Motorista]],Base!A:A,Base!B:B),""))</f>
        <v>CIF</v>
      </c>
      <c r="N676" s="20" t="str">
        <f t="shared" si="26"/>
        <v>Finalizado</v>
      </c>
      <c r="O6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6" s="2">
        <v>0.25069444444444444</v>
      </c>
      <c r="Q676" s="2">
        <v>0.27569444444444446</v>
      </c>
      <c r="R676" s="16">
        <v>0.3263888888888889</v>
      </c>
      <c r="S676" s="16" t="s">
        <v>85</v>
      </c>
      <c r="T676" s="14">
        <f>IF(OR(Tabela1[[#This Row],[Entrada]]="",Tabela1[[#This Row],[Saída]]=""), "", Tabela1[[#This Row],[Saída]]-Tabela1[[#This Row],[Entrada]])</f>
        <v>5.0694444444444431E-2</v>
      </c>
      <c r="U676" s="15">
        <f>IF(OR('Controle de CT'!$R676= "", 'Controle de CT'!$P676= ""), "", 'Controle de CT'!$R676-'Controle de CT'!$P676)</f>
        <v>7.5694444444444453E-2</v>
      </c>
      <c r="V676" s="1"/>
      <c r="W676" s="2"/>
      <c r="X676" s="2"/>
    </row>
    <row r="677" spans="11:24" ht="15" hidden="1" customHeight="1">
      <c r="K677" s="5">
        <v>46097</v>
      </c>
      <c r="L677" s="8" t="s">
        <v>49</v>
      </c>
      <c r="M677" s="9" t="str">
        <f>IF(Tabela1[[#This Row],[Motorista]]="","",IFERROR(_xlfn.XLOOKUP(Tabela1[[#This Row],[Motorista]],Base!A:A,Base!B:B),""))</f>
        <v>CIF</v>
      </c>
      <c r="N677" s="20" t="str">
        <f t="shared" si="26"/>
        <v>Finalizado</v>
      </c>
      <c r="O677" s="2">
        <v>0.25972222222222224</v>
      </c>
      <c r="P677" s="2">
        <v>0.25972222222222224</v>
      </c>
      <c r="Q677" s="2">
        <v>0.27708333333333335</v>
      </c>
      <c r="R677" s="16">
        <v>0.34305555555555556</v>
      </c>
      <c r="S677" s="16" t="s">
        <v>85</v>
      </c>
      <c r="T677" s="14">
        <f>IF(OR(Tabela1[[#This Row],[Entrada]]="",Tabela1[[#This Row],[Saída]]=""), "", Tabela1[[#This Row],[Saída]]-Tabela1[[#This Row],[Entrada]])</f>
        <v>6.597222222222221E-2</v>
      </c>
      <c r="U677" s="15">
        <f>IF(OR('Controle de CT'!$R677= "", 'Controle de CT'!$P677= ""), "", 'Controle de CT'!$R677-'Controle de CT'!$P677)</f>
        <v>8.3333333333333315E-2</v>
      </c>
      <c r="V677" s="1"/>
      <c r="W677" s="2"/>
      <c r="X677" s="2"/>
    </row>
    <row r="678" spans="11:24" ht="15" hidden="1" customHeight="1">
      <c r="K678" s="5">
        <v>46097</v>
      </c>
      <c r="L678" s="8" t="s">
        <v>58</v>
      </c>
      <c r="M678" s="9" t="str">
        <f>IF(Tabela1[[#This Row],[Motorista]]="","",IFERROR(_xlfn.XLOOKUP(Tabela1[[#This Row],[Motorista]],Base!A:A,Base!B:B),""))</f>
        <v xml:space="preserve">CIF </v>
      </c>
      <c r="N678" s="20" t="str">
        <f t="shared" si="26"/>
        <v>Fila de Carregamento</v>
      </c>
      <c r="O6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8" s="2">
        <v>0.27569444444444446</v>
      </c>
      <c r="Q678" s="2">
        <v>0.3125</v>
      </c>
      <c r="R678" s="16"/>
      <c r="S678" s="16" t="s">
        <v>85</v>
      </c>
      <c r="T678" s="14" t="str">
        <f>IF(OR(Tabela1[[#This Row],[Entrada]]="",Tabela1[[#This Row],[Saída]]=""), "", Tabela1[[#This Row],[Saída]]-Tabela1[[#This Row],[Entrada]])</f>
        <v/>
      </c>
      <c r="U678" s="15" t="str">
        <f>IF(OR('Controle de CT'!$R678= "", 'Controle de CT'!$P678= ""), "", 'Controle de CT'!$R678-'Controle de CT'!$P678)</f>
        <v/>
      </c>
      <c r="V678" s="1" t="s">
        <v>188</v>
      </c>
      <c r="W678" s="2"/>
      <c r="X678" s="2"/>
    </row>
    <row r="679" spans="11:24" ht="15" hidden="1" customHeight="1">
      <c r="K679" s="5">
        <v>46097</v>
      </c>
      <c r="L679" s="8" t="s">
        <v>87</v>
      </c>
      <c r="M679" s="9" t="str">
        <f>IF(Tabela1[[#This Row],[Motorista]]="","",IFERROR(_xlfn.XLOOKUP(Tabela1[[#This Row],[Motorista]],Base!A:A,Base!B:B),""))</f>
        <v>FOB</v>
      </c>
      <c r="N679" s="20" t="str">
        <f t="shared" si="26"/>
        <v>Finalizado</v>
      </c>
      <c r="O6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79" s="2">
        <v>0.28819444444444442</v>
      </c>
      <c r="R679" s="16">
        <v>0.42222222222222222</v>
      </c>
      <c r="S679" s="16" t="s">
        <v>85</v>
      </c>
      <c r="T679" s="14" t="str">
        <f>IF(OR(Tabela1[[#This Row],[Entrada]]="",Tabela1[[#This Row],[Saída]]=""), "", Tabela1[[#This Row],[Saída]]-Tabela1[[#This Row],[Entrada]])</f>
        <v/>
      </c>
      <c r="U679" s="15">
        <f>IF(OR('Controle de CT'!$R679= "", 'Controle de CT'!$P679= ""), "", 'Controle de CT'!$R679-'Controle de CT'!$P679)</f>
        <v>0.1340277777777778</v>
      </c>
      <c r="V679" s="1" t="s">
        <v>188</v>
      </c>
      <c r="W679" s="2"/>
      <c r="X679" s="2"/>
    </row>
    <row r="680" spans="11:24" ht="15" hidden="1" customHeight="1">
      <c r="K680" s="5">
        <v>46097</v>
      </c>
      <c r="L680" s="8" t="s">
        <v>86</v>
      </c>
      <c r="M680" s="9" t="str">
        <f>IF(Tabela1[[#This Row],[Motorista]]="","",IFERROR(_xlfn.XLOOKUP(Tabela1[[#This Row],[Motorista]],Base!A:A,Base!B:B),""))</f>
        <v>FOB</v>
      </c>
      <c r="N680" s="20" t="str">
        <f t="shared" si="26"/>
        <v>Aguardando Entrada</v>
      </c>
      <c r="O6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80" s="2">
        <v>0.29930555555555555</v>
      </c>
      <c r="R680" s="16"/>
      <c r="S680" s="16" t="s">
        <v>85</v>
      </c>
      <c r="T680" s="14" t="str">
        <f>IF(OR(Tabela1[[#This Row],[Entrada]]="",Tabela1[[#This Row],[Saída]]=""), "", Tabela1[[#This Row],[Saída]]-Tabela1[[#This Row],[Entrada]])</f>
        <v/>
      </c>
      <c r="U680" s="15" t="str">
        <f>IF(OR('Controle de CT'!$R680= "", 'Controle de CT'!$P680= ""), "", 'Controle de CT'!$R680-'Controle de CT'!$P680)</f>
        <v/>
      </c>
      <c r="V680" s="1"/>
      <c r="W680" s="2"/>
      <c r="X680" s="2"/>
    </row>
    <row r="681" spans="11:24" ht="15" hidden="1" customHeight="1">
      <c r="K681" s="5">
        <v>46097</v>
      </c>
      <c r="L681" s="8" t="s">
        <v>54</v>
      </c>
      <c r="M681" s="9" t="str">
        <f>IF(Tabela1[[#This Row],[Motorista]]="","",IFERROR(_xlfn.XLOOKUP(Tabela1[[#This Row],[Motorista]],Base!A:A,Base!B:B),""))</f>
        <v>CIF</v>
      </c>
      <c r="N681" s="20" t="str">
        <f t="shared" si="26"/>
        <v>Finalizado</v>
      </c>
      <c r="O6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681" s="2">
        <v>0.3034722222222222</v>
      </c>
      <c r="R681" s="16">
        <v>0.37152777777777779</v>
      </c>
      <c r="S681" s="16" t="s">
        <v>85</v>
      </c>
      <c r="T681" s="14">
        <f>IF(OR(Tabela1[[#This Row],[Entrada]]="",Tabela1[[#This Row],[Saída]]=""), "", Tabela1[[#This Row],[Saída]]-Tabela1[[#This Row],[Entrada]])</f>
        <v>6.8055555555555591E-2</v>
      </c>
      <c r="U681" s="15" t="str">
        <f>IF(OR('Controle de CT'!$R681= "", 'Controle de CT'!$P681= ""), "", 'Controle de CT'!$R681-'Controle de CT'!$P681)</f>
        <v/>
      </c>
      <c r="V681" s="1"/>
      <c r="W681" s="2"/>
      <c r="X681" s="2"/>
    </row>
    <row r="682" spans="11:24" ht="15" hidden="1" customHeight="1">
      <c r="K682" s="5">
        <v>46097</v>
      </c>
      <c r="L682" s="8" t="s">
        <v>92</v>
      </c>
      <c r="M682" s="9" t="str">
        <f>IF(Tabela1[[#This Row],[Motorista]]="","",IFERROR(_xlfn.XLOOKUP(Tabela1[[#This Row],[Motorista]],Base!A:A,Base!B:B),""))</f>
        <v>FOB</v>
      </c>
      <c r="N682" s="20" t="str">
        <f t="shared" si="26"/>
        <v>Aguardando Entrada</v>
      </c>
      <c r="O6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82" s="2">
        <v>0.30694444444444446</v>
      </c>
      <c r="R682" s="16"/>
      <c r="S682" s="16" t="s">
        <v>85</v>
      </c>
      <c r="T682" s="14" t="str">
        <f>IF(OR(Tabela1[[#This Row],[Entrada]]="",Tabela1[[#This Row],[Saída]]=""), "", Tabela1[[#This Row],[Saída]]-Tabela1[[#This Row],[Entrada]])</f>
        <v/>
      </c>
      <c r="U682" s="15" t="str">
        <f>IF(OR('Controle de CT'!$R682= "", 'Controle de CT'!$P682= ""), "", 'Controle de CT'!$R682-'Controle de CT'!$P682)</f>
        <v/>
      </c>
      <c r="V682" s="1" t="s">
        <v>188</v>
      </c>
      <c r="W682" s="2"/>
      <c r="X682" s="2"/>
    </row>
    <row r="683" spans="11:24" ht="15" hidden="1" customHeight="1">
      <c r="K683" s="5">
        <v>46097</v>
      </c>
      <c r="L683" s="8" t="s">
        <v>52</v>
      </c>
      <c r="M683" s="9" t="str">
        <f>IF(Tabela1[[#This Row],[Motorista]]="","",IFERROR(_xlfn.XLOOKUP(Tabela1[[#This Row],[Motorista]],Base!A:A,Base!B:B),""))</f>
        <v>CIF</v>
      </c>
      <c r="N683" s="20" t="str">
        <f t="shared" si="26"/>
        <v>Aguardando Entrada</v>
      </c>
      <c r="O6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83" s="2">
        <v>0.33333333333333331</v>
      </c>
      <c r="R683" s="16"/>
      <c r="S683" s="16" t="s">
        <v>85</v>
      </c>
      <c r="T683" s="14" t="str">
        <f>IF(OR(Tabela1[[#This Row],[Entrada]]="",Tabela1[[#This Row],[Saída]]=""), "", Tabela1[[#This Row],[Saída]]-Tabela1[[#This Row],[Entrada]])</f>
        <v/>
      </c>
      <c r="U683" s="15" t="str">
        <f>IF(OR('Controle de CT'!$R683= "", 'Controle de CT'!$P683= ""), "", 'Controle de CT'!$R683-'Controle de CT'!$P683)</f>
        <v/>
      </c>
      <c r="V683" s="1" t="s">
        <v>188</v>
      </c>
      <c r="W683" s="2"/>
      <c r="X683" s="2"/>
    </row>
    <row r="684" spans="11:24" ht="15" hidden="1" customHeight="1">
      <c r="K684" s="5">
        <v>46097</v>
      </c>
      <c r="L684" s="8" t="s">
        <v>106</v>
      </c>
      <c r="M684" s="9" t="str">
        <f>IF(Tabela1[[#This Row],[Motorista]]="","",IFERROR(_xlfn.XLOOKUP(Tabela1[[#This Row],[Motorista]],Base!A:A,Base!B:B),""))</f>
        <v>FOB</v>
      </c>
      <c r="N684" s="20" t="str">
        <f t="shared" si="26"/>
        <v/>
      </c>
      <c r="O6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684" s="16"/>
      <c r="S684" s="16" t="s">
        <v>85</v>
      </c>
      <c r="T684" s="14" t="str">
        <f>IF(OR(Tabela1[[#This Row],[Entrada]]="",Tabela1[[#This Row],[Saída]]=""), "", Tabela1[[#This Row],[Saída]]-Tabela1[[#This Row],[Entrada]])</f>
        <v/>
      </c>
      <c r="U684" s="15" t="str">
        <f>IF(OR('Controle de CT'!$R684= "", 'Controle de CT'!$P684= ""), "", 'Controle de CT'!$R684-'Controle de CT'!$P684)</f>
        <v/>
      </c>
      <c r="V684" s="1"/>
      <c r="W684" s="2"/>
      <c r="X684" s="2"/>
    </row>
    <row r="685" spans="11:24" ht="15" hidden="1" customHeight="1">
      <c r="K685" s="5">
        <v>46097</v>
      </c>
      <c r="L685" s="8" t="s">
        <v>51</v>
      </c>
      <c r="M685" s="9" t="str">
        <f>IF(Tabela1[[#This Row],[Motorista]]="","",IFERROR(_xlfn.XLOOKUP(Tabela1[[#This Row],[Motorista]],Base!A:A,Base!B:B),""))</f>
        <v>CIF</v>
      </c>
      <c r="N685" s="20" t="str">
        <f t="shared" si="26"/>
        <v>Fila de Carregamento</v>
      </c>
      <c r="O6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685" s="2">
        <v>0.36736111111111114</v>
      </c>
      <c r="R685" s="16"/>
      <c r="S685" s="16" t="s">
        <v>85</v>
      </c>
      <c r="T685" s="14" t="str">
        <f>IF(OR(Tabela1[[#This Row],[Entrada]]="",Tabela1[[#This Row],[Saída]]=""), "", Tabela1[[#This Row],[Saída]]-Tabela1[[#This Row],[Entrada]])</f>
        <v/>
      </c>
      <c r="U685" s="15" t="str">
        <f>IF(OR('Controle de CT'!$R685= "", 'Controle de CT'!$P685= ""), "", 'Controle de CT'!$R685-'Controle de CT'!$P685)</f>
        <v/>
      </c>
      <c r="V685" s="1"/>
      <c r="W685" s="2"/>
      <c r="X685" s="2"/>
    </row>
    <row r="686" spans="11:24" ht="15" hidden="1" customHeight="1">
      <c r="K686" s="5">
        <v>46097</v>
      </c>
      <c r="L686" s="8" t="s">
        <v>93</v>
      </c>
      <c r="M686" s="9" t="str">
        <f>IF(Tabela1[[#This Row],[Motorista]]="","",IFERROR(_xlfn.XLOOKUP(Tabela1[[#This Row],[Motorista]],Base!A:A,Base!B:B),""))</f>
        <v>FOB</v>
      </c>
      <c r="N686" s="20" t="str">
        <f t="shared" si="26"/>
        <v>Aguardando Entrada</v>
      </c>
      <c r="O6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86" s="2">
        <v>0.37847222222222221</v>
      </c>
      <c r="R686" s="16"/>
      <c r="S686" s="16" t="s">
        <v>85</v>
      </c>
      <c r="T686" s="14" t="str">
        <f>IF(OR(Tabela1[[#This Row],[Entrada]]="",Tabela1[[#This Row],[Saída]]=""), "", Tabela1[[#This Row],[Saída]]-Tabela1[[#This Row],[Entrada]])</f>
        <v/>
      </c>
      <c r="U686" s="15" t="str">
        <f>IF(OR('Controle de CT'!$R686= "", 'Controle de CT'!$P686= ""), "", 'Controle de CT'!$R686-'Controle de CT'!$P686)</f>
        <v/>
      </c>
      <c r="V686" s="1"/>
      <c r="W686" s="2"/>
      <c r="X686" s="2"/>
    </row>
    <row r="687" spans="11:24" ht="15" hidden="1" customHeight="1">
      <c r="K687" s="5">
        <v>46097</v>
      </c>
      <c r="L687" s="8" t="s">
        <v>49</v>
      </c>
      <c r="M687" s="9" t="str">
        <f>IF(Tabela1[[#This Row],[Motorista]]="","",IFERROR(_xlfn.XLOOKUP(Tabela1[[#This Row],[Motorista]],Base!A:A,Base!B:B),""))</f>
        <v>CIF</v>
      </c>
      <c r="N687" s="20" t="str">
        <f t="shared" si="26"/>
        <v>Fila de Carregamento</v>
      </c>
      <c r="O6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87" s="2">
        <v>0.41458333333333336</v>
      </c>
      <c r="Q687" s="2">
        <v>0.42499999999999999</v>
      </c>
      <c r="R687" s="16"/>
      <c r="S687" s="16" t="s">
        <v>85</v>
      </c>
      <c r="T687" s="14" t="str">
        <f>IF(OR(Tabela1[[#This Row],[Entrada]]="",Tabela1[[#This Row],[Saída]]=""), "", Tabela1[[#This Row],[Saída]]-Tabela1[[#This Row],[Entrada]])</f>
        <v/>
      </c>
      <c r="U687" s="15" t="str">
        <f>IF(OR('Controle de CT'!$R687= "", 'Controle de CT'!$P687= ""), "", 'Controle de CT'!$R687-'Controle de CT'!$P687)</f>
        <v/>
      </c>
      <c r="V687" s="1"/>
      <c r="W687" s="2"/>
      <c r="X687" s="2"/>
    </row>
    <row r="688" spans="11:24" ht="15" hidden="1" customHeight="1">
      <c r="K688" s="5">
        <v>46097</v>
      </c>
      <c r="L688" s="8" t="s">
        <v>116</v>
      </c>
      <c r="M688" s="9" t="str">
        <f>IF(Tabela1[[#This Row],[Motorista]]="","",IFERROR(_xlfn.XLOOKUP(Tabela1[[#This Row],[Motorista]],Base!A:A,Base!B:B),""))</f>
        <v xml:space="preserve">CIF </v>
      </c>
      <c r="N688" s="20" t="str">
        <f t="shared" si="26"/>
        <v>Aguardando Entrada</v>
      </c>
      <c r="O6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88" s="2">
        <v>0.3840277777777778</v>
      </c>
      <c r="R688" s="16"/>
      <c r="S688" s="16" t="s">
        <v>85</v>
      </c>
      <c r="T688" s="14" t="str">
        <f>IF(OR(Tabela1[[#This Row],[Entrada]]="",Tabela1[[#This Row],[Saída]]=""), "", Tabela1[[#This Row],[Saída]]-Tabela1[[#This Row],[Entrada]])</f>
        <v/>
      </c>
      <c r="U688" s="15" t="str">
        <f>IF(OR('Controle de CT'!$R688= "", 'Controle de CT'!$P688= ""), "", 'Controle de CT'!$R688-'Controle de CT'!$P688)</f>
        <v/>
      </c>
      <c r="V688" s="1"/>
      <c r="W688" s="2"/>
      <c r="X688" s="2"/>
    </row>
    <row r="689" spans="11:24" ht="15" hidden="1" customHeight="1">
      <c r="K689" s="5">
        <v>46098</v>
      </c>
      <c r="L689" s="8" t="s">
        <v>45</v>
      </c>
      <c r="M689" s="9" t="str">
        <f>IF(Tabela1[[#This Row],[Motorista]]="","",IFERROR(_xlfn.XLOOKUP(Tabela1[[#This Row],[Motorista]],Base!A:A,Base!B:B),""))</f>
        <v>CIF</v>
      </c>
      <c r="N689" s="20" t="str">
        <f t="shared" si="26"/>
        <v>Finalizado</v>
      </c>
      <c r="O6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89" s="2">
        <v>0.21875</v>
      </c>
      <c r="Q689" s="2">
        <v>0.25555555555555554</v>
      </c>
      <c r="R689" s="16">
        <v>0.29166666666666669</v>
      </c>
      <c r="S689" s="16" t="s">
        <v>85</v>
      </c>
      <c r="T689" s="14">
        <f>IF(OR(Tabela1[[#This Row],[Entrada]]="",Tabela1[[#This Row],[Saída]]=""), "", Tabela1[[#This Row],[Saída]]-Tabela1[[#This Row],[Entrada]])</f>
        <v>3.6111111111111149E-2</v>
      </c>
      <c r="U689" s="15">
        <f>IF(OR('Controle de CT'!$R689= "", 'Controle de CT'!$P689= ""), "", 'Controle de CT'!$R689-'Controle de CT'!$P689)</f>
        <v>7.2916666666666685E-2</v>
      </c>
      <c r="V689" s="1"/>
      <c r="W689" s="2"/>
      <c r="X689" s="2"/>
    </row>
    <row r="690" spans="11:24" ht="15" hidden="1" customHeight="1">
      <c r="K690" s="5">
        <v>46098</v>
      </c>
      <c r="L690" s="8" t="s">
        <v>55</v>
      </c>
      <c r="M690" s="9" t="str">
        <f>IF(Tabela1[[#This Row],[Motorista]]="","",IFERROR(_xlfn.XLOOKUP(Tabela1[[#This Row],[Motorista]],Base!A:A,Base!B:B),""))</f>
        <v>CIF</v>
      </c>
      <c r="N690" s="20" t="str">
        <f t="shared" si="26"/>
        <v>Aguardando Entrada</v>
      </c>
      <c r="O6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0" s="2">
        <v>0.24305555555555555</v>
      </c>
      <c r="R690" s="16"/>
      <c r="S690" s="16" t="s">
        <v>85</v>
      </c>
      <c r="T690" s="14" t="str">
        <f>IF(OR(Tabela1[[#This Row],[Entrada]]="",Tabela1[[#This Row],[Saída]]=""), "", Tabela1[[#This Row],[Saída]]-Tabela1[[#This Row],[Entrada]])</f>
        <v/>
      </c>
      <c r="U690" s="15" t="str">
        <f>IF(OR('Controle de CT'!$R690= "", 'Controle de CT'!$P690= ""), "", 'Controle de CT'!$R690-'Controle de CT'!$P690)</f>
        <v/>
      </c>
      <c r="V690" s="1"/>
      <c r="W690" s="2"/>
      <c r="X690" s="2"/>
    </row>
    <row r="691" spans="11:24" ht="15" hidden="1" customHeight="1">
      <c r="K691" s="5">
        <v>46098</v>
      </c>
      <c r="L691" s="8" t="s">
        <v>42</v>
      </c>
      <c r="M691" s="9" t="str">
        <f>IF(Tabela1[[#This Row],[Motorista]]="","",IFERROR(_xlfn.XLOOKUP(Tabela1[[#This Row],[Motorista]],Base!A:A,Base!B:B),""))</f>
        <v>CIF</v>
      </c>
      <c r="N691" s="20" t="str">
        <f t="shared" ref="N691:N754" si="27">IF(R691&lt;&gt;"","Finalizado", IF(Q691&lt;&gt;"","Fila de Carregamento", IF(P691&lt;&gt;"","Aguardando Entrada","")))</f>
        <v>Finalizado</v>
      </c>
      <c r="O6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1" s="2">
        <v>0.24513888888888888</v>
      </c>
      <c r="R691" s="16">
        <v>0.32708333333333334</v>
      </c>
      <c r="S691" s="16" t="s">
        <v>85</v>
      </c>
      <c r="T691" s="14" t="str">
        <f>IF(OR(Tabela1[[#This Row],[Entrada]]="",Tabela1[[#This Row],[Saída]]=""), "", Tabela1[[#This Row],[Saída]]-Tabela1[[#This Row],[Entrada]])</f>
        <v/>
      </c>
      <c r="U691" s="15">
        <f>IF(OR('Controle de CT'!$R691= "", 'Controle de CT'!$P691= ""), "", 'Controle de CT'!$R691-'Controle de CT'!$P691)</f>
        <v>8.1944444444444459E-2</v>
      </c>
      <c r="V691" s="1"/>
      <c r="W691" s="2"/>
      <c r="X691" s="2"/>
    </row>
    <row r="692" spans="11:24" ht="15" hidden="1" customHeight="1">
      <c r="K692" s="5">
        <v>46098</v>
      </c>
      <c r="L692" s="8" t="s">
        <v>49</v>
      </c>
      <c r="M692" s="9" t="str">
        <f>IF(Tabela1[[#This Row],[Motorista]]="","",IFERROR(_xlfn.XLOOKUP(Tabela1[[#This Row],[Motorista]],Base!A:A,Base!B:B),""))</f>
        <v>CIF</v>
      </c>
      <c r="N692" s="20" t="str">
        <f t="shared" si="27"/>
        <v>Finalizado</v>
      </c>
      <c r="O6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2" s="2">
        <v>0.24861111111111112</v>
      </c>
      <c r="R692" s="16">
        <v>0.34652777777777777</v>
      </c>
      <c r="S692" s="16" t="s">
        <v>85</v>
      </c>
      <c r="T692" s="14" t="str">
        <f>IF(OR(Tabela1[[#This Row],[Entrada]]="",Tabela1[[#This Row],[Saída]]=""), "", Tabela1[[#This Row],[Saída]]-Tabela1[[#This Row],[Entrada]])</f>
        <v/>
      </c>
      <c r="U692" s="15">
        <f>IF(OR('Controle de CT'!$R692= "", 'Controle de CT'!$P692= ""), "", 'Controle de CT'!$R692-'Controle de CT'!$P692)</f>
        <v>9.7916666666666652E-2</v>
      </c>
      <c r="V692" s="1"/>
      <c r="W692" s="2"/>
      <c r="X692" s="2"/>
    </row>
    <row r="693" spans="11:24" ht="15" hidden="1" customHeight="1">
      <c r="K693" s="5">
        <v>46098</v>
      </c>
      <c r="L693" s="8" t="s">
        <v>51</v>
      </c>
      <c r="M693" s="9" t="str">
        <f>IF(Tabela1[[#This Row],[Motorista]]="","",IFERROR(_xlfn.XLOOKUP(Tabela1[[#This Row],[Motorista]],Base!A:A,Base!B:B),""))</f>
        <v>CIF</v>
      </c>
      <c r="N693" s="20" t="str">
        <f t="shared" si="27"/>
        <v>Aguardando Entrada</v>
      </c>
      <c r="O6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3" s="2">
        <v>0.25208333333333333</v>
      </c>
      <c r="R693" s="16"/>
      <c r="S693" s="16" t="s">
        <v>85</v>
      </c>
      <c r="T693" s="14" t="str">
        <f>IF(OR(Tabela1[[#This Row],[Entrada]]="",Tabela1[[#This Row],[Saída]]=""), "", Tabela1[[#This Row],[Saída]]-Tabela1[[#This Row],[Entrada]])</f>
        <v/>
      </c>
      <c r="U693" s="15" t="str">
        <f>IF(OR('Controle de CT'!$R693= "", 'Controle de CT'!$P693= ""), "", 'Controle de CT'!$R693-'Controle de CT'!$P693)</f>
        <v/>
      </c>
      <c r="V693" s="1"/>
      <c r="W693" s="2"/>
      <c r="X693" s="2"/>
    </row>
    <row r="694" spans="11:24" ht="15" hidden="1" customHeight="1">
      <c r="K694" s="5">
        <v>46098</v>
      </c>
      <c r="L694" s="8" t="s">
        <v>90</v>
      </c>
      <c r="M694" s="9" t="str">
        <f>IF(Tabela1[[#This Row],[Motorista]]="","",IFERROR(_xlfn.XLOOKUP(Tabela1[[#This Row],[Motorista]],Base!A:A,Base!B:B),""))</f>
        <v>FOB</v>
      </c>
      <c r="N694" s="20" t="str">
        <f t="shared" si="27"/>
        <v>Aguardando Entrada</v>
      </c>
      <c r="O6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94" s="2">
        <v>0.2902777777777778</v>
      </c>
      <c r="R694" s="16"/>
      <c r="S694" s="16" t="s">
        <v>85</v>
      </c>
      <c r="T694" s="14" t="str">
        <f>IF(OR(Tabela1[[#This Row],[Entrada]]="",Tabela1[[#This Row],[Saída]]=""), "", Tabela1[[#This Row],[Saída]]-Tabela1[[#This Row],[Entrada]])</f>
        <v/>
      </c>
      <c r="U694" s="15" t="str">
        <f>IF(OR('Controle de CT'!$R694= "", 'Controle de CT'!$P694= ""), "", 'Controle de CT'!$R694-'Controle de CT'!$P694)</f>
        <v/>
      </c>
      <c r="V694" s="1"/>
      <c r="W694" s="2"/>
      <c r="X694" s="2"/>
    </row>
    <row r="695" spans="11:24" ht="15" hidden="1" customHeight="1">
      <c r="K695" s="5">
        <v>46098</v>
      </c>
      <c r="L695" s="8" t="s">
        <v>87</v>
      </c>
      <c r="M695" s="9" t="str">
        <f>IF(Tabela1[[#This Row],[Motorista]]="","",IFERROR(_xlfn.XLOOKUP(Tabela1[[#This Row],[Motorista]],Base!A:A,Base!B:B),""))</f>
        <v>FOB</v>
      </c>
      <c r="N695" s="20" t="str">
        <f t="shared" si="27"/>
        <v>Finalizado</v>
      </c>
      <c r="O6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95" s="2">
        <v>0.29166666666666669</v>
      </c>
      <c r="Q695" s="2">
        <v>0.33333333333333331</v>
      </c>
      <c r="R695" s="16">
        <v>0.38611111111111113</v>
      </c>
      <c r="S695" s="16" t="s">
        <v>85</v>
      </c>
      <c r="T695" s="14">
        <f>IF(OR(Tabela1[[#This Row],[Entrada]]="",Tabela1[[#This Row],[Saída]]=""), "", Tabela1[[#This Row],[Saída]]-Tabela1[[#This Row],[Entrada]])</f>
        <v>5.2777777777777812E-2</v>
      </c>
      <c r="U695" s="15">
        <f>IF(OR('Controle de CT'!$R695= "", 'Controle de CT'!$P695= ""), "", 'Controle de CT'!$R695-'Controle de CT'!$P695)</f>
        <v>9.4444444444444442E-2</v>
      </c>
      <c r="V695" s="1"/>
      <c r="W695" s="2"/>
      <c r="X695" s="2"/>
    </row>
    <row r="696" spans="11:24" ht="15" hidden="1" customHeight="1">
      <c r="K696" s="5">
        <v>46098</v>
      </c>
      <c r="L696" s="8" t="s">
        <v>151</v>
      </c>
      <c r="M696" s="9" t="str">
        <f>IF(Tabela1[[#This Row],[Motorista]]="","",IFERROR(_xlfn.XLOOKUP(Tabela1[[#This Row],[Motorista]],Base!A:A,Base!B:B),""))</f>
        <v>RZD</v>
      </c>
      <c r="N696" s="20" t="str">
        <f t="shared" si="27"/>
        <v>Aguardando Entrada</v>
      </c>
      <c r="O6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6" s="2">
        <v>0.29791666666666666</v>
      </c>
      <c r="R696" s="16"/>
      <c r="S696" s="16" t="s">
        <v>85</v>
      </c>
      <c r="T696" s="14" t="str">
        <f>IF(OR(Tabela1[[#This Row],[Entrada]]="",Tabela1[[#This Row],[Saída]]=""), "", Tabela1[[#This Row],[Saída]]-Tabela1[[#This Row],[Entrada]])</f>
        <v/>
      </c>
      <c r="U696" s="15" t="str">
        <f>IF(OR('Controle de CT'!$R696= "", 'Controle de CT'!$P696= ""), "", 'Controle de CT'!$R696-'Controle de CT'!$P696)</f>
        <v/>
      </c>
      <c r="V696" s="1"/>
      <c r="W696" s="2"/>
      <c r="X696" s="2"/>
    </row>
    <row r="697" spans="11:24" ht="15" hidden="1" customHeight="1">
      <c r="K697" s="5">
        <v>46098</v>
      </c>
      <c r="L697" s="8" t="s">
        <v>137</v>
      </c>
      <c r="M697" s="9" t="str">
        <f>IF(Tabela1[[#This Row],[Motorista]]="","",IFERROR(_xlfn.XLOOKUP(Tabela1[[#This Row],[Motorista]],Base!A:A,Base!B:B),""))</f>
        <v>RZD</v>
      </c>
      <c r="N697" s="20" t="str">
        <f t="shared" si="27"/>
        <v>Aguardando Entrada</v>
      </c>
      <c r="O6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697" s="2">
        <v>0.33958333333333335</v>
      </c>
      <c r="R697" s="16"/>
      <c r="S697" s="16" t="s">
        <v>85</v>
      </c>
      <c r="T697" s="14" t="str">
        <f>IF(OR(Tabela1[[#This Row],[Entrada]]="",Tabela1[[#This Row],[Saída]]=""), "", Tabela1[[#This Row],[Saída]]-Tabela1[[#This Row],[Entrada]])</f>
        <v/>
      </c>
      <c r="U697" s="15" t="str">
        <f>IF(OR('Controle de CT'!$R697= "", 'Controle de CT'!$P697= ""), "", 'Controle de CT'!$R697-'Controle de CT'!$P697)</f>
        <v/>
      </c>
      <c r="V697" s="1"/>
      <c r="W697" s="2"/>
      <c r="X697" s="2"/>
    </row>
    <row r="698" spans="11:24" ht="15" hidden="1" customHeight="1">
      <c r="K698" s="5">
        <v>46098</v>
      </c>
      <c r="L698" s="8" t="s">
        <v>58</v>
      </c>
      <c r="M698" s="9" t="str">
        <f>IF(Tabela1[[#This Row],[Motorista]]="","",IFERROR(_xlfn.XLOOKUP(Tabela1[[#This Row],[Motorista]],Base!A:A,Base!B:B),""))</f>
        <v xml:space="preserve">CIF </v>
      </c>
      <c r="N698" s="20" t="str">
        <f t="shared" si="27"/>
        <v>Finalizado</v>
      </c>
      <c r="O6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98" s="2">
        <v>0.34097222222222223</v>
      </c>
      <c r="R698" s="16">
        <v>0.40416666666666667</v>
      </c>
      <c r="S698" s="16" t="s">
        <v>85</v>
      </c>
      <c r="T698" s="14" t="str">
        <f>IF(OR(Tabela1[[#This Row],[Entrada]]="",Tabela1[[#This Row],[Saída]]=""), "", Tabela1[[#This Row],[Saída]]-Tabela1[[#This Row],[Entrada]])</f>
        <v/>
      </c>
      <c r="U698" s="15">
        <f>IF(OR('Controle de CT'!$R698= "", 'Controle de CT'!$P698= ""), "", 'Controle de CT'!$R698-'Controle de CT'!$P698)</f>
        <v>6.3194444444444442E-2</v>
      </c>
      <c r="V698" s="1"/>
      <c r="W698" s="2"/>
      <c r="X698" s="2"/>
    </row>
    <row r="699" spans="11:24" ht="15" hidden="1" customHeight="1">
      <c r="K699" s="5">
        <v>46098</v>
      </c>
      <c r="L699" s="8" t="s">
        <v>92</v>
      </c>
      <c r="M699" s="9" t="str">
        <f>IF(Tabela1[[#This Row],[Motorista]]="","",IFERROR(_xlfn.XLOOKUP(Tabela1[[#This Row],[Motorista]],Base!A:A,Base!B:B),""))</f>
        <v>FOB</v>
      </c>
      <c r="N699" s="20" t="str">
        <f t="shared" si="27"/>
        <v>Finalizado</v>
      </c>
      <c r="O6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699" s="2">
        <v>0.35694444444444445</v>
      </c>
      <c r="Q699" s="2">
        <v>0.39583333333333331</v>
      </c>
      <c r="R699" s="16">
        <v>0.43055555555555558</v>
      </c>
      <c r="S699" s="16" t="s">
        <v>85</v>
      </c>
      <c r="T699" s="14">
        <f>IF(OR(Tabela1[[#This Row],[Entrada]]="",Tabela1[[#This Row],[Saída]]=""), "", Tabela1[[#This Row],[Saída]]-Tabela1[[#This Row],[Entrada]])</f>
        <v>3.4722222222222265E-2</v>
      </c>
      <c r="U699" s="15">
        <f>IF(OR('Controle de CT'!$R699= "", 'Controle de CT'!$P699= ""), "", 'Controle de CT'!$R699-'Controle de CT'!$P699)</f>
        <v>7.3611111111111127E-2</v>
      </c>
      <c r="V699" s="1"/>
      <c r="W699" s="2"/>
      <c r="X699" s="2"/>
    </row>
    <row r="700" spans="11:24" ht="15" hidden="1" customHeight="1">
      <c r="K700" s="5">
        <v>46098</v>
      </c>
      <c r="L700" s="8" t="s">
        <v>45</v>
      </c>
      <c r="M700" s="9" t="str">
        <f>IF(Tabela1[[#This Row],[Motorista]]="","",IFERROR(_xlfn.XLOOKUP(Tabela1[[#This Row],[Motorista]],Base!A:A,Base!B:B),""))</f>
        <v>CIF</v>
      </c>
      <c r="N700" s="20" t="str">
        <f t="shared" si="27"/>
        <v>Fila de Carregamento</v>
      </c>
      <c r="O7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00" s="2">
        <v>0.39027777777777778</v>
      </c>
      <c r="Q700" s="2">
        <v>0.43541666666666667</v>
      </c>
      <c r="R700" s="16"/>
      <c r="S700" s="16" t="s">
        <v>85</v>
      </c>
      <c r="T700" s="14" t="str">
        <f>IF(OR(Tabela1[[#This Row],[Entrada]]="",Tabela1[[#This Row],[Saída]]=""), "", Tabela1[[#This Row],[Saída]]-Tabela1[[#This Row],[Entrada]])</f>
        <v/>
      </c>
      <c r="U700" s="15" t="str">
        <f>IF(OR('Controle de CT'!$R700= "", 'Controle de CT'!$P700= ""), "", 'Controle de CT'!$R700-'Controle de CT'!$P700)</f>
        <v/>
      </c>
      <c r="V700" s="1"/>
      <c r="W700" s="2"/>
      <c r="X700" s="2"/>
    </row>
    <row r="701" spans="11:24" ht="15" hidden="1" customHeight="1">
      <c r="K701" s="5">
        <v>46098</v>
      </c>
      <c r="L701" s="8" t="s">
        <v>54</v>
      </c>
      <c r="M701" s="9" t="str">
        <f>IF(Tabela1[[#This Row],[Motorista]]="","",IFERROR(_xlfn.XLOOKUP(Tabela1[[#This Row],[Motorista]],Base!A:A,Base!B:B),""))</f>
        <v>CIF</v>
      </c>
      <c r="N701" s="20" t="str">
        <f t="shared" si="27"/>
        <v>Fila de Carregamento</v>
      </c>
      <c r="O7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1" s="4">
        <v>0.39513888888888887</v>
      </c>
      <c r="Q701" s="4">
        <v>0.40416666666666667</v>
      </c>
      <c r="R701" s="23"/>
      <c r="S701" s="16" t="s">
        <v>85</v>
      </c>
      <c r="T701" s="14" t="str">
        <f>IF(OR(Tabela1[[#This Row],[Entrada]]="",Tabela1[[#This Row],[Saída]]=""), "", Tabela1[[#This Row],[Saída]]-Tabela1[[#This Row],[Entrada]])</f>
        <v/>
      </c>
      <c r="U701" s="15" t="str">
        <f>IF(OR('Controle de CT'!$R701= "", 'Controle de CT'!$P701= ""), "", 'Controle de CT'!$R701-'Controle de CT'!$P701)</f>
        <v/>
      </c>
      <c r="V701" s="1"/>
      <c r="W701" s="2"/>
      <c r="X701" s="2"/>
    </row>
    <row r="702" spans="11:24" ht="15" hidden="1" customHeight="1">
      <c r="K702" s="5">
        <v>46098</v>
      </c>
      <c r="L702" s="8" t="s">
        <v>182</v>
      </c>
      <c r="M702" s="22" t="str">
        <f>IF(Tabela1[[#This Row],[Motorista]]="","",IFERROR(_xlfn.XLOOKUP(Tabela1[[#This Row],[Motorista]],Base!A:A,Base!B:B),""))</f>
        <v>FOB</v>
      </c>
      <c r="N702" s="20" t="str">
        <f t="shared" si="27"/>
        <v>Aguardando Entrada</v>
      </c>
      <c r="O7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2" s="2">
        <v>0.4152777777777778</v>
      </c>
      <c r="R702" s="16"/>
      <c r="S702" s="16" t="s">
        <v>85</v>
      </c>
      <c r="T702" s="14" t="str">
        <f>IF(OR(Tabela1[[#This Row],[Entrada]]="",Tabela1[[#This Row],[Saída]]=""), "", Tabela1[[#This Row],[Saída]]-Tabela1[[#This Row],[Entrada]])</f>
        <v/>
      </c>
      <c r="U702" s="15" t="str">
        <f>IF(OR('Controle de CT'!$R702= "", 'Controle de CT'!$P702= ""), "", 'Controle de CT'!$R702-'Controle de CT'!$P702)</f>
        <v/>
      </c>
      <c r="V702" s="1"/>
      <c r="W702" s="2"/>
      <c r="X702" s="2"/>
    </row>
    <row r="703" spans="11:24" ht="15" hidden="1" customHeight="1">
      <c r="K703" s="5">
        <v>46098</v>
      </c>
      <c r="L703" s="8" t="s">
        <v>86</v>
      </c>
      <c r="M703" s="22" t="str">
        <f>IF(Tabela1[[#This Row],[Motorista]]="","",IFERROR(_xlfn.XLOOKUP(Tabela1[[#This Row],[Motorista]],Base!A:A,Base!B:B),""))</f>
        <v>FOB</v>
      </c>
      <c r="N703" s="20" t="str">
        <f t="shared" si="27"/>
        <v>Fila de Carregamento</v>
      </c>
      <c r="O7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03" s="2">
        <v>0.40069444444444446</v>
      </c>
      <c r="Q703" s="2">
        <v>0.43888888888888888</v>
      </c>
      <c r="R703" s="16"/>
      <c r="S703" s="16" t="s">
        <v>85</v>
      </c>
      <c r="T703" s="14" t="str">
        <f>IF(OR(Tabela1[[#This Row],[Entrada]]="",Tabela1[[#This Row],[Saída]]=""), "", Tabela1[[#This Row],[Saída]]-Tabela1[[#This Row],[Entrada]])</f>
        <v/>
      </c>
      <c r="U703" s="15" t="str">
        <f>IF(OR('Controle de CT'!$R703= "", 'Controle de CT'!$P703= ""), "", 'Controle de CT'!$R703-'Controle de CT'!$P703)</f>
        <v/>
      </c>
      <c r="V703" s="1"/>
      <c r="W703" s="2"/>
      <c r="X703" s="2"/>
    </row>
    <row r="704" spans="11:24" ht="15" hidden="1" customHeight="1">
      <c r="K704" s="5">
        <v>46098</v>
      </c>
      <c r="L704" s="8" t="s">
        <v>91</v>
      </c>
      <c r="M704" s="22" t="str">
        <f>IF(Tabela1[[#This Row],[Motorista]]="","",IFERROR(_xlfn.XLOOKUP(Tabela1[[#This Row],[Motorista]],Base!A:A,Base!B:B),""))</f>
        <v>FOB</v>
      </c>
      <c r="N704" s="20" t="str">
        <f t="shared" si="27"/>
        <v>Fila de Carregamento</v>
      </c>
      <c r="O7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4" s="2">
        <v>0.37638888888888888</v>
      </c>
      <c r="Q704" s="2">
        <v>0.4375</v>
      </c>
      <c r="R704" s="16"/>
      <c r="S704" s="16" t="s">
        <v>85</v>
      </c>
      <c r="T704" s="14" t="str">
        <f>IF(OR(Tabela1[[#This Row],[Entrada]]="",Tabela1[[#This Row],[Saída]]=""), "", Tabela1[[#This Row],[Saída]]-Tabela1[[#This Row],[Entrada]])</f>
        <v/>
      </c>
      <c r="U704" s="15" t="str">
        <f>IF(OR('Controle de CT'!$R704= "", 'Controle de CT'!$P704= ""), "", 'Controle de CT'!$R704-'Controle de CT'!$P704)</f>
        <v/>
      </c>
      <c r="V704" s="1"/>
      <c r="W704" s="2"/>
      <c r="X704" s="2"/>
    </row>
    <row r="705" spans="11:24" ht="15" hidden="1" customHeight="1">
      <c r="K705" s="5">
        <v>46098</v>
      </c>
      <c r="L705" s="8" t="s">
        <v>58</v>
      </c>
      <c r="M705" s="22" t="str">
        <f>IF(Tabela1[[#This Row],[Motorista]]="","",IFERROR(_xlfn.XLOOKUP(Tabela1[[#This Row],[Motorista]],Base!A:A,Base!B:B),""))</f>
        <v xml:space="preserve">CIF </v>
      </c>
      <c r="N705" s="20" t="str">
        <f t="shared" si="27"/>
        <v>Finalizado</v>
      </c>
      <c r="O7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05" s="2">
        <v>0.56805555555555554</v>
      </c>
      <c r="Q705" s="2">
        <v>0.5854166666666667</v>
      </c>
      <c r="R705" s="16">
        <v>0.62291666666666667</v>
      </c>
      <c r="S705" s="16" t="s">
        <v>85</v>
      </c>
      <c r="T705" s="14">
        <f>IF(OR(Tabela1[[#This Row],[Entrada]]="",Tabela1[[#This Row],[Saída]]=""), "", Tabela1[[#This Row],[Saída]]-Tabela1[[#This Row],[Entrada]])</f>
        <v>3.7499999999999978E-2</v>
      </c>
      <c r="U705" s="15">
        <f>IF(OR('Controle de CT'!$R705= "", 'Controle de CT'!$P705= ""), "", 'Controle de CT'!$R705-'Controle de CT'!$P705)</f>
        <v>5.4861111111111138E-2</v>
      </c>
      <c r="V705" s="1"/>
      <c r="W705" s="2"/>
      <c r="X705" s="2"/>
    </row>
    <row r="706" spans="11:24" ht="15" hidden="1" customHeight="1">
      <c r="K706" s="5">
        <v>46098</v>
      </c>
      <c r="L706" s="8" t="s">
        <v>92</v>
      </c>
      <c r="M706" s="22" t="str">
        <f>IF(Tabela1[[#This Row],[Motorista]]="","",IFERROR(_xlfn.XLOOKUP(Tabela1[[#This Row],[Motorista]],Base!A:A,Base!B:B),""))</f>
        <v>FOB</v>
      </c>
      <c r="N706" s="20" t="str">
        <f t="shared" si="27"/>
        <v>Finalizado</v>
      </c>
      <c r="O7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06" s="2">
        <v>0.5625</v>
      </c>
      <c r="Q706" s="2">
        <v>0.5805555555555556</v>
      </c>
      <c r="R706" s="16">
        <v>0.61111111111111116</v>
      </c>
      <c r="S706" s="16" t="s">
        <v>85</v>
      </c>
      <c r="T706" s="14">
        <f>IF(OR(Tabela1[[#This Row],[Entrada]]="",Tabela1[[#This Row],[Saída]]=""), "", Tabela1[[#This Row],[Saída]]-Tabela1[[#This Row],[Entrada]])</f>
        <v>3.0555555555555558E-2</v>
      </c>
      <c r="U706" s="15">
        <f>IF(OR('Controle de CT'!$R706= "", 'Controle de CT'!$P706= ""), "", 'Controle de CT'!$R706-'Controle de CT'!$P706)</f>
        <v>4.861111111111116E-2</v>
      </c>
      <c r="V706" s="1"/>
      <c r="W706" s="2"/>
      <c r="X706" s="2"/>
    </row>
    <row r="707" spans="11:24" ht="15" hidden="1" customHeight="1">
      <c r="K707" s="5">
        <v>46098</v>
      </c>
      <c r="L707" s="8" t="s">
        <v>106</v>
      </c>
      <c r="M707" s="22" t="str">
        <f>IF(Tabela1[[#This Row],[Motorista]]="","",IFERROR(_xlfn.XLOOKUP(Tabela1[[#This Row],[Motorista]],Base!A:A,Base!B:B),""))</f>
        <v>FOB</v>
      </c>
      <c r="N707" s="20" t="str">
        <f t="shared" si="27"/>
        <v>Aguardando Entrada</v>
      </c>
      <c r="O7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7" s="2">
        <v>0.62361111111111112</v>
      </c>
      <c r="R707" s="16"/>
      <c r="S707" s="16" t="s">
        <v>85</v>
      </c>
      <c r="T707" s="14" t="str">
        <f>IF(OR(Tabela1[[#This Row],[Entrada]]="",Tabela1[[#This Row],[Saída]]=""), "", Tabela1[[#This Row],[Saída]]-Tabela1[[#This Row],[Entrada]])</f>
        <v/>
      </c>
      <c r="U707" s="15" t="str">
        <f>IF(OR('Controle de CT'!$R707= "", 'Controle de CT'!$P707= ""), "", 'Controle de CT'!$R707-'Controle de CT'!$P707)</f>
        <v/>
      </c>
      <c r="V707" s="1"/>
      <c r="W707" s="2"/>
      <c r="X707" s="2"/>
    </row>
    <row r="708" spans="11:24" ht="15" hidden="1" customHeight="1">
      <c r="K708" s="5">
        <v>46098</v>
      </c>
      <c r="L708" s="8" t="s">
        <v>116</v>
      </c>
      <c r="M708" s="22" t="str">
        <f>IF(Tabela1[[#This Row],[Motorista]]="","",IFERROR(_xlfn.XLOOKUP(Tabela1[[#This Row],[Motorista]],Base!A:A,Base!B:B),""))</f>
        <v xml:space="preserve">CIF </v>
      </c>
      <c r="N708" s="20" t="str">
        <f t="shared" si="27"/>
        <v>Finalizado</v>
      </c>
      <c r="O7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8" s="2">
        <v>0.62152777777777779</v>
      </c>
      <c r="Q708" s="2">
        <v>0.63263888888888886</v>
      </c>
      <c r="R708" s="16">
        <v>0.67013888888888884</v>
      </c>
      <c r="S708" s="16" t="s">
        <v>85</v>
      </c>
      <c r="T708" s="14">
        <f>IF(OR(Tabela1[[#This Row],[Entrada]]="",Tabela1[[#This Row],[Saída]]=""), "", Tabela1[[#This Row],[Saída]]-Tabela1[[#This Row],[Entrada]])</f>
        <v>3.7499999999999978E-2</v>
      </c>
      <c r="U708" s="15">
        <f>IF(OR('Controle de CT'!$R708= "", 'Controle de CT'!$P708= ""), "", 'Controle de CT'!$R708-'Controle de CT'!$P708)</f>
        <v>4.8611111111111049E-2</v>
      </c>
      <c r="V708" s="1"/>
      <c r="W708" s="2"/>
      <c r="X708" s="2"/>
    </row>
    <row r="709" spans="11:24" ht="15" hidden="1" customHeight="1">
      <c r="K709" s="5">
        <v>46098</v>
      </c>
      <c r="L709" s="8" t="s">
        <v>101</v>
      </c>
      <c r="M709" s="22" t="str">
        <f>IF(Tabela1[[#This Row],[Motorista]]="","",IFERROR(_xlfn.XLOOKUP(Tabela1[[#This Row],[Motorista]],Base!A:A,Base!B:B),""))</f>
        <v>FOB</v>
      </c>
      <c r="N709" s="20" t="str">
        <f t="shared" si="27"/>
        <v>Finalizado</v>
      </c>
      <c r="O7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09" s="2">
        <v>0.63194444444444442</v>
      </c>
      <c r="Q709" s="2">
        <v>0.64930555555555558</v>
      </c>
      <c r="R709" s="16">
        <v>0.69305555555555554</v>
      </c>
      <c r="S709" s="16" t="s">
        <v>85</v>
      </c>
      <c r="T709" s="14">
        <f>IF(OR(Tabela1[[#This Row],[Entrada]]="",Tabela1[[#This Row],[Saída]]=""), "", Tabela1[[#This Row],[Saída]]-Tabela1[[#This Row],[Entrada]])</f>
        <v>4.3749999999999956E-2</v>
      </c>
      <c r="U709" s="15">
        <f>IF(OR('Controle de CT'!$R709= "", 'Controle de CT'!$P709= ""), "", 'Controle de CT'!$R709-'Controle de CT'!$P709)</f>
        <v>6.1111111111111116E-2</v>
      </c>
      <c r="V709" s="1"/>
      <c r="W709" s="2"/>
      <c r="X709" s="2"/>
    </row>
    <row r="710" spans="11:24" ht="15" hidden="1" customHeight="1">
      <c r="K710" s="5">
        <v>46098</v>
      </c>
      <c r="L710" s="8" t="s">
        <v>89</v>
      </c>
      <c r="M710" s="22" t="str">
        <f>IF(Tabela1[[#This Row],[Motorista]]="","",IFERROR(_xlfn.XLOOKUP(Tabela1[[#This Row],[Motorista]],Base!A:A,Base!B:B),""))</f>
        <v>FOB</v>
      </c>
      <c r="N710" s="20" t="str">
        <f t="shared" si="27"/>
        <v>Finalizado</v>
      </c>
      <c r="O7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0" s="2">
        <v>0.57013888888888886</v>
      </c>
      <c r="Q710" s="2">
        <v>0.58819444444444446</v>
      </c>
      <c r="R710" s="16">
        <v>0.65902777777777777</v>
      </c>
      <c r="S710" s="16" t="s">
        <v>85</v>
      </c>
      <c r="T710" s="14">
        <f>IF(OR(Tabela1[[#This Row],[Entrada]]="",Tabela1[[#This Row],[Saída]]=""), "", Tabela1[[#This Row],[Saída]]-Tabela1[[#This Row],[Entrada]])</f>
        <v>7.0833333333333304E-2</v>
      </c>
      <c r="U710" s="15">
        <f>IF(OR('Controle de CT'!$R710= "", 'Controle de CT'!$P710= ""), "", 'Controle de CT'!$R710-'Controle de CT'!$P710)</f>
        <v>8.8888888888888906E-2</v>
      </c>
      <c r="V710" s="1"/>
      <c r="W710" s="2"/>
      <c r="X710" s="2"/>
    </row>
    <row r="711" spans="11:24" ht="15" hidden="1" customHeight="1">
      <c r="K711" s="5">
        <v>46098</v>
      </c>
      <c r="L711" s="8" t="s">
        <v>115</v>
      </c>
      <c r="M711" s="22" t="str">
        <f>IF(Tabela1[[#This Row],[Motorista]]="","",IFERROR(_xlfn.XLOOKUP(Tabela1[[#This Row],[Motorista]],Base!A:A,Base!B:B),""))</f>
        <v>CIF</v>
      </c>
      <c r="N711" s="20" t="str">
        <f t="shared" si="27"/>
        <v>Finalizado</v>
      </c>
      <c r="O7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1" s="2">
        <v>0.5625</v>
      </c>
      <c r="Q711" s="2">
        <v>0.57499999999999996</v>
      </c>
      <c r="R711" s="16">
        <v>0.69513888888888886</v>
      </c>
      <c r="S711" s="16" t="s">
        <v>85</v>
      </c>
      <c r="T711" s="14">
        <f>IF(OR(Tabela1[[#This Row],[Entrada]]="",Tabela1[[#This Row],[Saída]]=""), "", Tabela1[[#This Row],[Saída]]-Tabela1[[#This Row],[Entrada]])</f>
        <v>0.12013888888888891</v>
      </c>
      <c r="U711" s="15">
        <f>IF(OR('Controle de CT'!$R711= "", 'Controle de CT'!$P711= ""), "", 'Controle de CT'!$R711-'Controle de CT'!$P711)</f>
        <v>0.13263888888888886</v>
      </c>
      <c r="V711" s="1"/>
      <c r="W711" s="2"/>
      <c r="X711" s="2"/>
    </row>
    <row r="712" spans="11:24" ht="15" hidden="1" customHeight="1">
      <c r="K712" s="5">
        <v>46098</v>
      </c>
      <c r="L712" s="8" t="s">
        <v>86</v>
      </c>
      <c r="M712" s="22" t="str">
        <f>IF(Tabela1[[#This Row],[Motorista]]="","",IFERROR(_xlfn.XLOOKUP(Tabela1[[#This Row],[Motorista]],Base!A:A,Base!B:B),""))</f>
        <v>FOB</v>
      </c>
      <c r="N712" s="20" t="str">
        <f t="shared" si="27"/>
        <v>Finalizado</v>
      </c>
      <c r="O7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12" s="2">
        <v>0.67083333333333328</v>
      </c>
      <c r="Q712" s="2">
        <v>0.69791666666666663</v>
      </c>
      <c r="R712" s="16">
        <v>0.72569444444444442</v>
      </c>
      <c r="S712" s="16" t="s">
        <v>85</v>
      </c>
      <c r="T712" s="14">
        <f>IF(OR(Tabela1[[#This Row],[Entrada]]="",Tabela1[[#This Row],[Saída]]=""), "", Tabela1[[#This Row],[Saída]]-Tabela1[[#This Row],[Entrada]])</f>
        <v>2.777777777777779E-2</v>
      </c>
      <c r="U712" s="15">
        <f>IF(OR('Controle de CT'!$R712= "", 'Controle de CT'!$P712= ""), "", 'Controle de CT'!$R712-'Controle de CT'!$P712)</f>
        <v>5.4861111111111138E-2</v>
      </c>
      <c r="V712" s="1" t="s">
        <v>186</v>
      </c>
      <c r="W712" s="2"/>
      <c r="X712" s="2"/>
    </row>
    <row r="713" spans="11:24" ht="15" hidden="1" customHeight="1">
      <c r="K713" s="5">
        <v>46098</v>
      </c>
      <c r="L713" s="8" t="s">
        <v>175</v>
      </c>
      <c r="M713" s="22" t="str">
        <f>IF(Tabela1[[#This Row],[Motorista]]="","",IFERROR(_xlfn.XLOOKUP(Tabela1[[#This Row],[Motorista]],Base!A:A,Base!B:B),""))</f>
        <v>FOB</v>
      </c>
      <c r="N713" s="20" t="str">
        <f t="shared" si="27"/>
        <v>Finalizado</v>
      </c>
      <c r="O7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3" s="2">
        <v>0.68611111111111112</v>
      </c>
      <c r="Q713" s="2">
        <v>0.73750000000000004</v>
      </c>
      <c r="R713" s="16">
        <v>0.78680555555555554</v>
      </c>
      <c r="S713" s="16" t="s">
        <v>85</v>
      </c>
      <c r="T713" s="14">
        <f>IF(OR(Tabela1[[#This Row],[Entrada]]="",Tabela1[[#This Row],[Saída]]=""), "", Tabela1[[#This Row],[Saída]]-Tabela1[[#This Row],[Entrada]])</f>
        <v>4.9305555555555491E-2</v>
      </c>
      <c r="U713" s="15">
        <f>IF(OR('Controle de CT'!$R713= "", 'Controle de CT'!$P713= ""), "", 'Controle de CT'!$R713-'Controle de CT'!$P713)</f>
        <v>0.10069444444444442</v>
      </c>
      <c r="V713" s="1" t="s">
        <v>185</v>
      </c>
      <c r="W713" s="2"/>
      <c r="X713" s="2"/>
    </row>
    <row r="714" spans="11:24" ht="14.45" hidden="1">
      <c r="K714" s="5">
        <v>46098</v>
      </c>
      <c r="L714" s="8" t="s">
        <v>90</v>
      </c>
      <c r="M714" s="22" t="str">
        <f>IF(Tabela1[[#This Row],[Motorista]]="","",IFERROR(_xlfn.XLOOKUP(Tabela1[[#This Row],[Motorista]],Base!A:A,Base!B:B),""))</f>
        <v>FOB</v>
      </c>
      <c r="N714" s="20" t="str">
        <f t="shared" si="27"/>
        <v>Finalizado</v>
      </c>
      <c r="O7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14" s="2">
        <v>0.69513888888888886</v>
      </c>
      <c r="Q714" s="2">
        <v>0.70972222222222225</v>
      </c>
      <c r="R714" s="16">
        <v>0.76666666666666672</v>
      </c>
      <c r="S714" s="16" t="s">
        <v>85</v>
      </c>
      <c r="T714" s="14">
        <f>IF(OR(Tabela1[[#This Row],[Entrada]]="",Tabela1[[#This Row],[Saída]]=""), "", Tabela1[[#This Row],[Saída]]-Tabela1[[#This Row],[Entrada]])</f>
        <v>5.6944444444444464E-2</v>
      </c>
      <c r="U714" s="15">
        <f>IF(OR('Controle de CT'!$R714= "", 'Controle de CT'!$P714= ""), "", 'Controle de CT'!$R714-'Controle de CT'!$P714)</f>
        <v>7.1527777777777857E-2</v>
      </c>
      <c r="V714" s="16"/>
      <c r="W714" s="2"/>
      <c r="X714" s="2"/>
    </row>
    <row r="715" spans="11:24" ht="15" hidden="1" customHeight="1">
      <c r="K715" s="5">
        <v>46098</v>
      </c>
      <c r="L715" s="8" t="s">
        <v>162</v>
      </c>
      <c r="M715" s="22" t="str">
        <f>IF(Tabela1[[#This Row],[Motorista]]="","",IFERROR(_xlfn.XLOOKUP(Tabela1[[#This Row],[Motorista]],Base!A:A,Base!B:B),""))</f>
        <v>FOB</v>
      </c>
      <c r="N715" s="20" t="str">
        <f t="shared" si="27"/>
        <v>Finalizado</v>
      </c>
      <c r="O7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5" s="2">
        <v>0.6694444444444444</v>
      </c>
      <c r="Q715" s="2">
        <v>0.68055555555555558</v>
      </c>
      <c r="R715" s="16">
        <v>0.7368055555555556</v>
      </c>
      <c r="S715" s="16" t="s">
        <v>85</v>
      </c>
      <c r="T715" s="14">
        <f>IF(OR(Tabela1[[#This Row],[Entrada]]="",Tabela1[[#This Row],[Saída]]=""), "", Tabela1[[#This Row],[Saída]]-Tabela1[[#This Row],[Entrada]])</f>
        <v>5.6250000000000022E-2</v>
      </c>
      <c r="U715" s="15">
        <f>IF(OR('Controle de CT'!$R715= "", 'Controle de CT'!$P715= ""), "", 'Controle de CT'!$R715-'Controle de CT'!$P715)</f>
        <v>6.7361111111111205E-2</v>
      </c>
      <c r="V715" s="16"/>
      <c r="W715" s="2"/>
      <c r="X715" s="2"/>
    </row>
    <row r="716" spans="11:24" ht="15" hidden="1" customHeight="1">
      <c r="K716" s="5">
        <v>46098</v>
      </c>
      <c r="L716" s="8" t="s">
        <v>87</v>
      </c>
      <c r="M716" s="22" t="str">
        <f>IF(Tabela1[[#This Row],[Motorista]]="","",IFERROR(_xlfn.XLOOKUP(Tabela1[[#This Row],[Motorista]],Base!A:A,Base!B:B),""))</f>
        <v>FOB</v>
      </c>
      <c r="N716" s="20" t="str">
        <f t="shared" si="27"/>
        <v>Fila de Carregamento</v>
      </c>
      <c r="O7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16" s="2">
        <v>0.71250000000000002</v>
      </c>
      <c r="Q716" s="2">
        <v>0.73750000000000004</v>
      </c>
      <c r="R716" s="16"/>
      <c r="S716" s="16" t="s">
        <v>85</v>
      </c>
      <c r="T716" s="14" t="str">
        <f>IF(OR(Tabela1[[#This Row],[Entrada]]="",Tabela1[[#This Row],[Saída]]=""), "", Tabela1[[#This Row],[Saída]]-Tabela1[[#This Row],[Entrada]])</f>
        <v/>
      </c>
      <c r="U716" s="15" t="str">
        <f>IF(OR('Controle de CT'!$R716= "", 'Controle de CT'!$P716= ""), "", 'Controle de CT'!$R716-'Controle de CT'!$P716)</f>
        <v/>
      </c>
      <c r="V716" s="16"/>
      <c r="W716" s="2"/>
      <c r="X716" s="2"/>
    </row>
    <row r="717" spans="11:24" ht="15" hidden="1" customHeight="1">
      <c r="K717" s="5">
        <v>46098</v>
      </c>
      <c r="L717" s="8" t="s">
        <v>178</v>
      </c>
      <c r="M717" s="22" t="str">
        <f>IF(Tabela1[[#This Row],[Motorista]]="","",IFERROR(_xlfn.XLOOKUP(Tabela1[[#This Row],[Motorista]],Base!A:A,Base!B:B),""))</f>
        <v>Transferência</v>
      </c>
      <c r="N717" s="20" t="str">
        <f t="shared" si="27"/>
        <v>Fila de Carregamento</v>
      </c>
      <c r="O7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7" s="2">
        <v>0.70763888888888893</v>
      </c>
      <c r="Q717" s="2">
        <v>0.71944444444444444</v>
      </c>
      <c r="R717" s="16"/>
      <c r="S717" s="16"/>
      <c r="T717" s="14" t="str">
        <f>IF(OR(Tabela1[[#This Row],[Entrada]]="",Tabela1[[#This Row],[Saída]]=""), "", Tabela1[[#This Row],[Saída]]-Tabela1[[#This Row],[Entrada]])</f>
        <v/>
      </c>
      <c r="U717" s="15" t="str">
        <f>IF(OR('Controle de CT'!$R717= "", 'Controle de CT'!$P717= ""), "", 'Controle de CT'!$R717-'Controle de CT'!$P717)</f>
        <v/>
      </c>
      <c r="V717" s="16"/>
      <c r="W717" s="2"/>
      <c r="X717" s="2"/>
    </row>
    <row r="718" spans="11:24" ht="15" hidden="1" customHeight="1">
      <c r="K718" s="5">
        <v>46099</v>
      </c>
      <c r="L718" s="8" t="s">
        <v>42</v>
      </c>
      <c r="M718" s="22" t="str">
        <f>IF(Tabela1[[#This Row],[Motorista]]="","",IFERROR(_xlfn.XLOOKUP(Tabela1[[#This Row],[Motorista]],Base!A:A,Base!B:B),""))</f>
        <v>CIF</v>
      </c>
      <c r="N718" s="20" t="str">
        <f t="shared" si="27"/>
        <v>Finalizado</v>
      </c>
      <c r="O7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18" s="2">
        <v>0.24374999999999999</v>
      </c>
      <c r="Q718" s="2">
        <v>0.27638888888888891</v>
      </c>
      <c r="R718" s="16">
        <v>0.42638888888888887</v>
      </c>
      <c r="S718" s="60" t="s">
        <v>85</v>
      </c>
      <c r="T718" s="14">
        <f>IF(OR(Tabela1[[#This Row],[Entrada]]="",Tabela1[[#This Row],[Saída]]=""), "", Tabela1[[#This Row],[Saída]]-Tabela1[[#This Row],[Entrada]])</f>
        <v>0.14999999999999997</v>
      </c>
      <c r="U718" s="15">
        <f>IF(OR('Controle de CT'!$R718= "", 'Controle de CT'!$P718= ""), "", 'Controle de CT'!$R718-'Controle de CT'!$P718)</f>
        <v>0.18263888888888888</v>
      </c>
      <c r="V718" s="16"/>
      <c r="W718" s="72" t="s">
        <v>189</v>
      </c>
      <c r="X718" s="2"/>
    </row>
    <row r="719" spans="11:24" ht="15" hidden="1" customHeight="1">
      <c r="K719" s="5">
        <v>46099</v>
      </c>
      <c r="L719" s="8" t="s">
        <v>55</v>
      </c>
      <c r="M719" s="22" t="str">
        <f>IF(Tabela1[[#This Row],[Motorista]]="","",IFERROR(_xlfn.XLOOKUP(Tabela1[[#This Row],[Motorista]],Base!A:A,Base!B:B),""))</f>
        <v>CIF</v>
      </c>
      <c r="N719" s="20" t="str">
        <f t="shared" si="27"/>
        <v>Finalizado</v>
      </c>
      <c r="O7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19" s="2">
        <v>0.24583333333333332</v>
      </c>
      <c r="Q719" s="2">
        <v>0.28819444444444442</v>
      </c>
      <c r="R719" s="16">
        <v>0.44236111111111109</v>
      </c>
      <c r="S719" s="16"/>
      <c r="T719" s="14">
        <f>IF(OR(Tabela1[[#This Row],[Entrada]]="",Tabela1[[#This Row],[Saída]]=""), "", Tabela1[[#This Row],[Saída]]-Tabela1[[#This Row],[Entrada]])</f>
        <v>0.15416666666666667</v>
      </c>
      <c r="U719" s="15">
        <f>IF(OR('Controle de CT'!$R719= "", 'Controle de CT'!$P719= ""), "", 'Controle de CT'!$R719-'Controle de CT'!$P719)</f>
        <v>0.19652777777777777</v>
      </c>
      <c r="V719" s="59" t="s">
        <v>190</v>
      </c>
      <c r="W719" s="2"/>
      <c r="X719" s="2"/>
    </row>
    <row r="720" spans="11:24" ht="15" hidden="1" customHeight="1">
      <c r="K720" s="5">
        <v>46099</v>
      </c>
      <c r="L720" s="8" t="s">
        <v>58</v>
      </c>
      <c r="M720" s="22" t="str">
        <f>IF(Tabela1[[#This Row],[Motorista]]="","",IFERROR(_xlfn.XLOOKUP(Tabela1[[#This Row],[Motorista]],Base!A:A,Base!B:B),""))</f>
        <v xml:space="preserve">CIF </v>
      </c>
      <c r="N720" s="20" t="str">
        <f t="shared" si="27"/>
        <v>Finalizado</v>
      </c>
      <c r="O7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20" s="2">
        <v>0.25277777777777777</v>
      </c>
      <c r="Q720" s="2">
        <v>0.28749999999999998</v>
      </c>
      <c r="R720" s="16">
        <v>0.3888888888888889</v>
      </c>
      <c r="S720" s="16"/>
      <c r="T720" s="14">
        <f>IF(OR(Tabela1[[#This Row],[Entrada]]="",Tabela1[[#This Row],[Saída]]=""), "", Tabela1[[#This Row],[Saída]]-Tabela1[[#This Row],[Entrada]])</f>
        <v>0.10138888888888892</v>
      </c>
      <c r="U720" s="15">
        <f>IF(OR('Controle de CT'!$R720= "", 'Controle de CT'!$P720= ""), "", 'Controle de CT'!$R720-'Controle de CT'!$P720)</f>
        <v>0.13611111111111113</v>
      </c>
      <c r="V720" s="59"/>
      <c r="W720" s="2"/>
      <c r="X720" s="2"/>
    </row>
    <row r="721" spans="11:24" ht="15" hidden="1" customHeight="1">
      <c r="K721" s="5">
        <v>46099</v>
      </c>
      <c r="L721" s="8" t="s">
        <v>47</v>
      </c>
      <c r="M721" s="22" t="str">
        <f>IF(Tabela1[[#This Row],[Motorista]]="","",IFERROR(_xlfn.XLOOKUP(Tabela1[[#This Row],[Motorista]],Base!A:A,Base!B:B),""))</f>
        <v>CIF</v>
      </c>
      <c r="N721" s="20" t="str">
        <f t="shared" si="27"/>
        <v>Finalizado</v>
      </c>
      <c r="O7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21" s="2">
        <v>0.26458333333333334</v>
      </c>
      <c r="Q721" s="2">
        <v>0.37430555555555556</v>
      </c>
      <c r="R721" s="16">
        <v>0.42708333333333331</v>
      </c>
      <c r="S721" s="16"/>
      <c r="T721" s="14">
        <f>IF(OR(Tabela1[[#This Row],[Entrada]]="",Tabela1[[#This Row],[Saída]]=""), "", Tabela1[[#This Row],[Saída]]-Tabela1[[#This Row],[Entrada]])</f>
        <v>5.2777777777777757E-2</v>
      </c>
      <c r="U721" s="15">
        <f>IF(OR('Controle de CT'!$R721= "", 'Controle de CT'!$P721= ""), "", 'Controle de CT'!$R721-'Controle de CT'!$P721)</f>
        <v>0.16249999999999998</v>
      </c>
      <c r="V721" s="1"/>
      <c r="W721" s="2"/>
      <c r="X721" s="2"/>
    </row>
    <row r="722" spans="11:24" ht="15" hidden="1" customHeight="1">
      <c r="K722" s="5">
        <v>46099</v>
      </c>
      <c r="L722" s="8" t="s">
        <v>106</v>
      </c>
      <c r="M722" s="22" t="str">
        <f>IF(Tabela1[[#This Row],[Motorista]]="","",IFERROR(_xlfn.XLOOKUP(Tabela1[[#This Row],[Motorista]],Base!A:A,Base!B:B),""))</f>
        <v>FOB</v>
      </c>
      <c r="N722" s="20" t="str">
        <f t="shared" si="27"/>
        <v>Aguardando Entrada</v>
      </c>
      <c r="O7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22" s="2">
        <v>0.28472222222222221</v>
      </c>
      <c r="R722" s="16"/>
      <c r="S722" s="16"/>
      <c r="T722" s="14" t="str">
        <f>IF(OR(Tabela1[[#This Row],[Entrada]]="",Tabela1[[#This Row],[Saída]]=""), "", Tabela1[[#This Row],[Saída]]-Tabela1[[#This Row],[Entrada]])</f>
        <v/>
      </c>
      <c r="U722" s="15" t="str">
        <f>IF(OR('Controle de CT'!$R722= "", 'Controle de CT'!$P722= ""), "", 'Controle de CT'!$R722-'Controle de CT'!$P722)</f>
        <v/>
      </c>
      <c r="V722" s="1"/>
      <c r="W722" s="2"/>
      <c r="X722" s="2"/>
    </row>
    <row r="723" spans="11:24" ht="15" hidden="1" customHeight="1">
      <c r="K723" s="5">
        <v>46099</v>
      </c>
      <c r="L723" s="8" t="s">
        <v>98</v>
      </c>
      <c r="M723" s="22" t="str">
        <f>IF(Tabela1[[#This Row],[Motorista]]="","",IFERROR(_xlfn.XLOOKUP(Tabela1[[#This Row],[Motorista]],Base!A:A,Base!B:B),""))</f>
        <v>FOB</v>
      </c>
      <c r="N723" s="20" t="str">
        <f t="shared" si="27"/>
        <v/>
      </c>
      <c r="O7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23" s="16"/>
      <c r="S723" s="16"/>
      <c r="T723" s="14" t="str">
        <f>IF(OR(Tabela1[[#This Row],[Entrada]]="",Tabela1[[#This Row],[Saída]]=""), "", Tabela1[[#This Row],[Saída]]-Tabela1[[#This Row],[Entrada]])</f>
        <v/>
      </c>
      <c r="U723" s="15" t="str">
        <f>IF(OR('Controle de CT'!$R723= "", 'Controle de CT'!$P723= ""), "", 'Controle de CT'!$R723-'Controle de CT'!$P723)</f>
        <v/>
      </c>
      <c r="V723" s="1"/>
      <c r="W723" s="2"/>
      <c r="X723" s="2"/>
    </row>
    <row r="724" spans="11:24" ht="15" hidden="1" customHeight="1">
      <c r="K724" s="5">
        <v>46099</v>
      </c>
      <c r="L724" s="8" t="s">
        <v>46</v>
      </c>
      <c r="M724" s="9" t="str">
        <f>IF(Tabela1[[#This Row],[Motorista]]="","",IFERROR(_xlfn.XLOOKUP(Tabela1[[#This Row],[Motorista]],Base!A:A,Base!B:B),""))</f>
        <v>CIF</v>
      </c>
      <c r="N724" s="20" t="str">
        <f t="shared" si="27"/>
        <v>Fila de Carregamento</v>
      </c>
      <c r="O7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24" s="4">
        <v>0.41944444444444445</v>
      </c>
      <c r="Q724" s="4">
        <v>0.43194444444444446</v>
      </c>
      <c r="R724" s="23"/>
      <c r="S724" s="16"/>
      <c r="T724" s="14" t="str">
        <f>IF(OR(Tabela1[[#This Row],[Entrada]]="",Tabela1[[#This Row],[Saída]]=""), "", Tabela1[[#This Row],[Saída]]-Tabela1[[#This Row],[Entrada]])</f>
        <v/>
      </c>
      <c r="U724" s="15" t="str">
        <f>IF(OR('Controle de CT'!$R724= "", 'Controle de CT'!$P724= ""), "", 'Controle de CT'!$R724-'Controle de CT'!$P724)</f>
        <v/>
      </c>
      <c r="V724" s="1"/>
      <c r="W724" s="2"/>
      <c r="X724" s="2"/>
    </row>
    <row r="725" spans="11:24" ht="15" hidden="1" customHeight="1">
      <c r="K725" s="5">
        <v>46099</v>
      </c>
      <c r="L725" s="8" t="s">
        <v>111</v>
      </c>
      <c r="M725" s="22" t="str">
        <f>IF(Tabela1[[#This Row],[Motorista]]="","",IFERROR(_xlfn.XLOOKUP(Tabela1[[#This Row],[Motorista]],Base!A:A,Base!B:B),""))</f>
        <v>FOB</v>
      </c>
      <c r="N725" s="20" t="str">
        <f t="shared" si="27"/>
        <v/>
      </c>
      <c r="O7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25" s="16"/>
      <c r="S725" s="16"/>
      <c r="T725" s="14" t="str">
        <f>IF(OR(Tabela1[[#This Row],[Entrada]]="",Tabela1[[#This Row],[Saída]]=""), "", Tabela1[[#This Row],[Saída]]-Tabela1[[#This Row],[Entrada]])</f>
        <v/>
      </c>
      <c r="U725" s="15" t="str">
        <f>IF(OR('Controle de CT'!$R725= "", 'Controle de CT'!$P725= ""), "", 'Controle de CT'!$R725-'Controle de CT'!$P725)</f>
        <v/>
      </c>
      <c r="V725" s="1"/>
      <c r="W725" s="2"/>
      <c r="X725" s="2"/>
    </row>
    <row r="726" spans="11:24" ht="15" hidden="1" customHeight="1">
      <c r="K726" s="5">
        <v>46099</v>
      </c>
      <c r="L726" s="8" t="s">
        <v>91</v>
      </c>
      <c r="M726" s="22" t="str">
        <f>IF(Tabela1[[#This Row],[Motorista]]="","",IFERROR(_xlfn.XLOOKUP(Tabela1[[#This Row],[Motorista]],Base!A:A,Base!B:B),""))</f>
        <v>FOB</v>
      </c>
      <c r="N726" s="20" t="str">
        <f t="shared" si="27"/>
        <v/>
      </c>
      <c r="O7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26" s="16"/>
      <c r="S726" s="16"/>
      <c r="T726" s="14" t="str">
        <f>IF(OR(Tabela1[[#This Row],[Entrada]]="",Tabela1[[#This Row],[Saída]]=""), "", Tabela1[[#This Row],[Saída]]-Tabela1[[#This Row],[Entrada]])</f>
        <v/>
      </c>
      <c r="U726" s="15" t="str">
        <f>IF(OR('Controle de CT'!$R726= "", 'Controle de CT'!$P726= ""), "", 'Controle de CT'!$R726-'Controle de CT'!$P726)</f>
        <v/>
      </c>
      <c r="V726" s="1"/>
      <c r="W726" s="2"/>
      <c r="X726" s="2"/>
    </row>
    <row r="727" spans="11:24" ht="15" hidden="1" customHeight="1">
      <c r="K727" s="5">
        <v>46099</v>
      </c>
      <c r="L727" s="8" t="s">
        <v>87</v>
      </c>
      <c r="M727" s="22" t="str">
        <f>IF(Tabela1[[#This Row],[Motorista]]="","",IFERROR(_xlfn.XLOOKUP(Tabela1[[#This Row],[Motorista]],Base!A:A,Base!B:B),""))</f>
        <v>FOB</v>
      </c>
      <c r="N727" s="20" t="str">
        <f t="shared" si="27"/>
        <v/>
      </c>
      <c r="O7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27" s="16"/>
      <c r="S727" s="16"/>
      <c r="T727" s="14" t="str">
        <f>IF(OR(Tabela1[[#This Row],[Entrada]]="",Tabela1[[#This Row],[Saída]]=""), "", Tabela1[[#This Row],[Saída]]-Tabela1[[#This Row],[Entrada]])</f>
        <v/>
      </c>
      <c r="U727" s="15" t="str">
        <f>IF(OR('Controle de CT'!$R727= "", 'Controle de CT'!$P727= ""), "", 'Controle de CT'!$R727-'Controle de CT'!$P727)</f>
        <v/>
      </c>
      <c r="V727" s="1"/>
      <c r="W727" s="2"/>
      <c r="X727" s="2"/>
    </row>
    <row r="728" spans="11:24" ht="15" hidden="1" customHeight="1">
      <c r="K728" s="5">
        <v>46099</v>
      </c>
      <c r="L728" s="8" t="s">
        <v>86</v>
      </c>
      <c r="M728" s="22" t="str">
        <f>IF(Tabela1[[#This Row],[Motorista]]="","",IFERROR(_xlfn.XLOOKUP(Tabela1[[#This Row],[Motorista]],Base!A:A,Base!B:B),""))</f>
        <v>FOB</v>
      </c>
      <c r="N728" s="20" t="str">
        <f t="shared" si="27"/>
        <v/>
      </c>
      <c r="O7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28" s="16"/>
      <c r="S728" s="16"/>
      <c r="T728" s="14" t="str">
        <f>IF(OR(Tabela1[[#This Row],[Entrada]]="",Tabela1[[#This Row],[Saída]]=""), "", Tabela1[[#This Row],[Saída]]-Tabela1[[#This Row],[Entrada]])</f>
        <v/>
      </c>
      <c r="U728" s="15" t="str">
        <f>IF(OR('Controle de CT'!$R728= "", 'Controle de CT'!$P728= ""), "", 'Controle de CT'!$R728-'Controle de CT'!$P728)</f>
        <v/>
      </c>
      <c r="V728" s="1"/>
      <c r="W728" s="2"/>
      <c r="X728" s="2"/>
    </row>
    <row r="729" spans="11:24" ht="15" hidden="1" customHeight="1">
      <c r="K729" s="5">
        <v>46099</v>
      </c>
      <c r="L729" s="8" t="s">
        <v>101</v>
      </c>
      <c r="M729" s="22" t="str">
        <f>IF(Tabela1[[#This Row],[Motorista]]="","",IFERROR(_xlfn.XLOOKUP(Tabela1[[#This Row],[Motorista]],Base!A:A,Base!B:B),""))</f>
        <v>FOB</v>
      </c>
      <c r="N729" s="20" t="str">
        <f t="shared" si="27"/>
        <v>Finalizado</v>
      </c>
      <c r="O7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29" s="2">
        <v>0.42499999999999999</v>
      </c>
      <c r="Q729" s="2">
        <v>0.51666666666666672</v>
      </c>
      <c r="R729" s="16">
        <v>0.56666666666666665</v>
      </c>
      <c r="S729" s="16"/>
      <c r="T729" s="14">
        <f>IF(OR(Tabela1[[#This Row],[Entrada]]="",Tabela1[[#This Row],[Saída]]=""), "", Tabela1[[#This Row],[Saída]]-Tabela1[[#This Row],[Entrada]])</f>
        <v>4.9999999999999933E-2</v>
      </c>
      <c r="U729" s="15">
        <f>IF(OR('Controle de CT'!$R729= "", 'Controle de CT'!$P729= ""), "", 'Controle de CT'!$R729-'Controle de CT'!$P729)</f>
        <v>0.14166666666666666</v>
      </c>
      <c r="V729" s="1"/>
      <c r="W729" s="2"/>
      <c r="X729" s="2"/>
    </row>
    <row r="730" spans="11:24" ht="15" hidden="1" customHeight="1">
      <c r="K730" s="5">
        <v>46099</v>
      </c>
      <c r="L730" s="8" t="s">
        <v>112</v>
      </c>
      <c r="M730" s="22" t="str">
        <f>IF(Tabela1[[#This Row],[Motorista]]="","",IFERROR(_xlfn.XLOOKUP(Tabela1[[#This Row],[Motorista]],Base!A:A,Base!B:B),""))</f>
        <v>FOB</v>
      </c>
      <c r="N730" s="20" t="str">
        <f t="shared" si="27"/>
        <v/>
      </c>
      <c r="O7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30" s="16"/>
      <c r="S730" s="16"/>
      <c r="T730" s="14" t="str">
        <f>IF(OR(Tabela1[[#This Row],[Entrada]]="",Tabela1[[#This Row],[Saída]]=""), "", Tabela1[[#This Row],[Saída]]-Tabela1[[#This Row],[Entrada]])</f>
        <v/>
      </c>
      <c r="U730" s="15" t="str">
        <f>IF(OR('Controle de CT'!$R730= "", 'Controle de CT'!$P730= ""), "", 'Controle de CT'!$R730-'Controle de CT'!$P730)</f>
        <v/>
      </c>
      <c r="V730" s="1"/>
      <c r="W730" s="2"/>
      <c r="X730" s="2"/>
    </row>
    <row r="731" spans="11:24" ht="15" hidden="1" customHeight="1">
      <c r="K731" s="5">
        <v>46099</v>
      </c>
      <c r="L731" s="8" t="s">
        <v>92</v>
      </c>
      <c r="M731" s="22" t="str">
        <f>IF(Tabela1[[#This Row],[Motorista]]="","",IFERROR(_xlfn.XLOOKUP(Tabela1[[#This Row],[Motorista]],Base!A:A,Base!B:B),""))</f>
        <v>FOB</v>
      </c>
      <c r="N731" s="20" t="str">
        <f t="shared" si="27"/>
        <v>Finalizado</v>
      </c>
      <c r="O7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31" s="16">
        <v>0.59444444444444444</v>
      </c>
      <c r="S731" s="16"/>
      <c r="T731" s="14" t="str">
        <f>IF(OR(Tabela1[[#This Row],[Entrada]]="",Tabela1[[#This Row],[Saída]]=""), "", Tabela1[[#This Row],[Saída]]-Tabela1[[#This Row],[Entrada]])</f>
        <v/>
      </c>
      <c r="U731" s="15" t="str">
        <f>IF(OR('Controle de CT'!$R731= "", 'Controle de CT'!$P731= ""), "", 'Controle de CT'!$R731-'Controle de CT'!$P731)</f>
        <v/>
      </c>
      <c r="V731" s="1"/>
      <c r="W731" s="2"/>
      <c r="X731" s="2"/>
    </row>
    <row r="732" spans="11:24" ht="15" hidden="1" customHeight="1">
      <c r="K732" s="5">
        <v>46099</v>
      </c>
      <c r="L732" s="8" t="s">
        <v>57</v>
      </c>
      <c r="M732" s="22" t="str">
        <f>IF(Tabela1[[#This Row],[Motorista]]="","",IFERROR(_xlfn.XLOOKUP(Tabela1[[#This Row],[Motorista]],Base!A:A,Base!B:B),""))</f>
        <v>CIF</v>
      </c>
      <c r="N732" s="20" t="str">
        <f t="shared" si="27"/>
        <v>Finalizado</v>
      </c>
      <c r="O7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32" s="2">
        <v>0.59236111111111112</v>
      </c>
      <c r="Q732" s="2">
        <v>0.6</v>
      </c>
      <c r="R732" s="16">
        <v>0.65069444444444446</v>
      </c>
      <c r="S732" s="16"/>
      <c r="T732" s="14">
        <f>IF(OR(Tabela1[[#This Row],[Entrada]]="",Tabela1[[#This Row],[Saída]]=""), "", Tabela1[[#This Row],[Saída]]-Tabela1[[#This Row],[Entrada]])</f>
        <v>5.0694444444444486E-2</v>
      </c>
      <c r="U732" s="15">
        <f>IF(OR('Controle de CT'!$R732= "", 'Controle de CT'!$P732= ""), "", 'Controle de CT'!$R732-'Controle de CT'!$P732)</f>
        <v>5.8333333333333348E-2</v>
      </c>
      <c r="V732" s="1"/>
      <c r="W732" s="2"/>
      <c r="X732" s="2"/>
    </row>
    <row r="733" spans="11:24" ht="15" hidden="1" customHeight="1">
      <c r="K733" s="5">
        <v>46099</v>
      </c>
      <c r="L733" s="8" t="s">
        <v>47</v>
      </c>
      <c r="M733" s="22" t="str">
        <f>IF(Tabela1[[#This Row],[Motorista]]="","",IFERROR(_xlfn.XLOOKUP(Tabela1[[#This Row],[Motorista]],Base!A:A,Base!B:B),""))</f>
        <v>CIF</v>
      </c>
      <c r="N733" s="20" t="str">
        <f t="shared" si="27"/>
        <v>Finalizado</v>
      </c>
      <c r="O7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33" s="2">
        <v>0.6</v>
      </c>
      <c r="Q733" s="2">
        <v>0.61319444444444449</v>
      </c>
      <c r="R733" s="16">
        <v>0.6743055555555556</v>
      </c>
      <c r="S733" s="16"/>
      <c r="T733" s="14">
        <f>IF(OR(Tabela1[[#This Row],[Entrada]]="",Tabela1[[#This Row],[Saída]]=""), "", Tabela1[[#This Row],[Saída]]-Tabela1[[#This Row],[Entrada]])</f>
        <v>6.1111111111111116E-2</v>
      </c>
      <c r="U733" s="15">
        <f>IF(OR('Controle de CT'!$R733= "", 'Controle de CT'!$P733= ""), "", 'Controle de CT'!$R733-'Controle de CT'!$P733)</f>
        <v>7.4305555555555625E-2</v>
      </c>
      <c r="V733" s="1"/>
      <c r="W733" s="2"/>
      <c r="X733" s="2"/>
    </row>
    <row r="734" spans="11:24" ht="15" hidden="1" customHeight="1">
      <c r="K734" s="5">
        <v>46099</v>
      </c>
      <c r="L734" s="8" t="s">
        <v>126</v>
      </c>
      <c r="M734" s="22" t="str">
        <f>IF(Tabela1[[#This Row],[Motorista]]="","",IFERROR(_xlfn.XLOOKUP(Tabela1[[#This Row],[Motorista]],Base!A:A,Base!B:B),""))</f>
        <v>Transferência</v>
      </c>
      <c r="N734" s="20" t="str">
        <f t="shared" si="27"/>
        <v>Aguardando Entrada</v>
      </c>
      <c r="O7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34" s="2">
        <v>0.60416666666666663</v>
      </c>
      <c r="R734" s="16"/>
      <c r="S734" s="16"/>
      <c r="T734" s="14" t="str">
        <f>IF(OR(Tabela1[[#This Row],[Entrada]]="",Tabela1[[#This Row],[Saída]]=""), "", Tabela1[[#This Row],[Saída]]-Tabela1[[#This Row],[Entrada]])</f>
        <v/>
      </c>
      <c r="U734" s="15" t="str">
        <f>IF(OR('Controle de CT'!$R734= "", 'Controle de CT'!$P734= ""), "", 'Controle de CT'!$R734-'Controle de CT'!$P734)</f>
        <v/>
      </c>
      <c r="V734" s="1"/>
      <c r="W734" s="2"/>
      <c r="X734" s="2"/>
    </row>
    <row r="735" spans="11:24" ht="15" hidden="1" customHeight="1">
      <c r="K735" s="5">
        <v>46099</v>
      </c>
      <c r="L735" s="8" t="s">
        <v>106</v>
      </c>
      <c r="M735" s="22" t="str">
        <f>IF(Tabela1[[#This Row],[Motorista]]="","",IFERROR(_xlfn.XLOOKUP(Tabela1[[#This Row],[Motorista]],Base!A:A,Base!B:B),""))</f>
        <v>FOB</v>
      </c>
      <c r="N735" s="20" t="str">
        <f t="shared" si="27"/>
        <v>Fila de Carregamento</v>
      </c>
      <c r="O7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35" s="2">
        <v>0.625</v>
      </c>
      <c r="Q735" s="2">
        <v>0.63680555555555551</v>
      </c>
      <c r="R735" s="16"/>
      <c r="S735" s="16"/>
      <c r="T735" s="14" t="str">
        <f>IF(OR(Tabela1[[#This Row],[Entrada]]="",Tabela1[[#This Row],[Saída]]=""), "", Tabela1[[#This Row],[Saída]]-Tabela1[[#This Row],[Entrada]])</f>
        <v/>
      </c>
      <c r="U735" s="15" t="str">
        <f>IF(OR('Controle de CT'!$R735= "", 'Controle de CT'!$P735= ""), "", 'Controle de CT'!$R735-'Controle de CT'!$P735)</f>
        <v/>
      </c>
      <c r="V735" s="1"/>
      <c r="W735" s="2"/>
      <c r="X735" s="2"/>
    </row>
    <row r="736" spans="11:24" ht="15" hidden="1" customHeight="1">
      <c r="K736" s="5">
        <v>46099</v>
      </c>
      <c r="L736" s="8" t="s">
        <v>54</v>
      </c>
      <c r="M736" s="22" t="str">
        <f>IF(Tabela1[[#This Row],[Motorista]]="","",IFERROR(_xlfn.XLOOKUP(Tabela1[[#This Row],[Motorista]],Base!A:A,Base!B:B),""))</f>
        <v>CIF</v>
      </c>
      <c r="N736" s="20" t="str">
        <f t="shared" si="27"/>
        <v>Fila de Carregamento</v>
      </c>
      <c r="O7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36" s="2">
        <v>0.60555555555555551</v>
      </c>
      <c r="Q736" s="2">
        <v>0.63472222222222219</v>
      </c>
      <c r="R736" s="16"/>
      <c r="S736" s="16"/>
      <c r="T736" s="14" t="str">
        <f>IF(OR(Tabela1[[#This Row],[Entrada]]="",Tabela1[[#This Row],[Saída]]=""), "", Tabela1[[#This Row],[Saída]]-Tabela1[[#This Row],[Entrada]])</f>
        <v/>
      </c>
      <c r="U736" s="15" t="str">
        <f>IF(OR('Controle de CT'!$R736= "", 'Controle de CT'!$P736= ""), "", 'Controle de CT'!$R736-'Controle de CT'!$P736)</f>
        <v/>
      </c>
      <c r="V736" s="1"/>
      <c r="W736" s="2"/>
      <c r="X736" s="2"/>
    </row>
    <row r="737" spans="11:24" ht="15" hidden="1" customHeight="1">
      <c r="K737" s="5">
        <v>46099</v>
      </c>
      <c r="L737" s="8" t="s">
        <v>42</v>
      </c>
      <c r="M737" s="22" t="str">
        <f>IF(Tabela1[[#This Row],[Motorista]]="","",IFERROR(_xlfn.XLOOKUP(Tabela1[[#This Row],[Motorista]],Base!A:A,Base!B:B),""))</f>
        <v>CIF</v>
      </c>
      <c r="N737" s="20" t="str">
        <f t="shared" si="27"/>
        <v>Finalizado</v>
      </c>
      <c r="O7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37" s="2">
        <v>0.53541666666666665</v>
      </c>
      <c r="Q737" s="2">
        <v>0.58680555555555558</v>
      </c>
      <c r="R737" s="16">
        <v>0.65069444444444446</v>
      </c>
      <c r="S737" s="16"/>
      <c r="T737" s="14">
        <f>IF(OR(Tabela1[[#This Row],[Entrada]]="",Tabela1[[#This Row],[Saída]]=""), "", Tabela1[[#This Row],[Saída]]-Tabela1[[#This Row],[Entrada]])</f>
        <v>6.3888888888888884E-2</v>
      </c>
      <c r="U737" s="15">
        <f>IF(OR('Controle de CT'!$R737= "", 'Controle de CT'!$P737= ""), "", 'Controle de CT'!$R737-'Controle de CT'!$P737)</f>
        <v>0.11527777777777781</v>
      </c>
      <c r="V737" s="1"/>
      <c r="W737" s="2"/>
      <c r="X737" s="2"/>
    </row>
    <row r="738" spans="11:24" ht="15" hidden="1" customHeight="1">
      <c r="K738" s="5">
        <v>46099</v>
      </c>
      <c r="L738" s="8" t="s">
        <v>182</v>
      </c>
      <c r="M738" s="22" t="str">
        <f>IF(Tabela1[[#This Row],[Motorista]]="","",IFERROR(_xlfn.XLOOKUP(Tabela1[[#This Row],[Motorista]],Base!A:A,Base!B:B),""))</f>
        <v>FOB</v>
      </c>
      <c r="N738" s="20" t="str">
        <f t="shared" si="27"/>
        <v>Aguardando Entrada</v>
      </c>
      <c r="O7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38" s="2">
        <v>0.6875</v>
      </c>
      <c r="R738" s="16"/>
      <c r="S738" s="16"/>
      <c r="T738" s="14" t="str">
        <f>IF(OR(Tabela1[[#This Row],[Entrada]]="",Tabela1[[#This Row],[Saída]]=""), "", Tabela1[[#This Row],[Saída]]-Tabela1[[#This Row],[Entrada]])</f>
        <v/>
      </c>
      <c r="U738" s="15" t="str">
        <f>IF(OR('Controle de CT'!$R738= "", 'Controle de CT'!$P738= ""), "", 'Controle de CT'!$R738-'Controle de CT'!$P738)</f>
        <v/>
      </c>
      <c r="V738" s="1"/>
      <c r="W738" s="2"/>
      <c r="X738" s="2"/>
    </row>
    <row r="739" spans="11:24" ht="15" hidden="1" customHeight="1">
      <c r="K739" s="5">
        <v>46100</v>
      </c>
      <c r="L739" s="8" t="s">
        <v>109</v>
      </c>
      <c r="M739" s="22" t="str">
        <f>IF(Tabela1[[#This Row],[Motorista]]="","",IFERROR(_xlfn.XLOOKUP(Tabela1[[#This Row],[Motorista]],Base!A:A,Base!B:B),""))</f>
        <v>Transferência</v>
      </c>
      <c r="N739" s="20" t="str">
        <f t="shared" si="27"/>
        <v>Aguardando Entrada</v>
      </c>
      <c r="O7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39" s="2">
        <v>0.22500000000000001</v>
      </c>
      <c r="R739" s="16"/>
      <c r="S739" s="16"/>
      <c r="T739" s="14" t="str">
        <f>IF(OR(Tabela1[[#This Row],[Entrada]]="",Tabela1[[#This Row],[Saída]]=""), "", Tabela1[[#This Row],[Saída]]-Tabela1[[#This Row],[Entrada]])</f>
        <v/>
      </c>
      <c r="U739" s="15" t="str">
        <f>IF(OR('Controle de CT'!$R739= "", 'Controle de CT'!$P739= ""), "", 'Controle de CT'!$R739-'Controle de CT'!$P739)</f>
        <v/>
      </c>
      <c r="V739" s="1"/>
      <c r="W739" s="2"/>
      <c r="X739" s="2"/>
    </row>
    <row r="740" spans="11:24" ht="15" hidden="1" customHeight="1">
      <c r="K740" s="5">
        <v>46100</v>
      </c>
      <c r="L740" s="8" t="s">
        <v>181</v>
      </c>
      <c r="M740" s="22" t="str">
        <f>IF(Tabela1[[#This Row],[Motorista]]="","",IFERROR(_xlfn.XLOOKUP(Tabela1[[#This Row],[Motorista]],Base!A:A,Base!B:B),""))</f>
        <v>FOB</v>
      </c>
      <c r="N740" s="20" t="str">
        <f t="shared" si="27"/>
        <v>Aguardando Entrada</v>
      </c>
      <c r="O7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0" s="2">
        <v>0.19722222222222222</v>
      </c>
      <c r="R740" s="16"/>
      <c r="S740" s="16"/>
      <c r="T740" s="14" t="str">
        <f>IF(OR(Tabela1[[#This Row],[Entrada]]="",Tabela1[[#This Row],[Saída]]=""), "", Tabela1[[#This Row],[Saída]]-Tabela1[[#This Row],[Entrada]])</f>
        <v/>
      </c>
      <c r="U740" s="15" t="str">
        <f>IF(OR('Controle de CT'!$R740= "", 'Controle de CT'!$P740= ""), "", 'Controle de CT'!$R740-'Controle de CT'!$P740)</f>
        <v/>
      </c>
      <c r="V740" s="1" t="s">
        <v>191</v>
      </c>
      <c r="W740" s="2"/>
      <c r="X740" s="2"/>
    </row>
    <row r="741" spans="11:24" ht="15" hidden="1" customHeight="1">
      <c r="K741" s="5">
        <v>46100</v>
      </c>
      <c r="L741" s="8" t="s">
        <v>162</v>
      </c>
      <c r="M741" s="22" t="str">
        <f>IF(Tabela1[[#This Row],[Motorista]]="","",IFERROR(_xlfn.XLOOKUP(Tabela1[[#This Row],[Motorista]],Base!A:A,Base!B:B),""))</f>
        <v>FOB</v>
      </c>
      <c r="N741" s="20" t="str">
        <f t="shared" si="27"/>
        <v>Aguardando Entrada</v>
      </c>
      <c r="O7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1" s="2">
        <v>0.25069444444444444</v>
      </c>
      <c r="R741" s="16"/>
      <c r="S741" s="16"/>
      <c r="T741" s="14" t="str">
        <f>IF(OR(Tabela1[[#This Row],[Entrada]]="",Tabela1[[#This Row],[Saída]]=""), "", Tabela1[[#This Row],[Saída]]-Tabela1[[#This Row],[Entrada]])</f>
        <v/>
      </c>
      <c r="U741" s="15" t="str">
        <f>IF(OR('Controle de CT'!$R741= "", 'Controle de CT'!$P741= ""), "", 'Controle de CT'!$R741-'Controle de CT'!$P741)</f>
        <v/>
      </c>
      <c r="V741" s="1" t="s">
        <v>192</v>
      </c>
      <c r="W741" s="2"/>
      <c r="X741" s="2"/>
    </row>
    <row r="742" spans="11:24" ht="15" hidden="1" customHeight="1">
      <c r="K742" s="5">
        <v>46100</v>
      </c>
      <c r="L742" s="8" t="s">
        <v>95</v>
      </c>
      <c r="M742" s="22" t="str">
        <f>IF(Tabela1[[#This Row],[Motorista]]="","",IFERROR(_xlfn.XLOOKUP(Tabela1[[#This Row],[Motorista]],Base!A:A,Base!B:B),""))</f>
        <v>FOB</v>
      </c>
      <c r="N742" s="20" t="str">
        <f t="shared" si="27"/>
        <v>Aguardando Entrada</v>
      </c>
      <c r="O7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2" s="2">
        <v>0.26250000000000001</v>
      </c>
      <c r="R742" s="16"/>
      <c r="S742" s="16"/>
      <c r="T742" s="14" t="str">
        <f>IF(OR(Tabela1[[#This Row],[Entrada]]="",Tabela1[[#This Row],[Saída]]=""), "", Tabela1[[#This Row],[Saída]]-Tabela1[[#This Row],[Entrada]])</f>
        <v/>
      </c>
      <c r="U742" s="15" t="str">
        <f>IF(OR('Controle de CT'!$R742= "", 'Controle de CT'!$P742= ""), "", 'Controle de CT'!$R742-'Controle de CT'!$P742)</f>
        <v/>
      </c>
      <c r="V742" s="1"/>
      <c r="W742" s="2"/>
      <c r="X742" s="2"/>
    </row>
    <row r="743" spans="11:24" ht="15" hidden="1" customHeight="1">
      <c r="K743" s="5">
        <v>46100</v>
      </c>
      <c r="L743" s="8" t="s">
        <v>42</v>
      </c>
      <c r="M743" s="22" t="str">
        <f>IF(Tabela1[[#This Row],[Motorista]]="","",IFERROR(_xlfn.XLOOKUP(Tabela1[[#This Row],[Motorista]],Base!A:A,Base!B:B),""))</f>
        <v>CIF</v>
      </c>
      <c r="N743" s="20" t="str">
        <f t="shared" si="27"/>
        <v>Fila de Carregamento</v>
      </c>
      <c r="O7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3" s="2">
        <v>0.24166666666666667</v>
      </c>
      <c r="Q743" s="2">
        <v>0.26111111111111113</v>
      </c>
      <c r="R743" s="16"/>
      <c r="S743" s="16"/>
      <c r="T743" s="14" t="str">
        <f>IF(OR(Tabela1[[#This Row],[Entrada]]="",Tabela1[[#This Row],[Saída]]=""), "", Tabela1[[#This Row],[Saída]]-Tabela1[[#This Row],[Entrada]])</f>
        <v/>
      </c>
      <c r="U743" s="15" t="str">
        <f>IF(OR('Controle de CT'!$R743= "", 'Controle de CT'!$P743= ""), "", 'Controle de CT'!$R743-'Controle de CT'!$P743)</f>
        <v/>
      </c>
      <c r="V743" s="1" t="s">
        <v>193</v>
      </c>
      <c r="W743" s="2"/>
      <c r="X743" s="2"/>
    </row>
    <row r="744" spans="11:24" ht="15" hidden="1" customHeight="1">
      <c r="K744" s="5">
        <v>46100</v>
      </c>
      <c r="L744" s="8" t="s">
        <v>57</v>
      </c>
      <c r="M744" s="22" t="str">
        <f>IF(Tabela1[[#This Row],[Motorista]]="","",IFERROR(_xlfn.XLOOKUP(Tabela1[[#This Row],[Motorista]],Base!A:A,Base!B:B),""))</f>
        <v>CIF</v>
      </c>
      <c r="N744" s="20" t="str">
        <f t="shared" si="27"/>
        <v>Finalizado</v>
      </c>
      <c r="O7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4" s="2">
        <v>0.26250000000000001</v>
      </c>
      <c r="Q744" s="2">
        <v>0.28402777777777777</v>
      </c>
      <c r="R744" s="16">
        <v>0.32708333333333334</v>
      </c>
      <c r="S744" s="16"/>
      <c r="T744" s="14">
        <f>IF(OR(Tabela1[[#This Row],[Entrada]]="",Tabela1[[#This Row],[Saída]]=""), "", Tabela1[[#This Row],[Saída]]-Tabela1[[#This Row],[Entrada]])</f>
        <v>4.3055555555555569E-2</v>
      </c>
      <c r="U744" s="15">
        <f>IF(OR('Controle de CT'!$R744= "", 'Controle de CT'!$P744= ""), "", 'Controle de CT'!$R744-'Controle de CT'!$P744)</f>
        <v>6.4583333333333326E-2</v>
      </c>
      <c r="V744" s="1" t="s">
        <v>194</v>
      </c>
      <c r="W744" s="2"/>
      <c r="X744" s="2"/>
    </row>
    <row r="745" spans="11:24" ht="15" hidden="1" customHeight="1">
      <c r="K745" s="5">
        <v>46100</v>
      </c>
      <c r="L745" s="8" t="s">
        <v>49</v>
      </c>
      <c r="M745" s="22" t="str">
        <f>IF(Tabela1[[#This Row],[Motorista]]="","",IFERROR(_xlfn.XLOOKUP(Tabela1[[#This Row],[Motorista]],Base!A:A,Base!B:B),""))</f>
        <v>CIF</v>
      </c>
      <c r="N745" s="20" t="str">
        <f t="shared" si="27"/>
        <v>Fila de Carregamento</v>
      </c>
      <c r="O7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5" s="2">
        <v>0.27777777777777779</v>
      </c>
      <c r="Q745" s="2">
        <v>0.2902777777777778</v>
      </c>
      <c r="R745" s="16"/>
      <c r="S745" s="16"/>
      <c r="T745" s="14" t="str">
        <f>IF(OR(Tabela1[[#This Row],[Entrada]]="",Tabela1[[#This Row],[Saída]]=""), "", Tabela1[[#This Row],[Saída]]-Tabela1[[#This Row],[Entrada]])</f>
        <v/>
      </c>
      <c r="U745" s="15" t="str">
        <f>IF(OR('Controle de CT'!$R745= "", 'Controle de CT'!$P745= ""), "", 'Controle de CT'!$R745-'Controle de CT'!$P745)</f>
        <v/>
      </c>
      <c r="V745" s="1" t="s">
        <v>195</v>
      </c>
      <c r="W745" s="2"/>
      <c r="X745" s="2"/>
    </row>
    <row r="746" spans="11:24" ht="15" hidden="1" customHeight="1">
      <c r="K746" s="5">
        <v>46100</v>
      </c>
      <c r="L746" s="8" t="s">
        <v>137</v>
      </c>
      <c r="M746" s="22" t="str">
        <f>IF(Tabela1[[#This Row],[Motorista]]="","",IFERROR(_xlfn.XLOOKUP(Tabela1[[#This Row],[Motorista]],Base!A:A,Base!B:B),""))</f>
        <v>RZD</v>
      </c>
      <c r="N746" s="20" t="str">
        <f t="shared" si="27"/>
        <v>Aguardando Entrada</v>
      </c>
      <c r="O7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6" s="2">
        <v>0.28333333333333333</v>
      </c>
      <c r="R746" s="16"/>
      <c r="S746" s="16"/>
      <c r="T746" s="14" t="str">
        <f>IF(OR(Tabela1[[#This Row],[Entrada]]="",Tabela1[[#This Row],[Saída]]=""), "", Tabela1[[#This Row],[Saída]]-Tabela1[[#This Row],[Entrada]])</f>
        <v/>
      </c>
      <c r="U746" s="15" t="str">
        <f>IF(OR('Controle de CT'!$R746= "", 'Controle de CT'!$P746= ""), "", 'Controle de CT'!$R746-'Controle de CT'!$P746)</f>
        <v/>
      </c>
      <c r="V746" s="1"/>
      <c r="W746" s="2"/>
      <c r="X746" s="2"/>
    </row>
    <row r="747" spans="11:24" ht="15" hidden="1" customHeight="1">
      <c r="K747" s="5">
        <v>46100</v>
      </c>
      <c r="L747" s="8" t="s">
        <v>92</v>
      </c>
      <c r="M747" s="22" t="str">
        <f>IF(Tabela1[[#This Row],[Motorista]]="","",IFERROR(_xlfn.XLOOKUP(Tabela1[[#This Row],[Motorista]],Base!A:A,Base!B:B),""))</f>
        <v>FOB</v>
      </c>
      <c r="N747" s="20" t="str">
        <f t="shared" si="27"/>
        <v>Aguardando Entrada</v>
      </c>
      <c r="O7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7" s="2">
        <v>0.28541666666666665</v>
      </c>
      <c r="R747" s="16"/>
      <c r="S747" s="16"/>
      <c r="T747" s="14" t="str">
        <f>IF(OR(Tabela1[[#This Row],[Entrada]]="",Tabela1[[#This Row],[Saída]]=""), "", Tabela1[[#This Row],[Saída]]-Tabela1[[#This Row],[Entrada]])</f>
        <v/>
      </c>
      <c r="U747" s="15" t="str">
        <f>IF(OR('Controle de CT'!$R747= "", 'Controle de CT'!$P747= ""), "", 'Controle de CT'!$R747-'Controle de CT'!$P747)</f>
        <v/>
      </c>
      <c r="V747" s="1" t="s">
        <v>196</v>
      </c>
      <c r="W747" s="2"/>
      <c r="X747" s="2"/>
    </row>
    <row r="748" spans="11:24" ht="15" hidden="1" customHeight="1">
      <c r="K748" s="5">
        <v>46100</v>
      </c>
      <c r="L748" s="8" t="s">
        <v>47</v>
      </c>
      <c r="M748" s="22" t="str">
        <f>IF(Tabela1[[#This Row],[Motorista]]="","",IFERROR(_xlfn.XLOOKUP(Tabela1[[#This Row],[Motorista]],Base!A:A,Base!B:B),""))</f>
        <v>CIF</v>
      </c>
      <c r="N748" s="20" t="str">
        <f t="shared" si="27"/>
        <v>Aguardando Entrada</v>
      </c>
      <c r="O7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8" s="2">
        <v>0.29097222222222224</v>
      </c>
      <c r="R748" s="16"/>
      <c r="S748" s="16"/>
      <c r="T748" s="14" t="str">
        <f>IF(OR(Tabela1[[#This Row],[Entrada]]="",Tabela1[[#This Row],[Saída]]=""), "", Tabela1[[#This Row],[Saída]]-Tabela1[[#This Row],[Entrada]])</f>
        <v/>
      </c>
      <c r="U748" s="15" t="str">
        <f>IF(OR('Controle de CT'!$R748= "", 'Controle de CT'!$P748= ""), "", 'Controle de CT'!$R748-'Controle de CT'!$P748)</f>
        <v/>
      </c>
      <c r="V748" s="1"/>
      <c r="W748" s="2"/>
      <c r="X748" s="2"/>
    </row>
    <row r="749" spans="11:24" ht="15" hidden="1" customHeight="1">
      <c r="K749" s="5">
        <v>46100</v>
      </c>
      <c r="L749" s="8" t="s">
        <v>86</v>
      </c>
      <c r="M749" s="22" t="str">
        <f>IF(Tabela1[[#This Row],[Motorista]]="","",IFERROR(_xlfn.XLOOKUP(Tabela1[[#This Row],[Motorista]],Base!A:A,Base!B:B),""))</f>
        <v>FOB</v>
      </c>
      <c r="N749" s="20" t="str">
        <f t="shared" si="27"/>
        <v>Fila de Carregamento</v>
      </c>
      <c r="O7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49" s="2">
        <v>0.30208333333333331</v>
      </c>
      <c r="Q749" s="2">
        <v>0.3125</v>
      </c>
      <c r="R749" s="16"/>
      <c r="S749" s="16"/>
      <c r="T749" s="14" t="str">
        <f>IF(OR(Tabela1[[#This Row],[Entrada]]="",Tabela1[[#This Row],[Saída]]=""), "", Tabela1[[#This Row],[Saída]]-Tabela1[[#This Row],[Entrada]])</f>
        <v/>
      </c>
      <c r="U749" s="15" t="str">
        <f>IF(OR('Controle de CT'!$R749= "", 'Controle de CT'!$P749= ""), "", 'Controle de CT'!$R749-'Controle de CT'!$P749)</f>
        <v/>
      </c>
      <c r="V749" s="1" t="s">
        <v>197</v>
      </c>
      <c r="W749" s="2"/>
      <c r="X749" s="2"/>
    </row>
    <row r="750" spans="11:24" ht="15" hidden="1" customHeight="1">
      <c r="K750" s="5">
        <v>46100</v>
      </c>
      <c r="L750" s="8" t="s">
        <v>121</v>
      </c>
      <c r="M750" s="22" t="str">
        <f>IF(Tabela1[[#This Row],[Motorista]]="","",IFERROR(_xlfn.XLOOKUP(Tabela1[[#This Row],[Motorista]],Base!A:A,Base!B:B),""))</f>
        <v>CIF</v>
      </c>
      <c r="N750" s="20" t="str">
        <f t="shared" si="27"/>
        <v>Aguardando Entrada</v>
      </c>
      <c r="O7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50" s="2">
        <v>0.31111111111111112</v>
      </c>
      <c r="R750" s="16"/>
      <c r="S750" s="16"/>
      <c r="T750" s="14" t="str">
        <f>IF(OR(Tabela1[[#This Row],[Entrada]]="",Tabela1[[#This Row],[Saída]]=""), "", Tabela1[[#This Row],[Saída]]-Tabela1[[#This Row],[Entrada]])</f>
        <v/>
      </c>
      <c r="U750" s="15" t="str">
        <f>IF(OR('Controle de CT'!$R750= "", 'Controle de CT'!$P750= ""), "", 'Controle de CT'!$R750-'Controle de CT'!$P750)</f>
        <v/>
      </c>
      <c r="V750" s="1"/>
      <c r="W750" s="2"/>
      <c r="X750" s="2"/>
    </row>
    <row r="751" spans="11:24" ht="15" hidden="1" customHeight="1">
      <c r="K751" s="5">
        <v>46100</v>
      </c>
      <c r="L751" s="8" t="s">
        <v>158</v>
      </c>
      <c r="M751" s="22" t="str">
        <f>IF(Tabela1[[#This Row],[Motorista]]="","",IFERROR(_xlfn.XLOOKUP(Tabela1[[#This Row],[Motorista]],Base!A:A,Base!B:B),""))</f>
        <v>RZD</v>
      </c>
      <c r="N751" s="20" t="str">
        <f t="shared" si="27"/>
        <v>Aguardando Entrada</v>
      </c>
      <c r="O7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51" s="2">
        <v>0.3125</v>
      </c>
      <c r="R751" s="16"/>
      <c r="S751" s="16"/>
      <c r="T751" s="14" t="str">
        <f>IF(OR(Tabela1[[#This Row],[Entrada]]="",Tabela1[[#This Row],[Saída]]=""), "", Tabela1[[#This Row],[Saída]]-Tabela1[[#This Row],[Entrada]])</f>
        <v/>
      </c>
      <c r="U751" s="15" t="str">
        <f>IF(OR('Controle de CT'!$R751= "", 'Controle de CT'!$P751= ""), "", 'Controle de CT'!$R751-'Controle de CT'!$P751)</f>
        <v/>
      </c>
      <c r="V751" s="1"/>
      <c r="W751" s="2"/>
      <c r="X751" s="2"/>
    </row>
    <row r="752" spans="11:24" ht="15" hidden="1" customHeight="1">
      <c r="K752" s="5">
        <v>46100</v>
      </c>
      <c r="L752" s="8" t="s">
        <v>58</v>
      </c>
      <c r="M752" s="22" t="str">
        <f>IF(Tabela1[[#This Row],[Motorista]]="","",IFERROR(_xlfn.XLOOKUP(Tabela1[[#This Row],[Motorista]],Base!A:A,Base!B:B),""))</f>
        <v xml:space="preserve">CIF </v>
      </c>
      <c r="N752" s="20" t="str">
        <f t="shared" si="27"/>
        <v>Aguardando Entrada</v>
      </c>
      <c r="O7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52" s="2">
        <v>0.36180555555555555</v>
      </c>
      <c r="R752" s="16"/>
      <c r="S752" s="16"/>
      <c r="T752" s="14" t="str">
        <f>IF(OR(Tabela1[[#This Row],[Entrada]]="",Tabela1[[#This Row],[Saída]]=""), "", Tabela1[[#This Row],[Saída]]-Tabela1[[#This Row],[Entrada]])</f>
        <v/>
      </c>
      <c r="U752" s="15" t="str">
        <f>IF(OR('Controle de CT'!$R752= "", 'Controle de CT'!$P752= ""), "", 'Controle de CT'!$R752-'Controle de CT'!$P752)</f>
        <v/>
      </c>
      <c r="V752" s="1"/>
      <c r="W752" s="2"/>
      <c r="X752" s="2"/>
    </row>
    <row r="753" spans="11:24" ht="15" hidden="1" customHeight="1">
      <c r="K753" s="5">
        <v>46100</v>
      </c>
      <c r="L753" s="8" t="s">
        <v>87</v>
      </c>
      <c r="M753" s="22" t="str">
        <f>IF(Tabela1[[#This Row],[Motorista]]="","",IFERROR(_xlfn.XLOOKUP(Tabela1[[#This Row],[Motorista]],Base!A:A,Base!B:B),""))</f>
        <v>FOB</v>
      </c>
      <c r="N753" s="20" t="str">
        <f t="shared" si="27"/>
        <v/>
      </c>
      <c r="O7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53" s="16"/>
      <c r="S753" s="16"/>
      <c r="T753" s="14" t="str">
        <f>IF(OR(Tabela1[[#This Row],[Entrada]]="",Tabela1[[#This Row],[Saída]]=""), "", Tabela1[[#This Row],[Saída]]-Tabela1[[#This Row],[Entrada]])</f>
        <v/>
      </c>
      <c r="U753" s="15" t="str">
        <f>IF(OR('Controle de CT'!$R753= "", 'Controle de CT'!$P753= ""), "", 'Controle de CT'!$R753-'Controle de CT'!$P753)</f>
        <v/>
      </c>
      <c r="V753" s="1"/>
      <c r="W753" s="2"/>
      <c r="X753" s="2"/>
    </row>
    <row r="754" spans="11:24" ht="15" hidden="1" customHeight="1">
      <c r="K754" s="5">
        <v>46100</v>
      </c>
      <c r="L754" s="8" t="s">
        <v>46</v>
      </c>
      <c r="M754" s="22" t="str">
        <f>IF(Tabela1[[#This Row],[Motorista]]="","",IFERROR(_xlfn.XLOOKUP(Tabela1[[#This Row],[Motorista]],Base!A:A,Base!B:B),""))</f>
        <v>CIF</v>
      </c>
      <c r="N754" s="20" t="str">
        <f t="shared" si="27"/>
        <v>Fila de Carregamento</v>
      </c>
      <c r="O7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54" s="2">
        <v>0.37361111111111112</v>
      </c>
      <c r="Q754" s="2">
        <v>0.42569444444444443</v>
      </c>
      <c r="R754" s="16"/>
      <c r="S754" s="16"/>
      <c r="T754" s="14" t="str">
        <f>IF(OR(Tabela1[[#This Row],[Entrada]]="",Tabela1[[#This Row],[Saída]]=""), "", Tabela1[[#This Row],[Saída]]-Tabela1[[#This Row],[Entrada]])</f>
        <v/>
      </c>
      <c r="U754" s="15" t="str">
        <f>IF(OR('Controle de CT'!$R754= "", 'Controle de CT'!$P754= ""), "", 'Controle de CT'!$R754-'Controle de CT'!$P754)</f>
        <v/>
      </c>
      <c r="V754" s="1"/>
      <c r="W754" s="2"/>
      <c r="X754" s="2"/>
    </row>
    <row r="755" spans="11:24" ht="15" hidden="1" customHeight="1">
      <c r="K755" s="5">
        <v>46100</v>
      </c>
      <c r="L755" s="8" t="s">
        <v>45</v>
      </c>
      <c r="M755" s="22" t="str">
        <f>IF(Tabela1[[#This Row],[Motorista]]="","",IFERROR(_xlfn.XLOOKUP(Tabela1[[#This Row],[Motorista]],Base!A:A,Base!B:B),""))</f>
        <v>CIF</v>
      </c>
      <c r="N755" s="20" t="str">
        <f t="shared" ref="N755:N818" si="28">IF(R755&lt;&gt;"","Finalizado", IF(Q755&lt;&gt;"","Fila de Carregamento", IF(P755&lt;&gt;"","Aguardando Entrada","")))</f>
        <v>Aguardando Entrada</v>
      </c>
      <c r="O7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55" s="2">
        <v>0.41666666666666669</v>
      </c>
      <c r="R755" s="16"/>
      <c r="S755" s="16"/>
      <c r="T755" s="14" t="str">
        <f>IF(OR(Tabela1[[#This Row],[Entrada]]="",Tabela1[[#This Row],[Saída]]=""), "", Tabela1[[#This Row],[Saída]]-Tabela1[[#This Row],[Entrada]])</f>
        <v/>
      </c>
      <c r="U755" s="15" t="str">
        <f>IF(OR('Controle de CT'!$R755= "", 'Controle de CT'!$P755= ""), "", 'Controle de CT'!$R755-'Controle de CT'!$P755)</f>
        <v/>
      </c>
      <c r="V755" s="1"/>
      <c r="W755" s="2"/>
      <c r="X755" s="2"/>
    </row>
    <row r="756" spans="11:24" ht="15" hidden="1" customHeight="1">
      <c r="K756" s="5">
        <v>46101</v>
      </c>
      <c r="L756" s="8" t="s">
        <v>48</v>
      </c>
      <c r="M756" s="22" t="str">
        <f>IF(Tabela1[[#This Row],[Motorista]]="","",IFERROR(_xlfn.XLOOKUP(Tabela1[[#This Row],[Motorista]],Base!A:A,Base!B:B),""))</f>
        <v>CIF</v>
      </c>
      <c r="N756" s="20" t="str">
        <f t="shared" si="28"/>
        <v/>
      </c>
      <c r="O7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56" s="16"/>
      <c r="S756" s="16"/>
      <c r="T756" s="14" t="str">
        <f>IF(OR(Tabela1[[#This Row],[Entrada]]="",Tabela1[[#This Row],[Saída]]=""), "", Tabela1[[#This Row],[Saída]]-Tabela1[[#This Row],[Entrada]])</f>
        <v/>
      </c>
      <c r="U756" s="15" t="str">
        <f>IF(OR('Controle de CT'!$R756= "", 'Controle de CT'!$P756= ""), "", 'Controle de CT'!$R756-'Controle de CT'!$P756)</f>
        <v/>
      </c>
      <c r="V756" s="1"/>
      <c r="W756" s="2"/>
      <c r="X756" s="2"/>
    </row>
    <row r="757" spans="11:24" ht="15" hidden="1" customHeight="1">
      <c r="K757" s="5">
        <v>46101</v>
      </c>
      <c r="L757" s="8" t="s">
        <v>49</v>
      </c>
      <c r="M757" s="22" t="str">
        <f>IF(Tabela1[[#This Row],[Motorista]]="","",IFERROR(_xlfn.XLOOKUP(Tabela1[[#This Row],[Motorista]],Base!A:A,Base!B:B),""))</f>
        <v>CIF</v>
      </c>
      <c r="N757" s="20" t="str">
        <f t="shared" si="28"/>
        <v/>
      </c>
      <c r="O7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757" s="16"/>
      <c r="S757" s="16"/>
      <c r="T757" s="14" t="str">
        <f>IF(OR(Tabela1[[#This Row],[Entrada]]="",Tabela1[[#This Row],[Saída]]=""), "", Tabela1[[#This Row],[Saída]]-Tabela1[[#This Row],[Entrada]])</f>
        <v/>
      </c>
      <c r="U757" s="15" t="str">
        <f>IF(OR('Controle de CT'!$R757= "", 'Controle de CT'!$P757= ""), "", 'Controle de CT'!$R757-'Controle de CT'!$P757)</f>
        <v/>
      </c>
      <c r="V757" s="1"/>
      <c r="W757" s="2"/>
      <c r="X757" s="2"/>
    </row>
    <row r="758" spans="11:24" ht="15" hidden="1" customHeight="1">
      <c r="K758" s="5">
        <v>46101</v>
      </c>
      <c r="L758" s="8" t="s">
        <v>46</v>
      </c>
      <c r="M758" s="22" t="str">
        <f>IF(Tabela1[[#This Row],[Motorista]]="","",IFERROR(_xlfn.XLOOKUP(Tabela1[[#This Row],[Motorista]],Base!A:A,Base!B:B),""))</f>
        <v>CIF</v>
      </c>
      <c r="N758" s="20" t="str">
        <f t="shared" si="28"/>
        <v/>
      </c>
      <c r="O7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58" s="16"/>
      <c r="S758" s="16"/>
      <c r="T758" s="14" t="str">
        <f>IF(OR(Tabela1[[#This Row],[Entrada]]="",Tabela1[[#This Row],[Saída]]=""), "", Tabela1[[#This Row],[Saída]]-Tabela1[[#This Row],[Entrada]])</f>
        <v/>
      </c>
      <c r="U758" s="15" t="str">
        <f>IF(OR('Controle de CT'!$R758= "", 'Controle de CT'!$P758= ""), "", 'Controle de CT'!$R758-'Controle de CT'!$P758)</f>
        <v/>
      </c>
      <c r="V758" s="1"/>
      <c r="W758" s="2"/>
      <c r="X758" s="2"/>
    </row>
    <row r="759" spans="11:24" ht="15" hidden="1" customHeight="1">
      <c r="K759" s="5">
        <v>46101</v>
      </c>
      <c r="L759" t="s">
        <v>198</v>
      </c>
      <c r="M759" s="22" t="str">
        <f>IF(Tabela1[[#This Row],[Motorista]]="","",IFERROR(_xlfn.XLOOKUP(Tabela1[[#This Row],[Motorista]],Base!A:A,Base!B:B),""))</f>
        <v>CIF</v>
      </c>
      <c r="N759" s="20" t="str">
        <f t="shared" si="28"/>
        <v/>
      </c>
      <c r="O7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59" s="16"/>
      <c r="S759" s="16"/>
      <c r="T759" s="14" t="str">
        <f>IF(OR(Tabela1[[#This Row],[Entrada]]="",Tabela1[[#This Row],[Saída]]=""), "", Tabela1[[#This Row],[Saída]]-Tabela1[[#This Row],[Entrada]])</f>
        <v/>
      </c>
      <c r="U759" s="15" t="str">
        <f>IF(OR('Controle de CT'!$R759= "", 'Controle de CT'!$P759= ""), "", 'Controle de CT'!$R759-'Controle de CT'!$P759)</f>
        <v/>
      </c>
      <c r="V759" s="1"/>
      <c r="W759" s="2"/>
      <c r="X759" s="2"/>
    </row>
    <row r="760" spans="11:24" ht="15" hidden="1" customHeight="1">
      <c r="K760" s="5">
        <v>46101</v>
      </c>
      <c r="L760" s="8" t="s">
        <v>137</v>
      </c>
      <c r="M760" s="22" t="str">
        <f>IF(Tabela1[[#This Row],[Motorista]]="","",IFERROR(_xlfn.XLOOKUP(Tabela1[[#This Row],[Motorista]],Base!A:A,Base!B:B),""))</f>
        <v>RZD</v>
      </c>
      <c r="N760" s="20" t="str">
        <f t="shared" si="28"/>
        <v/>
      </c>
      <c r="O7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0" s="16"/>
      <c r="S760" s="16"/>
      <c r="T760" s="14" t="str">
        <f>IF(OR(Tabela1[[#This Row],[Entrada]]="",Tabela1[[#This Row],[Saída]]=""), "", Tabela1[[#This Row],[Saída]]-Tabela1[[#This Row],[Entrada]])</f>
        <v/>
      </c>
      <c r="U760" s="15" t="str">
        <f>IF(OR('Controle de CT'!$R760= "", 'Controle de CT'!$P760= ""), "", 'Controle de CT'!$R760-'Controle de CT'!$P760)</f>
        <v/>
      </c>
      <c r="V760" s="1"/>
      <c r="W760" s="2"/>
      <c r="X760" s="2"/>
    </row>
    <row r="761" spans="11:24" ht="15" hidden="1" customHeight="1">
      <c r="K761" s="5">
        <v>46101</v>
      </c>
      <c r="L761" s="8" t="s">
        <v>123</v>
      </c>
      <c r="M761" s="22" t="str">
        <f>IF(Tabela1[[#This Row],[Motorista]]="","",IFERROR(_xlfn.XLOOKUP(Tabela1[[#This Row],[Motorista]],Base!A:A,Base!B:B),""))</f>
        <v>RZD</v>
      </c>
      <c r="N761" s="20" t="str">
        <f t="shared" si="28"/>
        <v/>
      </c>
      <c r="O7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1" s="16"/>
      <c r="S761" s="16"/>
      <c r="T761" s="14" t="str">
        <f>IF(OR(Tabela1[[#This Row],[Entrada]]="",Tabela1[[#This Row],[Saída]]=""), "", Tabela1[[#This Row],[Saída]]-Tabela1[[#This Row],[Entrada]])</f>
        <v/>
      </c>
      <c r="U761" s="15" t="str">
        <f>IF(OR('Controle de CT'!$R761= "", 'Controle de CT'!$P761= ""), "", 'Controle de CT'!$R761-'Controle de CT'!$P761)</f>
        <v/>
      </c>
      <c r="V761" s="1"/>
      <c r="W761" s="2"/>
      <c r="X761" s="2"/>
    </row>
    <row r="762" spans="11:24" ht="15" hidden="1" customHeight="1">
      <c r="K762" s="5">
        <v>46101</v>
      </c>
      <c r="L762" s="8" t="s">
        <v>93</v>
      </c>
      <c r="M762" s="22" t="str">
        <f>IF(Tabela1[[#This Row],[Motorista]]="","",IFERROR(_xlfn.XLOOKUP(Tabela1[[#This Row],[Motorista]],Base!A:A,Base!B:B),""))</f>
        <v>FOB</v>
      </c>
      <c r="N762" s="20" t="str">
        <f t="shared" si="28"/>
        <v/>
      </c>
      <c r="O7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2" s="16"/>
      <c r="S762" s="16"/>
      <c r="T762" s="14" t="str">
        <f>IF(OR(Tabela1[[#This Row],[Entrada]]="",Tabela1[[#This Row],[Saída]]=""), "", Tabela1[[#This Row],[Saída]]-Tabela1[[#This Row],[Entrada]])</f>
        <v/>
      </c>
      <c r="U762" s="15" t="str">
        <f>IF(OR('Controle de CT'!$R762= "", 'Controle de CT'!$P762= ""), "", 'Controle de CT'!$R762-'Controle de CT'!$P762)</f>
        <v/>
      </c>
      <c r="V762" s="1"/>
      <c r="W762" s="2"/>
      <c r="X762" s="2"/>
    </row>
    <row r="763" spans="11:24" ht="15" hidden="1" customHeight="1">
      <c r="K763" s="5">
        <v>46101</v>
      </c>
      <c r="L763" s="8" t="s">
        <v>45</v>
      </c>
      <c r="M763" s="22" t="str">
        <f>IF(Tabela1[[#This Row],[Motorista]]="","",IFERROR(_xlfn.XLOOKUP(Tabela1[[#This Row],[Motorista]],Base!A:A,Base!B:B),""))</f>
        <v>CIF</v>
      </c>
      <c r="N763" s="20" t="str">
        <f t="shared" si="28"/>
        <v/>
      </c>
      <c r="O7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3" s="16"/>
      <c r="S763" s="16"/>
      <c r="T763" s="14" t="str">
        <f>IF(OR(Tabela1[[#This Row],[Entrada]]="",Tabela1[[#This Row],[Saída]]=""), "", Tabela1[[#This Row],[Saída]]-Tabela1[[#This Row],[Entrada]])</f>
        <v/>
      </c>
      <c r="U763" s="15" t="str">
        <f>IF(OR('Controle de CT'!$R763= "", 'Controle de CT'!$P763= ""), "", 'Controle de CT'!$R763-'Controle de CT'!$P763)</f>
        <v/>
      </c>
      <c r="V763" s="1"/>
      <c r="W763" s="2"/>
      <c r="X763" s="2"/>
    </row>
    <row r="764" spans="11:24" ht="15" hidden="1" customHeight="1">
      <c r="K764" s="5">
        <v>46101</v>
      </c>
      <c r="L764" s="8" t="s">
        <v>199</v>
      </c>
      <c r="M764" s="22" t="str">
        <f>IF(Tabela1[[#This Row],[Motorista]]="","",IFERROR(_xlfn.XLOOKUP(Tabela1[[#This Row],[Motorista]],Base!A:A,Base!B:B),""))</f>
        <v>FOB</v>
      </c>
      <c r="N764" s="20" t="str">
        <f t="shared" si="28"/>
        <v/>
      </c>
      <c r="O7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4" s="16"/>
      <c r="S764" s="16"/>
      <c r="T764" s="14" t="str">
        <f>IF(OR(Tabela1[[#This Row],[Entrada]]="",Tabela1[[#This Row],[Saída]]=""), "", Tabela1[[#This Row],[Saída]]-Tabela1[[#This Row],[Entrada]])</f>
        <v/>
      </c>
      <c r="U764" s="15" t="str">
        <f>IF(OR('Controle de CT'!$R764= "", 'Controle de CT'!$P764= ""), "", 'Controle de CT'!$R764-'Controle de CT'!$P764)</f>
        <v/>
      </c>
      <c r="V764" s="1"/>
      <c r="W764" s="2"/>
      <c r="X764" s="2"/>
    </row>
    <row r="765" spans="11:24" ht="15" hidden="1" customHeight="1">
      <c r="K765" s="5">
        <v>46101</v>
      </c>
      <c r="L765" s="8" t="s">
        <v>90</v>
      </c>
      <c r="M765" s="22" t="str">
        <f>IF(Tabela1[[#This Row],[Motorista]]="","",IFERROR(_xlfn.XLOOKUP(Tabela1[[#This Row],[Motorista]],Base!A:A,Base!B:B),""))</f>
        <v>FOB</v>
      </c>
      <c r="N765" s="20" t="str">
        <f t="shared" si="28"/>
        <v/>
      </c>
      <c r="O7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5" s="16"/>
      <c r="S765" s="16"/>
      <c r="T765" s="14" t="str">
        <f>IF(OR(Tabela1[[#This Row],[Entrada]]="",Tabela1[[#This Row],[Saída]]=""), "", Tabela1[[#This Row],[Saída]]-Tabela1[[#This Row],[Entrada]])</f>
        <v/>
      </c>
      <c r="U765" s="15" t="str">
        <f>IF(OR('Controle de CT'!$R765= "", 'Controle de CT'!$P765= ""), "", 'Controle de CT'!$R765-'Controle de CT'!$P765)</f>
        <v/>
      </c>
      <c r="V765" s="1"/>
      <c r="W765" s="2"/>
      <c r="X765" s="2"/>
    </row>
    <row r="766" spans="11:24" ht="15" hidden="1" customHeight="1">
      <c r="K766" s="5">
        <v>46101</v>
      </c>
      <c r="L766" s="8" t="s">
        <v>92</v>
      </c>
      <c r="M766" s="22" t="str">
        <f>IF(Tabela1[[#This Row],[Motorista]]="","",IFERROR(_xlfn.XLOOKUP(Tabela1[[#This Row],[Motorista]],Base!A:A,Base!B:B),""))</f>
        <v>FOB</v>
      </c>
      <c r="N766" s="20" t="str">
        <f t="shared" si="28"/>
        <v/>
      </c>
      <c r="O7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6" s="16"/>
      <c r="S766" s="16"/>
      <c r="T766" s="14" t="str">
        <f>IF(OR(Tabela1[[#This Row],[Entrada]]="",Tabela1[[#This Row],[Saída]]=""), "", Tabela1[[#This Row],[Saída]]-Tabela1[[#This Row],[Entrada]])</f>
        <v/>
      </c>
      <c r="U766" s="15" t="str">
        <f>IF(OR('Controle de CT'!$R766= "", 'Controle de CT'!$P766= ""), "", 'Controle de CT'!$R766-'Controle de CT'!$P766)</f>
        <v/>
      </c>
      <c r="V766" s="1"/>
      <c r="W766" s="2"/>
      <c r="X766" s="2"/>
    </row>
    <row r="767" spans="11:24" ht="15" hidden="1" customHeight="1">
      <c r="K767" s="5">
        <v>46101</v>
      </c>
      <c r="L767" s="8" t="s">
        <v>106</v>
      </c>
      <c r="M767" s="22" t="str">
        <f>IF(Tabela1[[#This Row],[Motorista]]="","",IFERROR(_xlfn.XLOOKUP(Tabela1[[#This Row],[Motorista]],Base!A:A,Base!B:B),""))</f>
        <v>FOB</v>
      </c>
      <c r="N767" s="20" t="str">
        <f t="shared" si="28"/>
        <v/>
      </c>
      <c r="O7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67" s="16"/>
      <c r="S767" s="16"/>
      <c r="T767" s="14" t="str">
        <f>IF(OR(Tabela1[[#This Row],[Entrada]]="",Tabela1[[#This Row],[Saída]]=""), "", Tabela1[[#This Row],[Saída]]-Tabela1[[#This Row],[Entrada]])</f>
        <v/>
      </c>
      <c r="U767" s="15" t="str">
        <f>IF(OR('Controle de CT'!$R767= "", 'Controle de CT'!$P767= ""), "", 'Controle de CT'!$R767-'Controle de CT'!$P767)</f>
        <v/>
      </c>
      <c r="V767" s="1"/>
      <c r="W767" s="2"/>
      <c r="X767" s="2"/>
    </row>
    <row r="768" spans="11:24" ht="15" hidden="1" customHeight="1">
      <c r="K768" s="5">
        <v>46101</v>
      </c>
      <c r="L768" s="8" t="s">
        <v>52</v>
      </c>
      <c r="M768" s="22" t="str">
        <f>IF(Tabela1[[#This Row],[Motorista]]="","",IFERROR(_xlfn.XLOOKUP(Tabela1[[#This Row],[Motorista]],Base!A:A,Base!B:B),""))</f>
        <v>CIF</v>
      </c>
      <c r="N768" s="20" t="str">
        <f t="shared" si="28"/>
        <v>Fila de Carregamento</v>
      </c>
      <c r="O7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68" s="2">
        <v>0.37777777777777777</v>
      </c>
      <c r="Q768" s="2">
        <v>0.39027777777777778</v>
      </c>
      <c r="R768" s="16"/>
      <c r="S768" s="16"/>
      <c r="T768" s="14" t="str">
        <f>IF(OR(Tabela1[[#This Row],[Entrada]]="",Tabela1[[#This Row],[Saída]]=""), "", Tabela1[[#This Row],[Saída]]-Tabela1[[#This Row],[Entrada]])</f>
        <v/>
      </c>
      <c r="U768" s="15" t="str">
        <f>IF(OR('Controle de CT'!$R768= "", 'Controle de CT'!$P768= ""), "", 'Controle de CT'!$R768-'Controle de CT'!$P768)</f>
        <v/>
      </c>
      <c r="V768" s="1"/>
      <c r="W768" s="2"/>
      <c r="X768" s="2"/>
    </row>
    <row r="769" spans="11:24" ht="15" hidden="1" customHeight="1">
      <c r="K769" s="5">
        <v>46101</v>
      </c>
      <c r="L769" s="8" t="s">
        <v>49</v>
      </c>
      <c r="M769" s="22" t="str">
        <f>IF(Tabela1[[#This Row],[Motorista]]="","",IFERROR(_xlfn.XLOOKUP(Tabela1[[#This Row],[Motorista]],Base!A:A,Base!B:B),""))</f>
        <v>CIF</v>
      </c>
      <c r="N769" s="20" t="str">
        <f t="shared" si="28"/>
        <v/>
      </c>
      <c r="O7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769" s="16"/>
      <c r="S769" s="16"/>
      <c r="T769" s="14" t="str">
        <f>IF(OR(Tabela1[[#This Row],[Entrada]]="",Tabela1[[#This Row],[Saída]]=""), "", Tabela1[[#This Row],[Saída]]-Tabela1[[#This Row],[Entrada]])</f>
        <v/>
      </c>
      <c r="U769" s="15" t="str">
        <f>IF(OR('Controle de CT'!$R769= "", 'Controle de CT'!$P769= ""), "", 'Controle de CT'!$R769-'Controle de CT'!$P769)</f>
        <v/>
      </c>
      <c r="V769" s="1"/>
      <c r="W769" s="2"/>
      <c r="X769" s="2"/>
    </row>
    <row r="770" spans="11:24" ht="15" hidden="1" customHeight="1">
      <c r="K770" s="5">
        <v>46101</v>
      </c>
      <c r="L770" t="s">
        <v>200</v>
      </c>
      <c r="M770" s="22" t="str">
        <f>IF(Tabela1[[#This Row],[Motorista]]="","",IFERROR(_xlfn.XLOOKUP(Tabela1[[#This Row],[Motorista]],Base!A:A,Base!B:B),""))</f>
        <v>FOB</v>
      </c>
      <c r="N770" s="20" t="str">
        <f t="shared" si="28"/>
        <v/>
      </c>
      <c r="O7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770" s="16"/>
      <c r="S770" s="16"/>
      <c r="T770" s="14" t="str">
        <f>IF(OR(Tabela1[[#This Row],[Entrada]]="",Tabela1[[#This Row],[Saída]]=""), "", Tabela1[[#This Row],[Saída]]-Tabela1[[#This Row],[Entrada]])</f>
        <v/>
      </c>
      <c r="U770" s="15" t="str">
        <f>IF(OR('Controle de CT'!$R770= "", 'Controle de CT'!$P770= ""), "", 'Controle de CT'!$R770-'Controle de CT'!$P770)</f>
        <v/>
      </c>
      <c r="V770" s="1"/>
      <c r="W770" s="2"/>
      <c r="X770" s="2"/>
    </row>
    <row r="771" spans="11:24" ht="15" hidden="1" customHeight="1">
      <c r="K771" s="5">
        <v>46102</v>
      </c>
      <c r="L771" s="8" t="s">
        <v>55</v>
      </c>
      <c r="M771" s="22" t="str">
        <f>IF(Tabela1[[#This Row],[Motorista]]="","",IFERROR(_xlfn.XLOOKUP(Tabela1[[#This Row],[Motorista]],Base!A:A,Base!B:B),""))</f>
        <v>CIF</v>
      </c>
      <c r="N771" s="20" t="str">
        <f t="shared" si="28"/>
        <v>Finalizado</v>
      </c>
      <c r="O7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1" s="2">
        <v>0.23541666666666666</v>
      </c>
      <c r="Q771" s="2">
        <v>0.26041666666666669</v>
      </c>
      <c r="R771" s="16">
        <v>0.45</v>
      </c>
      <c r="S771" s="16"/>
      <c r="T771" s="14">
        <f>IF(OR(Tabela1[[#This Row],[Entrada]]="",Tabela1[[#This Row],[Saída]]=""), "", Tabela1[[#This Row],[Saída]]-Tabela1[[#This Row],[Entrada]])</f>
        <v>0.18958333333333333</v>
      </c>
      <c r="U771" s="15">
        <f>IF(OR('Controle de CT'!$R771= "", 'Controle de CT'!$P771= ""), "", 'Controle de CT'!$R771-'Controle de CT'!$P771)</f>
        <v>0.21458333333333335</v>
      </c>
      <c r="V771" s="1" t="s">
        <v>201</v>
      </c>
      <c r="W771" s="2"/>
      <c r="X771" s="2"/>
    </row>
    <row r="772" spans="11:24" ht="15" hidden="1" customHeight="1">
      <c r="K772" s="5">
        <v>46102</v>
      </c>
      <c r="L772" s="8" t="s">
        <v>87</v>
      </c>
      <c r="M772" s="22" t="str">
        <f>IF(Tabela1[[#This Row],[Motorista]]="","",IFERROR(_xlfn.XLOOKUP(Tabela1[[#This Row],[Motorista]],Base!A:A,Base!B:B),""))</f>
        <v>FOB</v>
      </c>
      <c r="N772" s="20" t="str">
        <f t="shared" si="28"/>
        <v>Finalizado</v>
      </c>
      <c r="O7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2" s="2">
        <v>0.2361111111111111</v>
      </c>
      <c r="Q772" s="2">
        <v>0.32083333333333336</v>
      </c>
      <c r="R772" s="16">
        <v>0.48819444444444443</v>
      </c>
      <c r="S772" s="16"/>
      <c r="T772" s="14">
        <f>IF(OR(Tabela1[[#This Row],[Entrada]]="",Tabela1[[#This Row],[Saída]]=""), "", Tabela1[[#This Row],[Saída]]-Tabela1[[#This Row],[Entrada]])</f>
        <v>0.16736111111111107</v>
      </c>
      <c r="U772" s="15">
        <f>IF(OR('Controle de CT'!$R772= "", 'Controle de CT'!$P772= ""), "", 'Controle de CT'!$R772-'Controle de CT'!$P772)</f>
        <v>0.25208333333333333</v>
      </c>
      <c r="V772" s="1" t="s">
        <v>202</v>
      </c>
      <c r="W772" s="2"/>
      <c r="X772" s="2"/>
    </row>
    <row r="773" spans="11:24" ht="15" hidden="1" customHeight="1">
      <c r="K773" s="5">
        <v>46102</v>
      </c>
      <c r="L773" s="8" t="s">
        <v>101</v>
      </c>
      <c r="M773" s="22" t="str">
        <f>IF(Tabela1[[#This Row],[Motorista]]="","",IFERROR(_xlfn.XLOOKUP(Tabela1[[#This Row],[Motorista]],Base!A:A,Base!B:B),""))</f>
        <v>FOB</v>
      </c>
      <c r="N773" s="20" t="str">
        <f t="shared" si="28"/>
        <v>Finalizado</v>
      </c>
      <c r="O7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3" s="2">
        <v>0.24236111111111111</v>
      </c>
      <c r="Q773" s="2">
        <v>0.30277777777777776</v>
      </c>
      <c r="R773" s="16">
        <v>0.38750000000000001</v>
      </c>
      <c r="S773" s="16"/>
      <c r="T773" s="14">
        <f>IF(OR(Tabela1[[#This Row],[Entrada]]="",Tabela1[[#This Row],[Saída]]=""), "", Tabela1[[#This Row],[Saída]]-Tabela1[[#This Row],[Entrada]])</f>
        <v>8.4722222222222254E-2</v>
      </c>
      <c r="U773" s="15">
        <f>IF(OR('Controle de CT'!$R773= "", 'Controle de CT'!$P773= ""), "", 'Controle de CT'!$R773-'Controle de CT'!$P773)</f>
        <v>0.1451388888888889</v>
      </c>
      <c r="V773" s="1" t="s">
        <v>203</v>
      </c>
      <c r="W773" s="2"/>
      <c r="X773" s="2"/>
    </row>
    <row r="774" spans="11:24" ht="15" hidden="1" customHeight="1">
      <c r="K774" s="5">
        <v>46102</v>
      </c>
      <c r="L774" s="8" t="s">
        <v>86</v>
      </c>
      <c r="M774" s="22" t="str">
        <f>IF(Tabela1[[#This Row],[Motorista]]="","",IFERROR(_xlfn.XLOOKUP(Tabela1[[#This Row],[Motorista]],Base!A:A,Base!B:B),""))</f>
        <v>FOB</v>
      </c>
      <c r="N774" s="20" t="str">
        <f t="shared" si="28"/>
        <v>Finalizado</v>
      </c>
      <c r="O7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4" s="2">
        <v>0.26597222222222222</v>
      </c>
      <c r="Q774" s="2">
        <v>0.33263888888888887</v>
      </c>
      <c r="R774" s="16">
        <v>0.48472222222222222</v>
      </c>
      <c r="S774" s="16"/>
      <c r="T774" s="14">
        <f>IF(OR(Tabela1[[#This Row],[Entrada]]="",Tabela1[[#This Row],[Saída]]=""), "", Tabela1[[#This Row],[Saída]]-Tabela1[[#This Row],[Entrada]])</f>
        <v>0.15208333333333335</v>
      </c>
      <c r="U774" s="15">
        <f>IF(OR('Controle de CT'!$R774= "", 'Controle de CT'!$P774= ""), "", 'Controle de CT'!$R774-'Controle de CT'!$P774)</f>
        <v>0.21875</v>
      </c>
      <c r="V774" s="1" t="s">
        <v>204</v>
      </c>
      <c r="W774" s="2"/>
      <c r="X774" s="2"/>
    </row>
    <row r="775" spans="11:24" ht="15" hidden="1" customHeight="1">
      <c r="K775" s="5">
        <v>46102</v>
      </c>
      <c r="L775" s="8" t="s">
        <v>154</v>
      </c>
      <c r="M775" s="22" t="str">
        <f>IF(Tabela1[[#This Row],[Motorista]]="","",IFERROR(_xlfn.XLOOKUP(Tabela1[[#This Row],[Motorista]],Base!A:A,Base!B:B),""))</f>
        <v>FOB</v>
      </c>
      <c r="N775" s="20" t="str">
        <f t="shared" si="28"/>
        <v>Finalizado</v>
      </c>
      <c r="O7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5" s="2">
        <v>0.26666666666666666</v>
      </c>
      <c r="Q775" s="2">
        <v>0.30208333333333331</v>
      </c>
      <c r="R775" s="16">
        <v>0.57777777777777772</v>
      </c>
      <c r="S775" s="16"/>
      <c r="T775" s="14">
        <f>IF(OR(Tabela1[[#This Row],[Entrada]]="",Tabela1[[#This Row],[Saída]]=""), "", Tabela1[[#This Row],[Saída]]-Tabela1[[#This Row],[Entrada]])</f>
        <v>0.27569444444444441</v>
      </c>
      <c r="U775" s="15">
        <f>IF(OR('Controle de CT'!$R775= "", 'Controle de CT'!$P775= ""), "", 'Controle de CT'!$R775-'Controle de CT'!$P775)</f>
        <v>0.31111111111111106</v>
      </c>
      <c r="V775" s="1" t="s">
        <v>205</v>
      </c>
      <c r="W775" s="2"/>
      <c r="X775" s="2"/>
    </row>
    <row r="776" spans="11:24" ht="15" hidden="1" customHeight="1">
      <c r="K776" s="5">
        <v>46102</v>
      </c>
      <c r="L776" s="8" t="s">
        <v>53</v>
      </c>
      <c r="M776" s="22" t="str">
        <f>IF(Tabela1[[#This Row],[Motorista]]="","",IFERROR(_xlfn.XLOOKUP(Tabela1[[#This Row],[Motorista]],Base!A:A,Base!B:B),""))</f>
        <v>CIF</v>
      </c>
      <c r="N776" s="20" t="str">
        <f t="shared" si="28"/>
        <v>Finalizado</v>
      </c>
      <c r="O7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6" s="2">
        <v>0.27013888888888887</v>
      </c>
      <c r="Q776" s="2">
        <v>0.30138888888888887</v>
      </c>
      <c r="R776" s="16">
        <v>0.60138888888888886</v>
      </c>
      <c r="S776" s="16"/>
      <c r="T776" s="14">
        <f>IF(OR(Tabela1[[#This Row],[Entrada]]="",Tabela1[[#This Row],[Saída]]=""), "", Tabela1[[#This Row],[Saída]]-Tabela1[[#This Row],[Entrada]])</f>
        <v>0.3</v>
      </c>
      <c r="U776" s="15">
        <f>IF(OR('Controle de CT'!$R776= "", 'Controle de CT'!$P776= ""), "", 'Controle de CT'!$R776-'Controle de CT'!$P776)</f>
        <v>0.33124999999999999</v>
      </c>
      <c r="V776" s="1" t="s">
        <v>206</v>
      </c>
      <c r="W776" s="2"/>
      <c r="X776" s="2"/>
    </row>
    <row r="777" spans="11:24" ht="15" hidden="1" customHeight="1">
      <c r="K777" s="5">
        <v>46102</v>
      </c>
      <c r="L777" s="8" t="s">
        <v>46</v>
      </c>
      <c r="M777" s="22" t="str">
        <f>IF(Tabela1[[#This Row],[Motorista]]="","",IFERROR(_xlfn.XLOOKUP(Tabela1[[#This Row],[Motorista]],Base!A:A,Base!B:B),""))</f>
        <v>CIF</v>
      </c>
      <c r="N777" s="20" t="str">
        <f t="shared" si="28"/>
        <v>Finalizado</v>
      </c>
      <c r="O7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7" s="2">
        <v>0.27291666666666664</v>
      </c>
      <c r="Q777" s="2">
        <v>0.29791666666666666</v>
      </c>
      <c r="R777" s="16">
        <v>0.76388888888888884</v>
      </c>
      <c r="S777" s="16"/>
      <c r="T777" s="14">
        <f>IF(OR(Tabela1[[#This Row],[Entrada]]="",Tabela1[[#This Row],[Saída]]=""), "", Tabela1[[#This Row],[Saída]]-Tabela1[[#This Row],[Entrada]])</f>
        <v>0.46597222222222218</v>
      </c>
      <c r="U777" s="15">
        <f>IF(OR('Controle de CT'!$R777= "", 'Controle de CT'!$P777= ""), "", 'Controle de CT'!$R777-'Controle de CT'!$P777)</f>
        <v>0.4909722222222222</v>
      </c>
      <c r="V777" s="1" t="s">
        <v>207</v>
      </c>
      <c r="W777" s="2"/>
      <c r="X777" s="2"/>
    </row>
    <row r="778" spans="11:24" ht="15" hidden="1" customHeight="1">
      <c r="K778" s="5">
        <v>46102</v>
      </c>
      <c r="L778" s="8" t="s">
        <v>47</v>
      </c>
      <c r="M778" s="22" t="str">
        <f>IF(Tabela1[[#This Row],[Motorista]]="","",IFERROR(_xlfn.XLOOKUP(Tabela1[[#This Row],[Motorista]],Base!A:A,Base!B:B),""))</f>
        <v>CIF</v>
      </c>
      <c r="N778" s="20" t="str">
        <f t="shared" si="28"/>
        <v>Finalizado</v>
      </c>
      <c r="O7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8" s="2">
        <v>0.27500000000000002</v>
      </c>
      <c r="Q778" s="2">
        <v>0.28333333333333333</v>
      </c>
      <c r="R778" s="16">
        <v>0.77777777777777779</v>
      </c>
      <c r="S778" s="16"/>
      <c r="T778" s="14">
        <f>IF(OR(Tabela1[[#This Row],[Entrada]]="",Tabela1[[#This Row],[Saída]]=""), "", Tabela1[[#This Row],[Saída]]-Tabela1[[#This Row],[Entrada]])</f>
        <v>0.49444444444444446</v>
      </c>
      <c r="U778" s="15">
        <f>IF(OR('Controle de CT'!$R778= "", 'Controle de CT'!$P778= ""), "", 'Controle de CT'!$R778-'Controle de CT'!$P778)</f>
        <v>0.50277777777777777</v>
      </c>
      <c r="V778" s="1" t="s">
        <v>208</v>
      </c>
      <c r="W778" s="2"/>
      <c r="X778" s="2"/>
    </row>
    <row r="779" spans="11:24" ht="15" hidden="1" customHeight="1">
      <c r="K779" s="5">
        <v>46102</v>
      </c>
      <c r="L779" t="s">
        <v>198</v>
      </c>
      <c r="M779" s="24" t="s">
        <v>62</v>
      </c>
      <c r="N779" s="20" t="str">
        <f t="shared" si="28"/>
        <v>Finalizado</v>
      </c>
      <c r="O7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79" s="2">
        <v>0.26458333333333334</v>
      </c>
      <c r="Q779" s="2">
        <v>0.3125</v>
      </c>
      <c r="R779" s="16">
        <v>0.64444444444444449</v>
      </c>
      <c r="S779" s="16"/>
      <c r="T779" s="14">
        <f>IF(OR(Tabela1[[#This Row],[Entrada]]="",Tabela1[[#This Row],[Saída]]=""), "", Tabela1[[#This Row],[Saída]]-Tabela1[[#This Row],[Entrada]])</f>
        <v>0.33194444444444449</v>
      </c>
      <c r="U779" s="15">
        <f>IF(OR('Controle de CT'!$R779= "", 'Controle de CT'!$P779= ""), "", 'Controle de CT'!$R779-'Controle de CT'!$P779)</f>
        <v>0.37986111111111115</v>
      </c>
      <c r="V779" s="1" t="s">
        <v>209</v>
      </c>
      <c r="W779" s="2"/>
      <c r="X779" s="2"/>
    </row>
    <row r="780" spans="11:24" ht="15" hidden="1" customHeight="1">
      <c r="K780" s="5">
        <v>46102</v>
      </c>
      <c r="L780" s="8" t="s">
        <v>93</v>
      </c>
      <c r="M780" s="9" t="str">
        <f>IF(Tabela1[[#This Row],[Motorista]]="","",IFERROR(_xlfn.XLOOKUP(Tabela1[[#This Row],[Motorista]],Base!A:A,Base!B:B),""))</f>
        <v>FOB</v>
      </c>
      <c r="N780" s="20" t="str">
        <f t="shared" si="28"/>
        <v>Finalizado</v>
      </c>
      <c r="O7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0" s="4">
        <v>0.2902777777777778</v>
      </c>
      <c r="Q780" s="4">
        <v>0.34722222222222221</v>
      </c>
      <c r="R780" s="23">
        <v>0.54236111111111107</v>
      </c>
      <c r="S780" s="16"/>
      <c r="T780" s="1"/>
      <c r="U780" s="15">
        <f>IF(OR('Controle de CT'!$R780= "", 'Controle de CT'!$P780= ""), "", 'Controle de CT'!$R780-'Controle de CT'!$P780)</f>
        <v>0.25208333333333327</v>
      </c>
      <c r="V780" s="1" t="s">
        <v>210</v>
      </c>
      <c r="W780" s="2"/>
      <c r="X780" s="2"/>
    </row>
    <row r="781" spans="11:24" ht="15" hidden="1" customHeight="1">
      <c r="K781" s="5">
        <v>46102</v>
      </c>
      <c r="L781" s="8" t="s">
        <v>57</v>
      </c>
      <c r="M781" s="22" t="str">
        <f>IF(Tabela1[[#This Row],[Motorista]]="","",IFERROR(_xlfn.XLOOKUP(Tabela1[[#This Row],[Motorista]],Base!A:A,Base!B:B),""))</f>
        <v>CIF</v>
      </c>
      <c r="N781" s="20" t="str">
        <f t="shared" si="28"/>
        <v>Finalizado</v>
      </c>
      <c r="O7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1" s="2">
        <v>0.29652777777777778</v>
      </c>
      <c r="Q781" s="2">
        <v>0.3263888888888889</v>
      </c>
      <c r="R781" s="16">
        <v>0.54166666666666663</v>
      </c>
      <c r="S781" s="16"/>
      <c r="T781" s="1"/>
      <c r="U781" s="15">
        <f>IF(OR('Controle de CT'!$R781= "", 'Controle de CT'!$P781= ""), "", 'Controle de CT'!$R781-'Controle de CT'!$P781)</f>
        <v>0.24513888888888885</v>
      </c>
      <c r="V781" s="1" t="s">
        <v>211</v>
      </c>
      <c r="W781" s="2"/>
      <c r="X781" s="2"/>
    </row>
    <row r="782" spans="11:24" ht="15" hidden="1" customHeight="1">
      <c r="K782" s="5">
        <v>46102</v>
      </c>
      <c r="L782" s="8" t="s">
        <v>58</v>
      </c>
      <c r="M782" s="9" t="str">
        <f>IF(Tabela1[[#This Row],[Motorista]]="","",IFERROR(_xlfn.XLOOKUP(Tabela1[[#This Row],[Motorista]],Base!A:A,Base!B:B),""))</f>
        <v xml:space="preserve">CIF </v>
      </c>
      <c r="N782" s="20" t="str">
        <f t="shared" ref="N782:N790" si="29">IF(R782&lt;&gt;"","Finalizado", IF(Q782&lt;&gt;"","Fila de Carregamento", IF(P782&lt;&gt;"","Aguardando Entrada","")))</f>
        <v>Finalizado</v>
      </c>
      <c r="O7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2" s="4">
        <v>0.30069444444444443</v>
      </c>
      <c r="Q782" s="4">
        <v>0.31805555555555554</v>
      </c>
      <c r="R782" s="23">
        <v>0.44027777777777777</v>
      </c>
      <c r="S782" s="16"/>
      <c r="T782" s="1"/>
      <c r="U782" s="15">
        <f>IF(OR('Controle de CT'!$R782= "", 'Controle de CT'!$P782= ""), "", 'Controle de CT'!$R782-'Controle de CT'!$P782)</f>
        <v>0.13958333333333334</v>
      </c>
      <c r="V782" s="1"/>
      <c r="W782" s="2"/>
      <c r="X782" s="2"/>
    </row>
    <row r="783" spans="11:24" ht="15" hidden="1" customHeight="1">
      <c r="K783" s="5">
        <v>46102</v>
      </c>
      <c r="L783" s="8" t="s">
        <v>92</v>
      </c>
      <c r="M783" s="22" t="str">
        <f>IF(Tabela1[[#This Row],[Motorista]]="","",IFERROR(_xlfn.XLOOKUP(Tabela1[[#This Row],[Motorista]],Base!A:A,Base!B:B),""))</f>
        <v>FOB</v>
      </c>
      <c r="N783" s="20" t="str">
        <f t="shared" si="29"/>
        <v>Finalizado</v>
      </c>
      <c r="O7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3" s="2">
        <v>0.30208333333333331</v>
      </c>
      <c r="Q783" s="2">
        <v>0.36319444444444443</v>
      </c>
      <c r="R783" s="16">
        <v>0.4</v>
      </c>
      <c r="S783" s="16"/>
      <c r="T783" s="1"/>
      <c r="U783" s="15">
        <f>IF(OR('Controle de CT'!$R783= "", 'Controle de CT'!$P783= ""), "", 'Controle de CT'!$R783-'Controle de CT'!$P783)</f>
        <v>9.7916666666666707E-2</v>
      </c>
      <c r="V783" s="1" t="s">
        <v>212</v>
      </c>
      <c r="W783" s="2"/>
      <c r="X783" s="2"/>
    </row>
    <row r="784" spans="11:24" ht="15" hidden="1" customHeight="1">
      <c r="K784" s="5">
        <v>46102</v>
      </c>
      <c r="L784" s="8" t="s">
        <v>45</v>
      </c>
      <c r="M784" s="22" t="str">
        <f>IF(Tabela1[[#This Row],[Motorista]]="","",IFERROR(_xlfn.XLOOKUP(Tabela1[[#This Row],[Motorista]],Base!A:A,Base!B:B),""))</f>
        <v>CIF</v>
      </c>
      <c r="N784" s="20" t="str">
        <f t="shared" si="29"/>
        <v>Finalizado</v>
      </c>
      <c r="O7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4" s="2">
        <v>0.36041666666666666</v>
      </c>
      <c r="Q784" s="2">
        <v>0.37430555555555556</v>
      </c>
      <c r="R784" s="16">
        <v>0.42708333333333331</v>
      </c>
      <c r="S784" s="16"/>
      <c r="T784" s="1"/>
      <c r="U784" s="15">
        <f>IF(OR('Controle de CT'!$R784= "", 'Controle de CT'!$P784= ""), "", 'Controle de CT'!$R784-'Controle de CT'!$P784)</f>
        <v>6.6666666666666652E-2</v>
      </c>
      <c r="V784" s="1"/>
      <c r="W784" s="2"/>
      <c r="X784" s="2"/>
    </row>
    <row r="785" spans="11:24" ht="15" hidden="1" customHeight="1">
      <c r="K785" s="5">
        <v>46102</v>
      </c>
      <c r="L785" s="8" t="s">
        <v>91</v>
      </c>
      <c r="M785" s="22" t="str">
        <f>IF(Tabela1[[#This Row],[Motorista]]="","",IFERROR(_xlfn.XLOOKUP(Tabela1[[#This Row],[Motorista]],Base!A:A,Base!B:B),""))</f>
        <v>FOB</v>
      </c>
      <c r="N785" s="20" t="str">
        <f t="shared" si="29"/>
        <v>Fila de Carregamento</v>
      </c>
      <c r="O7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785" s="2">
        <v>0.39930555555555558</v>
      </c>
      <c r="R785" s="16"/>
      <c r="S785" s="16"/>
      <c r="T785" s="1"/>
      <c r="U785" s="15" t="str">
        <f>IF(OR('Controle de CT'!$R785= "", 'Controle de CT'!$P785= ""), "", 'Controle de CT'!$R785-'Controle de CT'!$P785)</f>
        <v/>
      </c>
      <c r="V785" s="1" t="s">
        <v>213</v>
      </c>
      <c r="W785" s="2"/>
      <c r="X785" s="2"/>
    </row>
    <row r="786" spans="11:24" ht="15" hidden="1" customHeight="1">
      <c r="K786" s="5">
        <v>46102</v>
      </c>
      <c r="L786" s="8" t="s">
        <v>90</v>
      </c>
      <c r="M786" s="22" t="str">
        <f>IF(Tabela1[[#This Row],[Motorista]]="","",IFERROR(_xlfn.XLOOKUP(Tabela1[[#This Row],[Motorista]],Base!A:A,Base!B:B),""))</f>
        <v>FOB</v>
      </c>
      <c r="N786" s="20" t="str">
        <f t="shared" si="29"/>
        <v>Fila de Carregamento</v>
      </c>
      <c r="O7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6" s="2">
        <v>0.42708333333333331</v>
      </c>
      <c r="Q786" s="2">
        <v>0.4465277777777778</v>
      </c>
      <c r="R786" s="16"/>
      <c r="S786" s="16"/>
      <c r="T786" s="1"/>
      <c r="U786" s="15" t="str">
        <f>IF(OR('Controle de CT'!$R786= "", 'Controle de CT'!$P786= ""), "", 'Controle de CT'!$R786-'Controle de CT'!$P786)</f>
        <v/>
      </c>
      <c r="V786" s="1" t="s">
        <v>214</v>
      </c>
      <c r="W786" s="2"/>
      <c r="X786" s="2"/>
    </row>
    <row r="787" spans="11:24" ht="15" hidden="1" customHeight="1">
      <c r="K787" s="5">
        <v>46102</v>
      </c>
      <c r="L787" s="8" t="s">
        <v>135</v>
      </c>
      <c r="M787" s="22" t="str">
        <f>IF(Tabela1[[#This Row],[Motorista]]="","",IFERROR(_xlfn.XLOOKUP(Tabela1[[#This Row],[Motorista]],Base!A:A,Base!B:B),""))</f>
        <v>Transferência</v>
      </c>
      <c r="N787" s="20" t="str">
        <f t="shared" si="29"/>
        <v>Finalizado</v>
      </c>
      <c r="O7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7" s="2">
        <v>0.42916666666666664</v>
      </c>
      <c r="Q787" s="2">
        <v>0.45277777777777778</v>
      </c>
      <c r="R787" s="16">
        <v>0.70833333333333337</v>
      </c>
      <c r="S787" s="16"/>
      <c r="T787" s="1"/>
      <c r="U787" s="15">
        <f>IF(OR('Controle de CT'!$R787= "", 'Controle de CT'!$P787= ""), "", 'Controle de CT'!$R787-'Controle de CT'!$P787)</f>
        <v>0.27916666666666673</v>
      </c>
      <c r="V787" s="1" t="s">
        <v>215</v>
      </c>
      <c r="W787" s="2"/>
      <c r="X787" s="2"/>
    </row>
    <row r="788" spans="11:24" ht="15" hidden="1" customHeight="1">
      <c r="K788" s="5">
        <v>46102</v>
      </c>
      <c r="L788" s="8" t="s">
        <v>89</v>
      </c>
      <c r="M788" s="9" t="str">
        <f>IF(Tabela1[[#This Row],[Motorista]]="","",IFERROR(_xlfn.XLOOKUP(Tabela1[[#This Row],[Motorista]],Base!A:A,Base!B:B),""))</f>
        <v>FOB</v>
      </c>
      <c r="N788" s="20" t="str">
        <f t="shared" si="29"/>
        <v>Finalizado</v>
      </c>
      <c r="O7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8" s="4"/>
      <c r="Q788" s="4"/>
      <c r="R788" s="23">
        <v>0.45833333333333331</v>
      </c>
      <c r="S788" s="16"/>
      <c r="T788" s="1"/>
      <c r="U788" s="15" t="str">
        <f>IF(OR('Controle de CT'!$R788= "", 'Controle de CT'!$P788= ""), "", 'Controle de CT'!$R788-'Controle de CT'!$P788)</f>
        <v/>
      </c>
      <c r="V788" s="1" t="s">
        <v>216</v>
      </c>
      <c r="W788" s="2"/>
      <c r="X788" s="2"/>
    </row>
    <row r="789" spans="11:24" ht="15" hidden="1" customHeight="1">
      <c r="K789" s="5">
        <v>46102</v>
      </c>
      <c r="L789" s="8" t="s">
        <v>98</v>
      </c>
      <c r="M789" s="22" t="str">
        <f>IF(Tabela1[[#This Row],[Motorista]]="","",IFERROR(_xlfn.XLOOKUP(Tabela1[[#This Row],[Motorista]],Base!A:A,Base!B:B),""))</f>
        <v>FOB</v>
      </c>
      <c r="N789" s="20" t="str">
        <f t="shared" si="29"/>
        <v>Fila de Carregamento</v>
      </c>
      <c r="O7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89" s="2">
        <v>0.4375</v>
      </c>
      <c r="Q789" s="2">
        <v>0.46250000000000002</v>
      </c>
      <c r="R789" s="16"/>
      <c r="S789" s="16"/>
      <c r="T789" s="1"/>
      <c r="U789" s="15" t="str">
        <f>IF(OR('Controle de CT'!$R789= "", 'Controle de CT'!$P789= ""), "", 'Controle de CT'!$R789-'Controle de CT'!$P789)</f>
        <v/>
      </c>
      <c r="V789" s="1" t="s">
        <v>217</v>
      </c>
      <c r="W789" s="2"/>
      <c r="X789" s="2"/>
    </row>
    <row r="790" spans="11:24" ht="15" hidden="1" customHeight="1">
      <c r="K790" s="5">
        <v>46102</v>
      </c>
      <c r="L790" s="8" t="s">
        <v>116</v>
      </c>
      <c r="M790" s="22" t="str">
        <f>IF(Tabela1[[#This Row],[Motorista]]="","",IFERROR(_xlfn.XLOOKUP(Tabela1[[#This Row],[Motorista]],Base!A:A,Base!B:B),""))</f>
        <v xml:space="preserve">CIF </v>
      </c>
      <c r="N790" s="20" t="str">
        <f t="shared" si="29"/>
        <v>Fila de Carregamento</v>
      </c>
      <c r="O7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0" s="2">
        <v>0.41666666666666669</v>
      </c>
      <c r="Q790" s="2">
        <v>0.47361111111111109</v>
      </c>
      <c r="R790" s="16"/>
      <c r="S790" s="16"/>
      <c r="T790" s="1"/>
      <c r="U790" s="15" t="str">
        <f>IF(OR('Controle de CT'!$R790= "", 'Controle de CT'!$P790= ""), "", 'Controle de CT'!$R790-'Controle de CT'!$P790)</f>
        <v/>
      </c>
      <c r="V790" s="1" t="s">
        <v>218</v>
      </c>
      <c r="W790" s="2"/>
      <c r="X790" s="2"/>
    </row>
    <row r="791" spans="11:24" ht="15" hidden="1" customHeight="1">
      <c r="K791" s="5">
        <v>46104</v>
      </c>
      <c r="L791" s="8" t="s">
        <v>109</v>
      </c>
      <c r="M791" s="22" t="str">
        <f>IF(Tabela1[[#This Row],[Motorista]]="","",IFERROR(_xlfn.XLOOKUP(Tabela1[[#This Row],[Motorista]],Base!A:A,Base!B:B),""))</f>
        <v>Transferência</v>
      </c>
      <c r="N791" s="20" t="str">
        <f t="shared" si="28"/>
        <v>Aguardando Entrada</v>
      </c>
      <c r="O7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1" s="2">
        <v>0.22361111111111112</v>
      </c>
      <c r="R791" s="16"/>
      <c r="S791" s="16"/>
      <c r="T791" s="14"/>
      <c r="U791" s="15" t="str">
        <f>IF(OR('Controle de CT'!$R791= "", 'Controle de CT'!$P791= ""), "", 'Controle de CT'!$R791-'Controle de CT'!$P791)</f>
        <v/>
      </c>
      <c r="V791" s="1" t="s">
        <v>219</v>
      </c>
      <c r="W791" s="2"/>
      <c r="X791" s="2"/>
    </row>
    <row r="792" spans="11:24" ht="15" hidden="1" customHeight="1">
      <c r="K792" s="5">
        <v>46104</v>
      </c>
      <c r="L792" s="8" t="s">
        <v>101</v>
      </c>
      <c r="M792" s="22" t="str">
        <f>IF(Tabela1[[#This Row],[Motorista]]="","",IFERROR(_xlfn.XLOOKUP(Tabela1[[#This Row],[Motorista]],Base!A:A,Base!B:B),""))</f>
        <v>FOB</v>
      </c>
      <c r="N792" s="20" t="str">
        <f t="shared" si="28"/>
        <v>Finalizado</v>
      </c>
      <c r="O7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2" s="2">
        <v>0.22361111111111112</v>
      </c>
      <c r="Q792" s="2">
        <v>0.2722222222222222</v>
      </c>
      <c r="R792" s="16">
        <v>0.31874999999999998</v>
      </c>
      <c r="S792" s="16"/>
      <c r="T792" s="14">
        <f>IF(OR(Tabela1[[#This Row],[Entrada]]="",Tabela1[[#This Row],[Saída]]=""), "", Tabela1[[#This Row],[Saída]]-Tabela1[[#This Row],[Entrada]])</f>
        <v>4.6527777777777779E-2</v>
      </c>
      <c r="U792" s="15">
        <f>IF(OR('Controle de CT'!$R792= "", 'Controle de CT'!$P792= ""), "", 'Controle de CT'!$R792-'Controle de CT'!$P792)</f>
        <v>9.5138888888888856E-2</v>
      </c>
      <c r="V792" s="1"/>
      <c r="W792" s="2"/>
      <c r="X792" s="2"/>
    </row>
    <row r="793" spans="11:24" ht="15" hidden="1" customHeight="1">
      <c r="K793" s="5">
        <v>46104</v>
      </c>
      <c r="L793" s="8" t="s">
        <v>45</v>
      </c>
      <c r="M793" s="9" t="str">
        <f>IF(Tabela1[[#This Row],[Motorista]]="","",IFERROR(_xlfn.XLOOKUP(Tabela1[[#This Row],[Motorista]],Base!A:A,Base!B:B),""))</f>
        <v>CIF</v>
      </c>
      <c r="N793" s="20" t="str">
        <f>IF(R793&lt;&gt;"","Finalizado", IF(Q793&lt;&gt;"","Fila de Carregamento", IF(P793&lt;&gt;"","Aguardando Entrada","")))</f>
        <v>Fila de Carregamento</v>
      </c>
      <c r="O7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3" s="4">
        <v>0.23749999999999999</v>
      </c>
      <c r="Q793" s="4">
        <v>0.27083333333333331</v>
      </c>
      <c r="R793" s="23"/>
      <c r="S793" s="16"/>
      <c r="T793" s="14" t="str">
        <f>IF(OR(Tabela1[[#This Row],[Entrada]]="",Tabela1[[#This Row],[Saída]]=""), "", Tabela1[[#This Row],[Saída]]-Tabela1[[#This Row],[Entrada]])</f>
        <v/>
      </c>
      <c r="U793" s="15" t="str">
        <f>IF(OR('Controle de CT'!$R793= "", 'Controle de CT'!$P793= ""), "", 'Controle de CT'!$R793-'Controle de CT'!$P793)</f>
        <v/>
      </c>
      <c r="V793" s="1"/>
      <c r="W793" s="2"/>
      <c r="X793" s="2"/>
    </row>
    <row r="794" spans="11:24" ht="15" hidden="1" customHeight="1">
      <c r="K794" s="5">
        <v>46104</v>
      </c>
      <c r="L794" s="8" t="s">
        <v>87</v>
      </c>
      <c r="M794" s="22" t="str">
        <f>IF(Tabela1[[#This Row],[Motorista]]="","",IFERROR(_xlfn.XLOOKUP(Tabela1[[#This Row],[Motorista]],Base!A:A,Base!B:B),""))</f>
        <v>FOB</v>
      </c>
      <c r="N794" s="20" t="str">
        <f t="shared" si="28"/>
        <v>Finalizado</v>
      </c>
      <c r="O7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94" s="2">
        <v>0.25208333333333333</v>
      </c>
      <c r="Q794" s="2">
        <v>0.375</v>
      </c>
      <c r="R794" s="16">
        <v>0.40555555555555556</v>
      </c>
      <c r="S794" s="16"/>
      <c r="T794" s="14">
        <f>IF(OR(Tabela1[[#This Row],[Entrada]]="",Tabela1[[#This Row],[Saída]]=""), "", Tabela1[[#This Row],[Saída]]-Tabela1[[#This Row],[Entrada]])</f>
        <v>3.0555555555555558E-2</v>
      </c>
      <c r="U794" s="15">
        <f>IF(OR('Controle de CT'!$R794= "", 'Controle de CT'!$P794= ""), "", 'Controle de CT'!$R794-'Controle de CT'!$P794)</f>
        <v>0.15347222222222223</v>
      </c>
      <c r="V794" s="1" t="s">
        <v>170</v>
      </c>
      <c r="W794" s="2"/>
      <c r="X794" s="2"/>
    </row>
    <row r="795" spans="11:24" ht="15" hidden="1" customHeight="1">
      <c r="K795" s="5">
        <v>46104</v>
      </c>
      <c r="L795" s="8" t="s">
        <v>57</v>
      </c>
      <c r="M795" s="22" t="str">
        <f>IF(Tabela1[[#This Row],[Motorista]]="","",IFERROR(_xlfn.XLOOKUP(Tabela1[[#This Row],[Motorista]],Base!A:A,Base!B:B),""))</f>
        <v>CIF</v>
      </c>
      <c r="N795" s="20" t="str">
        <f t="shared" si="28"/>
        <v>Finalizado</v>
      </c>
      <c r="O7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95" s="2">
        <v>0.26527777777777778</v>
      </c>
      <c r="Q795" s="2">
        <v>0.27847222222222223</v>
      </c>
      <c r="R795" s="16">
        <v>0.32708333333333334</v>
      </c>
      <c r="S795" s="16"/>
      <c r="T795" s="14">
        <f>IF(OR(Tabela1[[#This Row],[Entrada]]="",Tabela1[[#This Row],[Saída]]=""), "", Tabela1[[#This Row],[Saída]]-Tabela1[[#This Row],[Entrada]])</f>
        <v>4.8611111111111105E-2</v>
      </c>
      <c r="U795" s="15">
        <f>IF(OR('Controle de CT'!$R795= "", 'Controle de CT'!$P795= ""), "", 'Controle de CT'!$R795-'Controle de CT'!$P795)</f>
        <v>6.1805555555555558E-2</v>
      </c>
      <c r="V795" s="1"/>
      <c r="W795" s="2"/>
      <c r="X795" s="2"/>
    </row>
    <row r="796" spans="11:24" ht="15" hidden="1" customHeight="1">
      <c r="K796" s="5">
        <v>46104</v>
      </c>
      <c r="L796" s="8" t="s">
        <v>53</v>
      </c>
      <c r="M796" s="22" t="str">
        <f>IF(Tabela1[[#This Row],[Motorista]]="","",IFERROR(_xlfn.XLOOKUP(Tabela1[[#This Row],[Motorista]],Base!A:A,Base!B:B),""))</f>
        <v>CIF</v>
      </c>
      <c r="N796" s="20" t="str">
        <f t="shared" si="28"/>
        <v>Fila de Carregamento</v>
      </c>
      <c r="O7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6" s="2">
        <v>0.27361111111111114</v>
      </c>
      <c r="Q796" s="2">
        <v>0.28263888888888888</v>
      </c>
      <c r="R796" s="16"/>
      <c r="S796" s="16"/>
      <c r="T796" s="14" t="str">
        <f>IF(OR(Tabela1[[#This Row],[Entrada]]="",Tabela1[[#This Row],[Saída]]=""), "", Tabela1[[#This Row],[Saída]]-Tabela1[[#This Row],[Entrada]])</f>
        <v/>
      </c>
      <c r="U796" s="15" t="str">
        <f>IF(OR('Controle de CT'!$R796= "", 'Controle de CT'!$P796= ""), "", 'Controle de CT'!$R796-'Controle de CT'!$P796)</f>
        <v/>
      </c>
      <c r="V796" s="1" t="s">
        <v>220</v>
      </c>
      <c r="W796" s="2"/>
      <c r="X796" s="2"/>
    </row>
    <row r="797" spans="11:24" ht="15" hidden="1" customHeight="1">
      <c r="K797" s="5">
        <v>46104</v>
      </c>
      <c r="L797" s="8" t="s">
        <v>92</v>
      </c>
      <c r="M797" s="22" t="str">
        <f>IF(Tabela1[[#This Row],[Motorista]]="","",IFERROR(_xlfn.XLOOKUP(Tabela1[[#This Row],[Motorista]],Base!A:A,Base!B:B),""))</f>
        <v>FOB</v>
      </c>
      <c r="N797" s="20" t="str">
        <f t="shared" si="28"/>
        <v>Finalizado</v>
      </c>
      <c r="O7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97" s="2">
        <v>0.27708333333333335</v>
      </c>
      <c r="Q797" s="2">
        <v>0.32291666666666669</v>
      </c>
      <c r="R797" s="16">
        <v>0.34930555555555554</v>
      </c>
      <c r="S797" s="16"/>
      <c r="T797" s="14">
        <f>IF(OR(Tabela1[[#This Row],[Entrada]]="",Tabela1[[#This Row],[Saída]]=""), "", Tabela1[[#This Row],[Saída]]-Tabela1[[#This Row],[Entrada]])</f>
        <v>2.6388888888888851E-2</v>
      </c>
      <c r="U797" s="15">
        <f>IF(OR('Controle de CT'!$R797= "", 'Controle de CT'!$P797= ""), "", 'Controle de CT'!$R797-'Controle de CT'!$P797)</f>
        <v>7.2222222222222188E-2</v>
      </c>
      <c r="V797" s="1"/>
      <c r="W797" s="2"/>
      <c r="X797" s="2"/>
    </row>
    <row r="798" spans="11:24" ht="15" hidden="1" customHeight="1">
      <c r="K798" s="5">
        <v>46104</v>
      </c>
      <c r="L798" s="8" t="s">
        <v>86</v>
      </c>
      <c r="M798" s="22" t="str">
        <f>IF(Tabela1[[#This Row],[Motorista]]="","",IFERROR(_xlfn.XLOOKUP(Tabela1[[#This Row],[Motorista]],Base!A:A,Base!B:B),""))</f>
        <v>FOB</v>
      </c>
      <c r="N798" s="20" t="str">
        <f t="shared" si="28"/>
        <v>Finalizado</v>
      </c>
      <c r="O7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798" s="2">
        <v>0.28402777777777777</v>
      </c>
      <c r="Q798" s="2">
        <v>0.29305555555555557</v>
      </c>
      <c r="R798" s="16">
        <v>0.33333333333333331</v>
      </c>
      <c r="S798" s="16"/>
      <c r="T798" s="14">
        <f>IF(OR(Tabela1[[#This Row],[Entrada]]="",Tabela1[[#This Row],[Saída]]=""), "", Tabela1[[#This Row],[Saída]]-Tabela1[[#This Row],[Entrada]])</f>
        <v>4.0277777777777746E-2</v>
      </c>
      <c r="U798" s="15">
        <f>IF(OR('Controle de CT'!$R798= "", 'Controle de CT'!$P798= ""), "", 'Controle de CT'!$R798-'Controle de CT'!$P798)</f>
        <v>4.9305555555555547E-2</v>
      </c>
      <c r="V798" s="1"/>
      <c r="W798" s="2"/>
      <c r="X798" s="2"/>
    </row>
    <row r="799" spans="11:24" ht="15" hidden="1" customHeight="1">
      <c r="K799" s="5">
        <v>46104</v>
      </c>
      <c r="L799" s="8" t="s">
        <v>114</v>
      </c>
      <c r="M799" s="22" t="str">
        <f>IF(Tabela1[[#This Row],[Motorista]]="","",IFERROR(_xlfn.XLOOKUP(Tabela1[[#This Row],[Motorista]],Base!A:A,Base!B:B),""))</f>
        <v>FOB</v>
      </c>
      <c r="N799" s="20" t="str">
        <f t="shared" si="28"/>
        <v>Aguardando Entrada</v>
      </c>
      <c r="O7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799" s="2">
        <v>0.28333333333333333</v>
      </c>
      <c r="R799" s="16"/>
      <c r="S799" s="16"/>
      <c r="T799" s="14" t="str">
        <f>IF(OR(Tabela1[[#This Row],[Entrada]]="",Tabela1[[#This Row],[Saída]]=""), "", Tabela1[[#This Row],[Saída]]-Tabela1[[#This Row],[Entrada]])</f>
        <v/>
      </c>
      <c r="U799" s="15" t="str">
        <f>IF(OR('Controle de CT'!$R799= "", 'Controle de CT'!$P799= ""), "", 'Controle de CT'!$R799-'Controle de CT'!$P799)</f>
        <v/>
      </c>
      <c r="V799" s="1" t="s">
        <v>221</v>
      </c>
      <c r="W799" s="2"/>
      <c r="X799" s="2"/>
    </row>
    <row r="800" spans="11:24" ht="15" hidden="1" customHeight="1">
      <c r="K800" s="5">
        <v>46104</v>
      </c>
      <c r="L800" s="8" t="s">
        <v>47</v>
      </c>
      <c r="M800" s="22" t="str">
        <f>IF(Tabela1[[#This Row],[Motorista]]="","",IFERROR(_xlfn.XLOOKUP(Tabela1[[#This Row],[Motorista]],Base!A:A,Base!B:B),""))</f>
        <v>CIF</v>
      </c>
      <c r="N800" s="20" t="str">
        <f t="shared" si="28"/>
        <v>Aguardando Entrada</v>
      </c>
      <c r="O8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00" s="2">
        <v>0.29375000000000001</v>
      </c>
      <c r="R800" s="16"/>
      <c r="S800" s="16"/>
      <c r="T800" s="14" t="str">
        <f>IF(OR(Tabela1[[#This Row],[Entrada]]="",Tabela1[[#This Row],[Saída]]=""), "", Tabela1[[#This Row],[Saída]]-Tabela1[[#This Row],[Entrada]])</f>
        <v/>
      </c>
      <c r="U800" s="15" t="str">
        <f>IF(OR('Controle de CT'!$R800= "", 'Controle de CT'!$P800= ""), "", 'Controle de CT'!$R800-'Controle de CT'!$P800)</f>
        <v/>
      </c>
      <c r="V800" s="1"/>
      <c r="W800" s="2"/>
      <c r="X800" s="2"/>
    </row>
    <row r="801" spans="11:24" ht="15" hidden="1" customHeight="1">
      <c r="K801" s="5">
        <v>46104</v>
      </c>
      <c r="L801" t="s">
        <v>198</v>
      </c>
      <c r="M801" s="22" t="str">
        <f>IF(Tabela1[[#This Row],[Motorista]]="","",IFERROR(_xlfn.XLOOKUP(Tabela1[[#This Row],[Motorista]],Base!A:A,Base!B:B),""))</f>
        <v>CIF</v>
      </c>
      <c r="N801" s="20" t="str">
        <f t="shared" si="28"/>
        <v>Aguardando Entrada</v>
      </c>
      <c r="O8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01" s="2">
        <v>0.32430555555555557</v>
      </c>
      <c r="R801" s="16"/>
      <c r="S801" s="16"/>
      <c r="T801" s="14" t="str">
        <f>IF(OR(Tabela1[[#This Row],[Entrada]]="",Tabela1[[#This Row],[Saída]]=""), "", Tabela1[[#This Row],[Saída]]-Tabela1[[#This Row],[Entrada]])</f>
        <v/>
      </c>
      <c r="U801" s="15" t="str">
        <f>IF(OR('Controle de CT'!$R801= "", 'Controle de CT'!$P801= ""), "", 'Controle de CT'!$R801-'Controle de CT'!$P801)</f>
        <v/>
      </c>
      <c r="V801" s="1"/>
      <c r="W801" s="2"/>
      <c r="X801" s="2"/>
    </row>
    <row r="802" spans="11:24" ht="15" hidden="1" customHeight="1">
      <c r="K802" s="5">
        <v>46104</v>
      </c>
      <c r="L802" s="8" t="s">
        <v>130</v>
      </c>
      <c r="M802" s="22" t="str">
        <f>IF(Tabela1[[#This Row],[Motorista]]="","",IFERROR(_xlfn.XLOOKUP(Tabela1[[#This Row],[Motorista]],Base!A:A,Base!B:B),""))</f>
        <v>RZD</v>
      </c>
      <c r="N802" s="20" t="str">
        <f t="shared" si="28"/>
        <v/>
      </c>
      <c r="O8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02" s="16"/>
      <c r="S802" s="16"/>
      <c r="T802" s="14" t="str">
        <f>IF(OR(Tabela1[[#This Row],[Entrada]]="",Tabela1[[#This Row],[Saída]]=""), "", Tabela1[[#This Row],[Saída]]-Tabela1[[#This Row],[Entrada]])</f>
        <v/>
      </c>
      <c r="U802" s="15" t="str">
        <f>IF(OR('Controle de CT'!$R802= "", 'Controle de CT'!$P802= ""), "", 'Controle de CT'!$R802-'Controle de CT'!$P802)</f>
        <v/>
      </c>
      <c r="V802" s="1"/>
      <c r="W802" s="2"/>
      <c r="X802" s="2"/>
    </row>
    <row r="803" spans="11:24" ht="15" hidden="1" customHeight="1">
      <c r="K803" s="5">
        <v>46104</v>
      </c>
      <c r="L803" s="8" t="s">
        <v>126</v>
      </c>
      <c r="M803" s="22" t="str">
        <f>IF(Tabela1[[#This Row],[Motorista]]="","",IFERROR(_xlfn.XLOOKUP(Tabela1[[#This Row],[Motorista]],Base!A:A,Base!B:B),""))</f>
        <v>Transferência</v>
      </c>
      <c r="N803" s="20" t="str">
        <f>IF(R803&lt;&gt;"","Finalizado", IF(Q803&lt;&gt;"","Fila de Carregamento", IF(P803&lt;&gt;"","Aguardando Entrada","")))</f>
        <v>Aguardando Entrada</v>
      </c>
      <c r="O8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03" s="2">
        <v>0.35972222222222222</v>
      </c>
      <c r="R803" s="16"/>
      <c r="S803" s="16"/>
      <c r="T803" s="14" t="str">
        <f>IF(OR(Tabela1[[#This Row],[Entrada]]="",Tabela1[[#This Row],[Saída]]=""), "", Tabela1[[#This Row],[Saída]]-Tabela1[[#This Row],[Entrada]])</f>
        <v/>
      </c>
      <c r="U803" s="15" t="str">
        <f>IF(OR('Controle de CT'!$R803= "", 'Controle de CT'!$P803= ""), "", 'Controle de CT'!$R803-'Controle de CT'!$P803)</f>
        <v/>
      </c>
      <c r="V803" s="1"/>
      <c r="W803" s="2"/>
      <c r="X803" s="2"/>
    </row>
    <row r="804" spans="11:24" ht="15" hidden="1" customHeight="1">
      <c r="K804" s="5">
        <v>46104</v>
      </c>
      <c r="L804" s="8" t="s">
        <v>42</v>
      </c>
      <c r="M804" s="22" t="str">
        <f>IF(Tabela1[[#This Row],[Motorista]]="","",IFERROR(_xlfn.XLOOKUP(Tabela1[[#This Row],[Motorista]],Base!A:A,Base!B:B),""))</f>
        <v>CIF</v>
      </c>
      <c r="N804" s="20" t="str">
        <f>IF(R804&lt;&gt;"","Finalizado", IF(Q804&lt;&gt;"","Fila de Carregamento", IF(P804&lt;&gt;"","Aguardando Entrada","")))</f>
        <v>Aguardando Entrada</v>
      </c>
      <c r="O8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04" s="2">
        <v>0.37013888888888891</v>
      </c>
      <c r="R804" s="16"/>
      <c r="S804" s="16"/>
      <c r="T804" s="14" t="str">
        <f>IF(OR(Tabela1[[#This Row],[Entrada]]="",Tabela1[[#This Row],[Saída]]=""), "", Tabela1[[#This Row],[Saída]]-Tabela1[[#This Row],[Entrada]])</f>
        <v/>
      </c>
      <c r="U804" s="15" t="str">
        <f>IF(OR('Controle de CT'!$R804= "", 'Controle de CT'!$P804= ""), "", 'Controle de CT'!$R804-'Controle de CT'!$P804)</f>
        <v/>
      </c>
      <c r="V804" s="1"/>
      <c r="W804" s="2"/>
      <c r="X804" s="2"/>
    </row>
    <row r="805" spans="11:24" ht="15" hidden="1" customHeight="1">
      <c r="K805" s="5">
        <v>46104</v>
      </c>
      <c r="L805" s="8" t="s">
        <v>90</v>
      </c>
      <c r="M805" s="22" t="str">
        <f>IF(Tabela1[[#This Row],[Motorista]]="","",IFERROR(_xlfn.XLOOKUP(Tabela1[[#This Row],[Motorista]],Base!A:A,Base!B:B),""))</f>
        <v>FOB</v>
      </c>
      <c r="N805" s="20" t="str">
        <f t="shared" si="28"/>
        <v>Aguardando Entrada</v>
      </c>
      <c r="O8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05" s="2">
        <v>0.37638888888888888</v>
      </c>
      <c r="R805" s="16"/>
      <c r="S805" s="16"/>
      <c r="T805" s="14" t="str">
        <f>IF(OR(Tabela1[[#This Row],[Entrada]]="",Tabela1[[#This Row],[Saída]]=""), "", Tabela1[[#This Row],[Saída]]-Tabela1[[#This Row],[Entrada]])</f>
        <v/>
      </c>
      <c r="U805" s="15" t="str">
        <f>IF(OR('Controle de CT'!$R805= "", 'Controle de CT'!$P805= ""), "", 'Controle de CT'!$R805-'Controle de CT'!$P805)</f>
        <v/>
      </c>
      <c r="V805" s="1"/>
      <c r="W805" s="2"/>
      <c r="X805" s="2"/>
    </row>
    <row r="806" spans="11:24" ht="15" hidden="1" customHeight="1">
      <c r="K806" s="5">
        <v>46104</v>
      </c>
      <c r="L806" s="8" t="s">
        <v>222</v>
      </c>
      <c r="M806" s="22" t="str">
        <f>IF(Tabela1[[#This Row],[Motorista]]="","",IFERROR(_xlfn.XLOOKUP(Tabela1[[#This Row],[Motorista]],Base!A:A,Base!B:B),""))</f>
        <v>Transferência</v>
      </c>
      <c r="N806" s="20" t="str">
        <f t="shared" si="28"/>
        <v/>
      </c>
      <c r="O8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06" s="16"/>
      <c r="S806" s="16"/>
      <c r="T806" s="14" t="str">
        <f>IF(OR(Tabela1[[#This Row],[Entrada]]="",Tabela1[[#This Row],[Saída]]=""), "", Tabela1[[#This Row],[Saída]]-Tabela1[[#This Row],[Entrada]])</f>
        <v/>
      </c>
      <c r="U806" s="15" t="str">
        <f>IF(OR('Controle de CT'!$R806= "", 'Controle de CT'!$P806= ""), "", 'Controle de CT'!$R806-'Controle de CT'!$P806)</f>
        <v/>
      </c>
      <c r="V806" s="1"/>
      <c r="W806" s="2"/>
      <c r="X806" s="2"/>
    </row>
    <row r="807" spans="11:24" ht="15" hidden="1" customHeight="1">
      <c r="K807" s="5">
        <v>46104</v>
      </c>
      <c r="L807" s="8" t="s">
        <v>116</v>
      </c>
      <c r="M807" s="22" t="str">
        <f>IF(Tabela1[[#This Row],[Motorista]]="","",IFERROR(_xlfn.XLOOKUP(Tabela1[[#This Row],[Motorista]],Base!A:A,Base!B:B),""))</f>
        <v xml:space="preserve">CIF </v>
      </c>
      <c r="N807" s="20" t="str">
        <f t="shared" si="28"/>
        <v>Aguardando Entrada</v>
      </c>
      <c r="O8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07" s="2">
        <v>0.3888888888888889</v>
      </c>
      <c r="R807" s="16"/>
      <c r="S807" s="16"/>
      <c r="T807" s="14" t="str">
        <f>IF(OR(Tabela1[[#This Row],[Entrada]]="",Tabela1[[#This Row],[Saída]]=""), "", Tabela1[[#This Row],[Saída]]-Tabela1[[#This Row],[Entrada]])</f>
        <v/>
      </c>
      <c r="U807" s="15" t="str">
        <f>IF(OR('Controle de CT'!$R807= "", 'Controle de CT'!$P807= ""), "", 'Controle de CT'!$R807-'Controle de CT'!$P807)</f>
        <v/>
      </c>
      <c r="V807" s="1"/>
      <c r="W807" s="2"/>
      <c r="X807" s="2"/>
    </row>
    <row r="808" spans="11:24" ht="15" hidden="1" customHeight="1">
      <c r="K808" s="5">
        <v>46104</v>
      </c>
      <c r="L808" s="8" t="s">
        <v>89</v>
      </c>
      <c r="M808" s="22" t="str">
        <f>IF(Tabela1[[#This Row],[Motorista]]="","",IFERROR(_xlfn.XLOOKUP(Tabela1[[#This Row],[Motorista]],Base!A:A,Base!B:B),""))</f>
        <v>FOB</v>
      </c>
      <c r="N808" s="20" t="str">
        <f t="shared" si="28"/>
        <v/>
      </c>
      <c r="O8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08" s="16"/>
      <c r="S808" s="16"/>
      <c r="T808" s="14" t="str">
        <f>IF(OR(Tabela1[[#This Row],[Entrada]]="",Tabela1[[#This Row],[Saída]]=""), "", Tabela1[[#This Row],[Saída]]-Tabela1[[#This Row],[Entrada]])</f>
        <v/>
      </c>
      <c r="U808" s="15" t="str">
        <f>IF(OR('Controle de CT'!$R808= "", 'Controle de CT'!$P808= ""), "", 'Controle de CT'!$R808-'Controle de CT'!$P808)</f>
        <v/>
      </c>
      <c r="V808" s="1"/>
      <c r="W808" s="2"/>
      <c r="X808" s="2"/>
    </row>
    <row r="809" spans="11:24" ht="15" hidden="1" customHeight="1">
      <c r="K809" s="5">
        <v>46104</v>
      </c>
      <c r="L809" s="8" t="s">
        <v>95</v>
      </c>
      <c r="M809" s="22" t="str">
        <f>IF(Tabela1[[#This Row],[Motorista]]="","",IFERROR(_xlfn.XLOOKUP(Tabela1[[#This Row],[Motorista]],Base!A:A,Base!B:B),""))</f>
        <v>FOB</v>
      </c>
      <c r="N809" s="20" t="str">
        <f t="shared" si="28"/>
        <v/>
      </c>
      <c r="O8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09" s="16"/>
      <c r="S809" s="16"/>
      <c r="T809" s="14" t="str">
        <f>IF(OR(Tabela1[[#This Row],[Entrada]]="",Tabela1[[#This Row],[Saída]]=""), "", Tabela1[[#This Row],[Saída]]-Tabela1[[#This Row],[Entrada]])</f>
        <v/>
      </c>
      <c r="U809" s="15" t="str">
        <f>IF(OR('Controle de CT'!$R809= "", 'Controle de CT'!$P809= ""), "", 'Controle de CT'!$R809-'Controle de CT'!$P809)</f>
        <v/>
      </c>
      <c r="V809" s="1"/>
      <c r="W809" s="2"/>
      <c r="X809" s="2"/>
    </row>
    <row r="810" spans="11:24" ht="15" hidden="1" customHeight="1">
      <c r="K810" s="5">
        <v>46104</v>
      </c>
      <c r="L810" s="8" t="s">
        <v>92</v>
      </c>
      <c r="M810" s="22" t="str">
        <f>IF(Tabela1[[#This Row],[Motorista]]="","",IFERROR(_xlfn.XLOOKUP(Tabela1[[#This Row],[Motorista]],Base!A:A,Base!B:B),""))</f>
        <v>FOB</v>
      </c>
      <c r="N810" s="20" t="str">
        <f t="shared" si="28"/>
        <v>Aguardando Entrada</v>
      </c>
      <c r="O8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10" s="2">
        <v>0.43125000000000002</v>
      </c>
      <c r="R810" s="16"/>
      <c r="S810" s="16"/>
      <c r="T810" s="14" t="str">
        <f>IF(OR(Tabela1[[#This Row],[Entrada]]="",Tabela1[[#This Row],[Saída]]=""), "", Tabela1[[#This Row],[Saída]]-Tabela1[[#This Row],[Entrada]])</f>
        <v/>
      </c>
      <c r="U810" s="15" t="str">
        <f>IF(OR('Controle de CT'!$R810= "", 'Controle de CT'!$P810= ""), "", 'Controle de CT'!$R810-'Controle de CT'!$P810)</f>
        <v/>
      </c>
      <c r="V810" s="1"/>
      <c r="W810" s="2"/>
      <c r="X810" s="2"/>
    </row>
    <row r="811" spans="11:24" ht="15" hidden="1" customHeight="1">
      <c r="K811" s="5">
        <v>46104</v>
      </c>
      <c r="L811" s="8" t="s">
        <v>57</v>
      </c>
      <c r="M811" s="22" t="str">
        <f>IF(Tabela1[[#This Row],[Motorista]]="","",IFERROR(_xlfn.XLOOKUP(Tabela1[[#This Row],[Motorista]],Base!A:A,Base!B:B),""))</f>
        <v>CIF</v>
      </c>
      <c r="N811" s="20" t="str">
        <f t="shared" si="28"/>
        <v/>
      </c>
      <c r="O8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11" s="16"/>
      <c r="S811" s="16"/>
      <c r="T811" s="14" t="str">
        <f>IF(OR(Tabela1[[#This Row],[Entrada]]="",Tabela1[[#This Row],[Saída]]=""), "", Tabela1[[#This Row],[Saída]]-Tabela1[[#This Row],[Entrada]])</f>
        <v/>
      </c>
      <c r="U811" s="15" t="str">
        <f>IF(OR('Controle de CT'!$R811= "", 'Controle de CT'!$P811= ""), "", 'Controle de CT'!$R811-'Controle de CT'!$P811)</f>
        <v/>
      </c>
      <c r="V811" s="1"/>
      <c r="W811" s="2"/>
      <c r="X811" s="2"/>
    </row>
    <row r="812" spans="11:24" ht="15" hidden="1" customHeight="1">
      <c r="K812" s="5">
        <v>46104</v>
      </c>
      <c r="L812" s="8" t="s">
        <v>87</v>
      </c>
      <c r="M812" s="22" t="str">
        <f>IF(Tabela1[[#This Row],[Motorista]]="","",IFERROR(_xlfn.XLOOKUP(Tabela1[[#This Row],[Motorista]],Base!A:A,Base!B:B),""))</f>
        <v>FOB</v>
      </c>
      <c r="N812" s="20" t="str">
        <f t="shared" si="28"/>
        <v/>
      </c>
      <c r="O8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12" s="16"/>
      <c r="S812" s="16"/>
      <c r="T812" s="14" t="str">
        <f>IF(OR(Tabela1[[#This Row],[Entrada]]="",Tabela1[[#This Row],[Saída]]=""), "", Tabela1[[#This Row],[Saída]]-Tabela1[[#This Row],[Entrada]])</f>
        <v/>
      </c>
      <c r="U812" s="15" t="str">
        <f>IF(OR('Controle de CT'!$R812= "", 'Controle de CT'!$P812= ""), "", 'Controle de CT'!$R812-'Controle de CT'!$P812)</f>
        <v/>
      </c>
      <c r="V812" s="1"/>
      <c r="W812" s="2"/>
      <c r="X812" s="2"/>
    </row>
    <row r="813" spans="11:24" ht="15" hidden="1" customHeight="1">
      <c r="K813" s="5">
        <v>46104</v>
      </c>
      <c r="L813" s="8" t="s">
        <v>86</v>
      </c>
      <c r="M813" s="22" t="str">
        <f>IF(Tabela1[[#This Row],[Motorista]]="","",IFERROR(_xlfn.XLOOKUP(Tabela1[[#This Row],[Motorista]],Base!A:A,Base!B:B),""))</f>
        <v>FOB</v>
      </c>
      <c r="N813" s="20" t="str">
        <f t="shared" si="28"/>
        <v/>
      </c>
      <c r="O8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13" s="16"/>
      <c r="S813" s="16"/>
      <c r="T813" s="14" t="str">
        <f>IF(OR(Tabela1[[#This Row],[Entrada]]="",Tabela1[[#This Row],[Saída]]=""), "", Tabela1[[#This Row],[Saída]]-Tabela1[[#This Row],[Entrada]])</f>
        <v/>
      </c>
      <c r="U813" s="15" t="str">
        <f>IF(OR('Controle de CT'!$R813= "", 'Controle de CT'!$P813= ""), "", 'Controle de CT'!$R813-'Controle de CT'!$P813)</f>
        <v/>
      </c>
      <c r="V813" s="1"/>
      <c r="W813" s="2"/>
      <c r="X813" s="2"/>
    </row>
    <row r="814" spans="11:24" ht="15" hidden="1" customHeight="1">
      <c r="K814" s="5">
        <v>46104</v>
      </c>
      <c r="L814" s="8" t="s">
        <v>175</v>
      </c>
      <c r="M814" s="22" t="str">
        <f>IF(Tabela1[[#This Row],[Motorista]]="","",IFERROR(_xlfn.XLOOKUP(Tabela1[[#This Row],[Motorista]],Base!A:A,Base!B:B),""))</f>
        <v>FOB</v>
      </c>
      <c r="N814" s="20" t="str">
        <f t="shared" si="28"/>
        <v/>
      </c>
      <c r="O8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14" s="16"/>
      <c r="S814" s="16"/>
      <c r="T814" s="14" t="str">
        <f>IF(OR(Tabela1[[#This Row],[Entrada]]="",Tabela1[[#This Row],[Saída]]=""), "", Tabela1[[#This Row],[Saída]]-Tabela1[[#This Row],[Entrada]])</f>
        <v/>
      </c>
      <c r="U814" s="15" t="str">
        <f>IF(OR('Controle de CT'!$R814= "", 'Controle de CT'!$P814= ""), "", 'Controle de CT'!$R814-'Controle de CT'!$P814)</f>
        <v/>
      </c>
      <c r="V814" s="1"/>
      <c r="W814" s="2"/>
      <c r="X814" s="2"/>
    </row>
    <row r="815" spans="11:24" ht="15" hidden="1" customHeight="1">
      <c r="K815" s="5">
        <v>46104</v>
      </c>
      <c r="L815" s="8" t="s">
        <v>223</v>
      </c>
      <c r="M815" s="22" t="str">
        <f>IF(Tabela1[[#This Row],[Motorista]]="","",IFERROR(_xlfn.XLOOKUP(Tabela1[[#This Row],[Motorista]],Base!A:A,Base!B:B),""))</f>
        <v/>
      </c>
      <c r="N815" s="20" t="str">
        <f t="shared" si="28"/>
        <v/>
      </c>
      <c r="O8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15" s="16"/>
      <c r="S815" s="16"/>
      <c r="T815" s="14" t="str">
        <f>IF(OR(Tabela1[[#This Row],[Entrada]]="",Tabela1[[#This Row],[Saída]]=""), "", Tabela1[[#This Row],[Saída]]-Tabela1[[#This Row],[Entrada]])</f>
        <v/>
      </c>
      <c r="U815" s="15" t="str">
        <f>IF(OR('Controle de CT'!$R815= "", 'Controle de CT'!$P815= ""), "", 'Controle de CT'!$R815-'Controle de CT'!$P815)</f>
        <v/>
      </c>
      <c r="V815" s="1" t="s">
        <v>224</v>
      </c>
      <c r="W815" s="2"/>
      <c r="X815" s="2"/>
    </row>
    <row r="816" spans="11:24" ht="15" hidden="1" customHeight="1">
      <c r="K816" s="5">
        <v>46104</v>
      </c>
      <c r="L816" s="8" t="s">
        <v>225</v>
      </c>
      <c r="M816" s="22" t="str">
        <f>IF(Tabela1[[#This Row],[Motorista]]="","",IFERROR(_xlfn.XLOOKUP(Tabela1[[#This Row],[Motorista]],Base!A:A,Base!B:B),""))</f>
        <v>FOB</v>
      </c>
      <c r="N816" s="20" t="str">
        <f t="shared" si="28"/>
        <v/>
      </c>
      <c r="O8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16" s="16"/>
      <c r="S816" s="16"/>
      <c r="T816" s="14" t="str">
        <f>IF(OR(Tabela1[[#This Row],[Entrada]]="",Tabela1[[#This Row],[Saída]]=""), "", Tabela1[[#This Row],[Saída]]-Tabela1[[#This Row],[Entrada]])</f>
        <v/>
      </c>
      <c r="U816" s="15" t="str">
        <f>IF(OR('Controle de CT'!$R816= "", 'Controle de CT'!$P816= ""), "", 'Controle de CT'!$R816-'Controle de CT'!$P816)</f>
        <v/>
      </c>
      <c r="V816" s="1"/>
      <c r="W816" s="2"/>
      <c r="X816" s="2"/>
    </row>
    <row r="817" spans="11:24" ht="15" hidden="1" customHeight="1">
      <c r="K817" s="5">
        <v>46104</v>
      </c>
      <c r="L817" s="8" t="s">
        <v>126</v>
      </c>
      <c r="M817" s="22" t="str">
        <f>IF(Tabela1[[#This Row],[Motorista]]="","",IFERROR(_xlfn.XLOOKUP(Tabela1[[#This Row],[Motorista]],Base!A:A,Base!B:B),""))</f>
        <v>Transferência</v>
      </c>
      <c r="N817" s="20" t="str">
        <f t="shared" si="28"/>
        <v/>
      </c>
      <c r="O8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17" s="16"/>
      <c r="S817" s="16"/>
      <c r="T817" s="14" t="str">
        <f>IF(OR(Tabela1[[#This Row],[Entrada]]="",Tabela1[[#This Row],[Saída]]=""), "", Tabela1[[#This Row],[Saída]]-Tabela1[[#This Row],[Entrada]])</f>
        <v/>
      </c>
      <c r="U817" s="15" t="str">
        <f>IF(OR('Controle de CT'!$R817= "", 'Controle de CT'!$P817= ""), "", 'Controle de CT'!$R817-'Controle de CT'!$P817)</f>
        <v/>
      </c>
      <c r="V817" s="1" t="s">
        <v>226</v>
      </c>
      <c r="W817" s="2"/>
      <c r="X817" s="2"/>
    </row>
    <row r="818" spans="11:24" ht="15" hidden="1" customHeight="1">
      <c r="K818" s="5">
        <v>46104</v>
      </c>
      <c r="L818" s="8" t="s">
        <v>163</v>
      </c>
      <c r="M818" s="22" t="str">
        <f>IF(Tabela1[[#This Row],[Motorista]]="","",IFERROR(_xlfn.XLOOKUP(Tabela1[[#This Row],[Motorista]],Base!A:A,Base!B:B),""))</f>
        <v>Transferência</v>
      </c>
      <c r="N818" s="20" t="str">
        <f t="shared" si="28"/>
        <v/>
      </c>
      <c r="O8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18" s="16"/>
      <c r="S818" s="16"/>
      <c r="T818" s="14" t="str">
        <f>IF(OR(Tabela1[[#This Row],[Entrada]]="",Tabela1[[#This Row],[Saída]]=""), "", Tabela1[[#This Row],[Saída]]-Tabela1[[#This Row],[Entrada]])</f>
        <v/>
      </c>
      <c r="U818" s="15" t="str">
        <f>IF(OR('Controle de CT'!$R818= "", 'Controle de CT'!$P818= ""), "", 'Controle de CT'!$R818-'Controle de CT'!$P818)</f>
        <v/>
      </c>
      <c r="V818" s="1" t="s">
        <v>226</v>
      </c>
      <c r="W818" s="2"/>
      <c r="X818" s="2"/>
    </row>
    <row r="819" spans="11:24" ht="15" hidden="1" customHeight="1">
      <c r="K819" s="5">
        <v>46104</v>
      </c>
      <c r="L819" s="8" t="s">
        <v>107</v>
      </c>
      <c r="M819" s="22" t="str">
        <f>IF(Tabela1[[#This Row],[Motorista]]="","",IFERROR(_xlfn.XLOOKUP(Tabela1[[#This Row],[Motorista]],Base!A:A,Base!B:B),""))</f>
        <v>FOB</v>
      </c>
      <c r="N819" s="20" t="str">
        <f t="shared" ref="N819:N822" si="30">IF(R819&lt;&gt;"","Finalizado", IF(Q819&lt;&gt;"","Fila de Carregamento", IF(P819&lt;&gt;"","Aguardando Entrada","")))</f>
        <v/>
      </c>
      <c r="O8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19" s="16"/>
      <c r="S819" s="16"/>
      <c r="T819" s="14" t="str">
        <f>IF(OR(Tabela1[[#This Row],[Entrada]]="",Tabela1[[#This Row],[Saída]]=""), "", Tabela1[[#This Row],[Saída]]-Tabela1[[#This Row],[Entrada]])</f>
        <v/>
      </c>
      <c r="U819" s="15" t="str">
        <f>IF(OR('Controle de CT'!$R819= "", 'Controle de CT'!$P819= ""), "", 'Controle de CT'!$R819-'Controle de CT'!$P819)</f>
        <v/>
      </c>
      <c r="V819" s="1" t="s">
        <v>226</v>
      </c>
      <c r="W819" s="2"/>
      <c r="X819" s="2"/>
    </row>
    <row r="820" spans="11:24" ht="15" hidden="1" customHeight="1">
      <c r="K820" s="5">
        <v>46104</v>
      </c>
      <c r="L820" s="8" t="s">
        <v>102</v>
      </c>
      <c r="M820" s="22" t="str">
        <f>IF(Tabela1[[#This Row],[Motorista]]="","",IFERROR(_xlfn.XLOOKUP(Tabela1[[#This Row],[Motorista]],Base!A:A,Base!B:B),""))</f>
        <v>Transferência</v>
      </c>
      <c r="N820" s="20" t="str">
        <f t="shared" si="30"/>
        <v/>
      </c>
      <c r="O8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20" s="16"/>
      <c r="S820" s="16"/>
      <c r="T820" s="14" t="str">
        <f>IF(OR(Tabela1[[#This Row],[Entrada]]="",Tabela1[[#This Row],[Saída]]=""), "", Tabela1[[#This Row],[Saída]]-Tabela1[[#This Row],[Entrada]])</f>
        <v/>
      </c>
      <c r="U820" s="15" t="str">
        <f>IF(OR('Controle de CT'!$R820= "", 'Controle de CT'!$P820= ""), "", 'Controle de CT'!$R820-'Controle de CT'!$P820)</f>
        <v/>
      </c>
      <c r="V820" s="1" t="s">
        <v>226</v>
      </c>
      <c r="W820" s="2"/>
      <c r="X820" s="2"/>
    </row>
    <row r="821" spans="11:24" ht="15" hidden="1" customHeight="1">
      <c r="K821" s="5">
        <v>46104</v>
      </c>
      <c r="L821" s="8" t="s">
        <v>96</v>
      </c>
      <c r="M821" s="22" t="str">
        <f>IF(Tabela1[[#This Row],[Motorista]]="","",IFERROR(_xlfn.XLOOKUP(Tabela1[[#This Row],[Motorista]],Base!A:A,Base!B:B),""))</f>
        <v>Transferência</v>
      </c>
      <c r="N821" s="20" t="str">
        <f t="shared" si="30"/>
        <v/>
      </c>
      <c r="O8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21" s="16"/>
      <c r="S821" s="16"/>
      <c r="T821" s="14" t="str">
        <f>IF(OR(Tabela1[[#This Row],[Entrada]]="",Tabela1[[#This Row],[Saída]]=""), "", Tabela1[[#This Row],[Saída]]-Tabela1[[#This Row],[Entrada]])</f>
        <v/>
      </c>
      <c r="U821" s="15" t="str">
        <f>IF(OR('Controle de CT'!$R821= "", 'Controle de CT'!$P821= ""), "", 'Controle de CT'!$R821-'Controle de CT'!$P821)</f>
        <v/>
      </c>
      <c r="V821" s="1" t="s">
        <v>226</v>
      </c>
      <c r="W821" s="2"/>
      <c r="X821" s="2"/>
    </row>
    <row r="822" spans="11:24" ht="15" hidden="1" customHeight="1">
      <c r="K822" s="5">
        <v>46104</v>
      </c>
      <c r="L822" s="8" t="s">
        <v>90</v>
      </c>
      <c r="M822" s="22" t="str">
        <f>IF(Tabela1[[#This Row],[Motorista]]="","",IFERROR(_xlfn.XLOOKUP(Tabela1[[#This Row],[Motorista]],Base!A:A,Base!B:B),""))</f>
        <v>FOB</v>
      </c>
      <c r="N822" s="20" t="str">
        <f t="shared" si="30"/>
        <v/>
      </c>
      <c r="O8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22" s="16"/>
      <c r="S822" s="16"/>
      <c r="T822" s="14" t="str">
        <f>IF(OR(Tabela1[[#This Row],[Entrada]]="",Tabela1[[#This Row],[Saída]]=""), "", Tabela1[[#This Row],[Saída]]-Tabela1[[#This Row],[Entrada]])</f>
        <v/>
      </c>
      <c r="U822" s="15" t="str">
        <f>IF(OR('Controle de CT'!$R822= "", 'Controle de CT'!$P822= ""), "", 'Controle de CT'!$R822-'Controle de CT'!$P822)</f>
        <v/>
      </c>
      <c r="V822" s="1"/>
      <c r="W822" s="2"/>
      <c r="X822" s="2"/>
    </row>
    <row r="823" spans="11:24" ht="15" hidden="1" customHeight="1">
      <c r="K823" s="5">
        <v>46105</v>
      </c>
      <c r="L823" s="8" t="s">
        <v>227</v>
      </c>
      <c r="M823" s="22" t="str">
        <f>IF(Tabela1[[#This Row],[Motorista]]="","",IFERROR(_xlfn.XLOOKUP(Tabela1[[#This Row],[Motorista]],Base!A:A,Base!B:B),""))</f>
        <v>FOB</v>
      </c>
      <c r="N823" s="20" t="str">
        <f>IF(R823&lt;&gt;"","Finalizado", IF(Q823&lt;&gt;"","Fila de Carregamento", IF(P823&lt;&gt;"","Aguardando Entrada","")))</f>
        <v>Finalizado</v>
      </c>
      <c r="O8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3" s="2">
        <v>0.23402777777777778</v>
      </c>
      <c r="Q823" s="2">
        <v>0.2638888888888889</v>
      </c>
      <c r="R823" s="16">
        <v>0.34722222222222221</v>
      </c>
      <c r="S823" s="16"/>
      <c r="T823" s="14">
        <f>IF(OR(Tabela1[[#This Row],[Entrada]]="",Tabela1[[#This Row],[Saída]]=""), "", Tabela1[[#This Row],[Saída]]-Tabela1[[#This Row],[Entrada]])</f>
        <v>8.3333333333333315E-2</v>
      </c>
      <c r="U823" s="15">
        <f>IF(OR('Controle de CT'!$R823= "", 'Controle de CT'!$P823= ""), "", 'Controle de CT'!$R823-'Controle de CT'!$P823)</f>
        <v>0.11319444444444443</v>
      </c>
      <c r="V823" s="1" t="s">
        <v>228</v>
      </c>
      <c r="W823" s="2"/>
      <c r="X823" s="2"/>
    </row>
    <row r="824" spans="11:24" ht="15" hidden="1" customHeight="1">
      <c r="K824" s="5">
        <v>46105</v>
      </c>
      <c r="L824" s="8" t="s">
        <v>58</v>
      </c>
      <c r="M824" s="22" t="str">
        <f>IF(Tabela1[[#This Row],[Motorista]]="","",IFERROR(_xlfn.XLOOKUP(Tabela1[[#This Row],[Motorista]],Base!A:A,Base!B:B),""))</f>
        <v xml:space="preserve">CIF </v>
      </c>
      <c r="N824" s="20" t="e">
        <f>IF(#REF!&lt;&gt;"","Finalizado", IF(#REF!&lt;&gt;"","Fila de Carregamento", IF(P824&lt;&gt;"","Aguardando Entrada","")))</f>
        <v>#REF!</v>
      </c>
      <c r="O8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4" s="2">
        <v>0.24930555555555556</v>
      </c>
      <c r="Q824" s="2">
        <v>0.25347222222222221</v>
      </c>
      <c r="R824" s="16">
        <v>0.31041666666666667</v>
      </c>
      <c r="S824" s="16"/>
      <c r="T824" s="14">
        <f>IF(OR(Tabela1[[#This Row],[Entrada]]="",Tabela1[[#This Row],[Saída]]=""), "", Tabela1[[#This Row],[Saída]]-Tabela1[[#This Row],[Entrada]])</f>
        <v>5.6944444444444464E-2</v>
      </c>
      <c r="U824" s="15" t="e">
        <f>IF(OR('Controle de CT'!#REF!= "", 'Controle de CT'!$P824= ""), "", 'Controle de CT'!#REF!-'Controle de CT'!$P824)</f>
        <v>#REF!</v>
      </c>
      <c r="V824" s="1"/>
      <c r="W824" s="2"/>
      <c r="X824" s="2"/>
    </row>
    <row r="825" spans="11:24" ht="15" hidden="1" customHeight="1">
      <c r="K825" s="5">
        <v>46105</v>
      </c>
      <c r="L825" s="8" t="s">
        <v>42</v>
      </c>
      <c r="M825" s="22" t="str">
        <f>IF(Tabela1[[#This Row],[Motorista]]="","",IFERROR(_xlfn.XLOOKUP(Tabela1[[#This Row],[Motorista]],Base!A:A,Base!B:B),""))</f>
        <v>CIF</v>
      </c>
      <c r="N825" s="20" t="str">
        <f>IF(R824&lt;&gt;"","Finalizado", IF(Q824&lt;&gt;"","Fila de Carregamento", IF(P825&lt;&gt;"","Aguardando Entrada","")))</f>
        <v>Finalizado</v>
      </c>
      <c r="O8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25" s="2">
        <v>0.25763888888888886</v>
      </c>
      <c r="Q825" s="4">
        <v>0.2638888888888889</v>
      </c>
      <c r="R825" s="23">
        <v>0.30902777777777779</v>
      </c>
      <c r="S825" s="16"/>
      <c r="T825" s="14">
        <f>IF(OR(Tabela1[[#This Row],[Entrada]]="",Tabela1[[#This Row],[Saída]]=""), "", Tabela1[[#This Row],[Saída]]-Tabela1[[#This Row],[Entrada]])</f>
        <v>4.5138888888888895E-2</v>
      </c>
      <c r="U825" s="15">
        <f>IF(OR('Controle de CT'!$R824= "", 'Controle de CT'!$P825= ""), "", 'Controle de CT'!$R824-'Controle de CT'!$P825)</f>
        <v>5.2777777777777812E-2</v>
      </c>
      <c r="V825" s="1"/>
      <c r="W825" s="2"/>
      <c r="X825" s="2"/>
    </row>
    <row r="826" spans="11:24" ht="15.75" hidden="1" customHeight="1">
      <c r="K826" s="5">
        <v>46105</v>
      </c>
      <c r="L826" s="8" t="s">
        <v>47</v>
      </c>
      <c r="M826" s="22" t="str">
        <f>IF(Tabela1[[#This Row],[Motorista]]="","",IFERROR(_xlfn.XLOOKUP(Tabela1[[#This Row],[Motorista]],Base!A:A,Base!B:B),""))</f>
        <v>CIF</v>
      </c>
      <c r="N826" s="20" t="str">
        <f t="shared" ref="N826:N846" si="31">IF(R826&lt;&gt;"","Finalizado", IF(Q826&lt;&gt;"","Fila de Carregamento", IF(P826&lt;&gt;"","Aguardando Entrada","")))</f>
        <v>Finalizado</v>
      </c>
      <c r="O8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6" s="2">
        <v>0.26041666666666669</v>
      </c>
      <c r="Q826" s="2">
        <v>0.26874999999999999</v>
      </c>
      <c r="R826" s="16">
        <v>0.33750000000000002</v>
      </c>
      <c r="S826" s="16"/>
      <c r="T826" s="14">
        <f>IF(OR(Tabela1[[#This Row],[Entrada]]="",Tabela1[[#This Row],[Saída]]=""), "", Tabela1[[#This Row],[Saída]]-Tabela1[[#This Row],[Entrada]])</f>
        <v>6.8750000000000033E-2</v>
      </c>
      <c r="U826" s="15">
        <f>IF(OR('Controle de CT'!$R826= "", 'Controle de CT'!$P826= ""), "", 'Controle de CT'!$R826-'Controle de CT'!$P826)</f>
        <v>7.7083333333333337E-2</v>
      </c>
      <c r="V826" s="1"/>
      <c r="W826" s="2"/>
      <c r="X826" s="2"/>
    </row>
    <row r="827" spans="11:24" ht="15" hidden="1" customHeight="1">
      <c r="K827" s="5">
        <v>46105</v>
      </c>
      <c r="L827" s="8" t="s">
        <v>57</v>
      </c>
      <c r="M827" s="22" t="str">
        <f>IF(Tabela1[[#This Row],[Motorista]]="","",IFERROR(_xlfn.XLOOKUP(Tabela1[[#This Row],[Motorista]],Base!A:A,Base!B:B),""))</f>
        <v>CIF</v>
      </c>
      <c r="N827" s="20" t="str">
        <f t="shared" si="31"/>
        <v>Finalizado</v>
      </c>
      <c r="O8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7" s="2">
        <v>0.26458333333333334</v>
      </c>
      <c r="Q827" s="2">
        <v>0.27916666666666667</v>
      </c>
      <c r="R827" s="16">
        <v>0.32361111111111113</v>
      </c>
      <c r="S827" s="16"/>
      <c r="T827" s="14">
        <f>IF(OR(Tabela1[[#This Row],[Entrada]]="",Tabela1[[#This Row],[Saída]]=""), "", Tabela1[[#This Row],[Saída]]-Tabela1[[#This Row],[Entrada]])</f>
        <v>4.4444444444444453E-2</v>
      </c>
      <c r="U827" s="15">
        <f>IF(OR('Controle de CT'!$R827= "", 'Controle de CT'!$P827= ""), "", 'Controle de CT'!$R827-'Controle de CT'!$P827)</f>
        <v>5.902777777777779E-2</v>
      </c>
      <c r="V827" s="1"/>
      <c r="W827" s="2"/>
      <c r="X827" s="2"/>
    </row>
    <row r="828" spans="11:24" ht="15" hidden="1" customHeight="1">
      <c r="K828" s="5">
        <v>46105</v>
      </c>
      <c r="L828" s="8" t="s">
        <v>130</v>
      </c>
      <c r="M828" s="22" t="str">
        <f>IF(Tabela1[[#This Row],[Motorista]]="","",IFERROR(_xlfn.XLOOKUP(Tabela1[[#This Row],[Motorista]],Base!A:A,Base!B:B),""))</f>
        <v>RZD</v>
      </c>
      <c r="N828" s="20" t="str">
        <f t="shared" si="31"/>
        <v>Finalizado</v>
      </c>
      <c r="O8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8" s="2">
        <v>0.26111111111111113</v>
      </c>
      <c r="Q828" s="2">
        <v>0.39027777777777778</v>
      </c>
      <c r="R828" s="16">
        <v>0.42430555555555555</v>
      </c>
      <c r="S828" s="16"/>
      <c r="T828" s="14">
        <f>IF(OR(Tabela1[[#This Row],[Entrada]]="",Tabela1[[#This Row],[Saída]]=""), "", Tabela1[[#This Row],[Saída]]-Tabela1[[#This Row],[Entrada]])</f>
        <v>3.4027777777777768E-2</v>
      </c>
      <c r="U828" s="15">
        <f>IF(OR('Controle de CT'!$R830= "", 'Controle de CT'!$P830= ""), "", 'Controle de CT'!$R830-'Controle de CT'!$P830)</f>
        <v>9.0972222222222232E-2</v>
      </c>
      <c r="V828" s="1"/>
      <c r="W828" s="2"/>
      <c r="X828" s="2"/>
    </row>
    <row r="829" spans="11:24" ht="15" hidden="1" customHeight="1">
      <c r="K829" s="5">
        <v>46105</v>
      </c>
      <c r="L829" s="8" t="s">
        <v>95</v>
      </c>
      <c r="M829" s="22" t="str">
        <f>IF(Tabela1[[#This Row],[Motorista]]="","",IFERROR(_xlfn.XLOOKUP(Tabela1[[#This Row],[Motorista]],Base!A:A,Base!B:B),""))</f>
        <v>FOB</v>
      </c>
      <c r="N829" s="20" t="str">
        <f t="shared" si="31"/>
        <v>Finalizado</v>
      </c>
      <c r="O8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29" s="2">
        <v>0.27083333333333331</v>
      </c>
      <c r="Q829" s="2">
        <v>0.27777777777777779</v>
      </c>
      <c r="R829" s="16">
        <v>0.31458333333333333</v>
      </c>
      <c r="S829" s="16"/>
      <c r="T829" s="14">
        <f>IF(OR(Tabela1[[#This Row],[Entrada]]="",Tabela1[[#This Row],[Saída]]=""), "", Tabela1[[#This Row],[Saída]]-Tabela1[[#This Row],[Entrada]])</f>
        <v>3.6805555555555536E-2</v>
      </c>
      <c r="U829" s="15">
        <f>IF(OR('Controle de CT'!$R829= "", 'Controle de CT'!$P829= ""), "", 'Controle de CT'!$R829-'Controle de CT'!$P829)</f>
        <v>4.3750000000000011E-2</v>
      </c>
      <c r="V829" s="1"/>
      <c r="W829" s="2"/>
      <c r="X829" s="2"/>
    </row>
    <row r="830" spans="11:24" ht="15" hidden="1" customHeight="1">
      <c r="K830" s="5">
        <v>46105</v>
      </c>
      <c r="L830" s="8" t="s">
        <v>183</v>
      </c>
      <c r="M830" s="22" t="str">
        <f>IF(Tabela1[[#This Row],[Motorista]]="","",IFERROR(_xlfn.XLOOKUP(Tabela1[[#This Row],[Motorista]],Base!A:A,Base!B:B),""))</f>
        <v>FOB</v>
      </c>
      <c r="N830" s="20" t="str">
        <f t="shared" si="31"/>
        <v>Finalizado</v>
      </c>
      <c r="O8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0" s="2">
        <v>0.28402777777777777</v>
      </c>
      <c r="Q830" s="2">
        <v>0.28472222222222221</v>
      </c>
      <c r="R830" s="16">
        <v>0.375</v>
      </c>
      <c r="S830" s="16"/>
      <c r="T830" s="14">
        <f>IF(OR(Tabela1[[#This Row],[Entrada]]="",Tabela1[[#This Row],[Saída]]=""), "", Tabela1[[#This Row],[Saída]]-Tabela1[[#This Row],[Entrada]])</f>
        <v>9.027777777777779E-2</v>
      </c>
      <c r="U830" s="15">
        <f>IF(OR('Controle de CT'!$R828= "", 'Controle de CT'!$P828= ""), "", 'Controle de CT'!$R828-'Controle de CT'!$P828)</f>
        <v>0.16319444444444442</v>
      </c>
      <c r="V830" s="1" t="s">
        <v>229</v>
      </c>
      <c r="W830" s="2"/>
      <c r="X830" s="2"/>
    </row>
    <row r="831" spans="11:24" ht="15" hidden="1" customHeight="1">
      <c r="K831" s="5">
        <v>46105</v>
      </c>
      <c r="L831" s="8" t="s">
        <v>86</v>
      </c>
      <c r="M831" s="22" t="str">
        <f>IF(Tabela1[[#This Row],[Motorista]]="","",IFERROR(_xlfn.XLOOKUP(Tabela1[[#This Row],[Motorista]],Base!A:A,Base!B:B),""))</f>
        <v>FOB</v>
      </c>
      <c r="N831" s="20" t="str">
        <f t="shared" si="31"/>
        <v>Finalizado</v>
      </c>
      <c r="O8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31" s="2">
        <v>0.28055555555555556</v>
      </c>
      <c r="Q831" s="2">
        <v>0.32777777777777778</v>
      </c>
      <c r="R831" s="16">
        <v>0.36805555555555558</v>
      </c>
      <c r="S831" s="16"/>
      <c r="T831" s="14">
        <f>IF(OR(Tabela1[[#This Row],[Entrada]]="",Tabela1[[#This Row],[Saída]]=""), "", Tabela1[[#This Row],[Saída]]-Tabela1[[#This Row],[Entrada]])</f>
        <v>4.0277777777777801E-2</v>
      </c>
      <c r="U831" s="15">
        <f>IF(OR('Controle de CT'!$R831= "", 'Controle de CT'!$P831= ""), "", 'Controle de CT'!$R831-'Controle de CT'!$P831)</f>
        <v>8.7500000000000022E-2</v>
      </c>
      <c r="V831" s="1"/>
      <c r="W831" s="2"/>
      <c r="X831" s="2"/>
    </row>
    <row r="832" spans="11:24" ht="15" hidden="1" customHeight="1">
      <c r="K832" s="5">
        <v>46105</v>
      </c>
      <c r="L832" s="8" t="s">
        <v>123</v>
      </c>
      <c r="M832" s="22" t="str">
        <f>IF(Tabela1[[#This Row],[Motorista]]="","",IFERROR(_xlfn.XLOOKUP(Tabela1[[#This Row],[Motorista]],Base!A:A,Base!B:B),""))</f>
        <v>RZD</v>
      </c>
      <c r="N832" s="20" t="str">
        <f t="shared" si="31"/>
        <v>Finalizado</v>
      </c>
      <c r="O8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2" s="2">
        <v>0.31944444444444442</v>
      </c>
      <c r="Q832" s="2">
        <v>0.41944444444444445</v>
      </c>
      <c r="R832" s="16">
        <v>0.44374999999999998</v>
      </c>
      <c r="S832" s="16"/>
      <c r="T832" s="14">
        <f>IF(OR(Tabela1[[#This Row],[Entrada]]="",Tabela1[[#This Row],[Saída]]=""), "", Tabela1[[#This Row],[Saída]]-Tabela1[[#This Row],[Entrada]])</f>
        <v>2.4305555555555525E-2</v>
      </c>
      <c r="U832" s="15">
        <f>IF(OR('Controle de CT'!$R839= "", 'Controle de CT'!$P839= ""), "", 'Controle de CT'!$R839-'Controle de CT'!$P839)</f>
        <v>0.12569444444444444</v>
      </c>
      <c r="V832" s="1"/>
      <c r="W832" s="2"/>
      <c r="X832" s="2"/>
    </row>
    <row r="833" spans="11:24" ht="15" hidden="1" customHeight="1">
      <c r="K833" s="5">
        <v>46105</v>
      </c>
      <c r="L833" s="8" t="s">
        <v>121</v>
      </c>
      <c r="M833" s="22" t="str">
        <f>IF(Tabela1[[#This Row],[Motorista]]="","",IFERROR(_xlfn.XLOOKUP(Tabela1[[#This Row],[Motorista]],Base!A:A,Base!B:B),""))</f>
        <v>CIF</v>
      </c>
      <c r="N833" s="20" t="str">
        <f t="shared" si="31"/>
        <v>Finalizado</v>
      </c>
      <c r="O8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3" s="2">
        <v>0.32013888888888886</v>
      </c>
      <c r="Q833" s="2">
        <v>0.39097222222222222</v>
      </c>
      <c r="R833" s="16">
        <v>0.49444444444444446</v>
      </c>
      <c r="S833" s="16"/>
      <c r="T833" s="14">
        <f>IF(OR(Tabela1[[#This Row],[Entrada]]="",Tabela1[[#This Row],[Saída]]=""), "", Tabela1[[#This Row],[Saída]]-Tabela1[[#This Row],[Entrada]])</f>
        <v>0.10347222222222224</v>
      </c>
      <c r="U833" s="15">
        <f>IF(OR('Controle de CT'!$R832= "", 'Controle de CT'!$P832= ""), "", 'Controle de CT'!$R832-'Controle de CT'!$P832)</f>
        <v>0.12430555555555556</v>
      </c>
      <c r="V833" s="1" t="s">
        <v>229</v>
      </c>
      <c r="W833" s="2"/>
      <c r="X833" s="2"/>
    </row>
    <row r="834" spans="11:24" ht="15" hidden="1" customHeight="1">
      <c r="K834" s="5">
        <v>46105</v>
      </c>
      <c r="L834" s="8" t="s">
        <v>111</v>
      </c>
      <c r="M834" s="22" t="str">
        <f>IF(Tabela1[[#This Row],[Motorista]]="","",IFERROR(_xlfn.XLOOKUP(Tabela1[[#This Row],[Motorista]],Base!A:A,Base!B:B),""))</f>
        <v>FOB</v>
      </c>
      <c r="N834" s="20" t="str">
        <f t="shared" si="31"/>
        <v>Finalizado</v>
      </c>
      <c r="O8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4" s="2">
        <v>0.33333333333333331</v>
      </c>
      <c r="Q834" s="2">
        <v>0.39791666666666664</v>
      </c>
      <c r="R834" s="16">
        <v>0.50069444444444444</v>
      </c>
      <c r="S834" s="16"/>
      <c r="T834" s="14">
        <f>IF(OR(Tabela1[[#This Row],[Entrada]]="",Tabela1[[#This Row],[Saída]]=""), "", Tabela1[[#This Row],[Saída]]-Tabela1[[#This Row],[Entrada]])</f>
        <v>0.1027777777777778</v>
      </c>
      <c r="U834" s="15" t="str">
        <f>IF(OR('Controle de CT'!$R835= "", 'Controle de CT'!$P835= ""), "", 'Controle de CT'!$R835-'Controle de CT'!$P835)</f>
        <v/>
      </c>
      <c r="V834" s="1" t="s">
        <v>230</v>
      </c>
      <c r="W834" s="2"/>
      <c r="X834" s="2"/>
    </row>
    <row r="835" spans="11:24" ht="15" hidden="1" customHeight="1">
      <c r="K835" s="5">
        <v>46105</v>
      </c>
      <c r="L835" s="8" t="s">
        <v>231</v>
      </c>
      <c r="M835" s="22" t="str">
        <f>IF(Tabela1[[#This Row],[Motorista]]="","",IFERROR(_xlfn.XLOOKUP(Tabela1[[#This Row],[Motorista]],Base!A:A,Base!B:B),""))</f>
        <v>Transferência</v>
      </c>
      <c r="N835" s="20" t="str">
        <f t="shared" si="31"/>
        <v>Aguardando Entrada</v>
      </c>
      <c r="O8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5" s="2">
        <v>0.33333333333333331</v>
      </c>
      <c r="R835" s="16"/>
      <c r="S835" s="16"/>
      <c r="T835" s="14" t="str">
        <f>IF(OR(Tabela1[[#This Row],[Entrada]]="",Tabela1[[#This Row],[Saída]]=""), "", Tabela1[[#This Row],[Saída]]-Tabela1[[#This Row],[Entrada]])</f>
        <v/>
      </c>
      <c r="U835" s="15">
        <f>IF(OR('Controle de CT'!$R836= "", 'Controle de CT'!$P836= ""), "", 'Controle de CT'!$R836-'Controle de CT'!$P836)</f>
        <v>7.9861111111111105E-2</v>
      </c>
      <c r="V835" s="1" t="s">
        <v>228</v>
      </c>
      <c r="W835" s="2"/>
      <c r="X835" s="2"/>
    </row>
    <row r="836" spans="11:24" ht="15" hidden="1" customHeight="1">
      <c r="K836" s="5">
        <v>46105</v>
      </c>
      <c r="L836" s="8" t="s">
        <v>87</v>
      </c>
      <c r="M836" s="22" t="str">
        <f>IF(Tabela1[[#This Row],[Motorista]]="","",IFERROR(_xlfn.XLOOKUP(Tabela1[[#This Row],[Motorista]],Base!A:A,Base!B:B),""))</f>
        <v>FOB</v>
      </c>
      <c r="N836" s="20" t="str">
        <f t="shared" si="31"/>
        <v>Finalizado</v>
      </c>
      <c r="O8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36" s="2">
        <v>0.33680555555555558</v>
      </c>
      <c r="Q836" s="2">
        <v>0.37291666666666667</v>
      </c>
      <c r="R836" s="16">
        <v>0.41666666666666669</v>
      </c>
      <c r="S836" s="16"/>
      <c r="T836" s="14">
        <f>IF(OR(Tabela1[[#This Row],[Entrada]]="",Tabela1[[#This Row],[Saída]]=""), "", Tabela1[[#This Row],[Saída]]-Tabela1[[#This Row],[Entrada]])</f>
        <v>4.3750000000000011E-2</v>
      </c>
      <c r="U836" s="15">
        <f>IF(OR('Controle de CT'!$R833= "", 'Controle de CT'!$P833= ""), "", 'Controle de CT'!$R833-'Controle de CT'!$P833)</f>
        <v>0.1743055555555556</v>
      </c>
      <c r="V836" s="1"/>
      <c r="W836" s="2"/>
      <c r="X836" s="2"/>
    </row>
    <row r="837" spans="11:24" ht="15" hidden="1" customHeight="1">
      <c r="K837" s="5">
        <v>46105</v>
      </c>
      <c r="L837" s="8" t="s">
        <v>174</v>
      </c>
      <c r="M837" s="22" t="str">
        <f>IF(Tabela1[[#This Row],[Motorista]]="","",IFERROR(_xlfn.XLOOKUP(Tabela1[[#This Row],[Motorista]],Base!A:A,Base!B:B),""))</f>
        <v>RZD</v>
      </c>
      <c r="N837" s="20" t="str">
        <f t="shared" si="31"/>
        <v>Aguardando Entrada</v>
      </c>
      <c r="O8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7" s="2">
        <v>0.34375</v>
      </c>
      <c r="R837" s="16"/>
      <c r="S837" s="16"/>
      <c r="T837" s="14" t="str">
        <f>IF(OR(Tabela1[[#This Row],[Entrada]]="",Tabela1[[#This Row],[Saída]]=""), "", Tabela1[[#This Row],[Saída]]-Tabela1[[#This Row],[Entrada]])</f>
        <v/>
      </c>
      <c r="U837" s="15">
        <f>IF(OR('Controle de CT'!$R838= "", 'Controle de CT'!$P838= ""), "", 'Controle de CT'!$R838-'Controle de CT'!$P838)</f>
        <v>0.19513888888888886</v>
      </c>
      <c r="V837" s="1"/>
      <c r="W837" s="2"/>
      <c r="X837" s="2"/>
    </row>
    <row r="838" spans="11:24" ht="15" hidden="1" customHeight="1">
      <c r="K838" s="5">
        <v>46105</v>
      </c>
      <c r="L838" s="8" t="s">
        <v>158</v>
      </c>
      <c r="M838" s="22" t="str">
        <f>IF(Tabela1[[#This Row],[Motorista]]="","",IFERROR(_xlfn.XLOOKUP(Tabela1[[#This Row],[Motorista]],Base!A:A,Base!B:B),""))</f>
        <v>RZD</v>
      </c>
      <c r="N838" s="20" t="str">
        <f t="shared" si="31"/>
        <v>Finalizado</v>
      </c>
      <c r="O8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8" s="2">
        <v>0.34513888888888888</v>
      </c>
      <c r="Q838" s="2">
        <v>0.47291666666666665</v>
      </c>
      <c r="R838" s="16">
        <v>0.54027777777777775</v>
      </c>
      <c r="S838" s="16"/>
      <c r="T838" s="14">
        <f>IF(OR(Tabela1[[#This Row],[Entrada]]="",Tabela1[[#This Row],[Saída]]=""), "", Tabela1[[#This Row],[Saída]]-Tabela1[[#This Row],[Entrada]])</f>
        <v>6.7361111111111094E-2</v>
      </c>
      <c r="U838" s="15">
        <f>IF(OR('Controle de CT'!$R840= "", 'Controle de CT'!$P840= ""), "", 'Controle de CT'!$R840-'Controle de CT'!$P840)</f>
        <v>7.7777777777777779E-2</v>
      </c>
      <c r="V838" s="1"/>
      <c r="W838" s="2"/>
      <c r="X838" s="2"/>
    </row>
    <row r="839" spans="11:24" ht="15" hidden="1" customHeight="1">
      <c r="K839" s="5">
        <v>46105</v>
      </c>
      <c r="L839" s="8" t="s">
        <v>145</v>
      </c>
      <c r="M839" s="22" t="str">
        <f>IF(Tabela1[[#This Row],[Motorista]]="","",IFERROR(_xlfn.XLOOKUP(Tabela1[[#This Row],[Motorista]],Base!A:A,Base!B:B),""))</f>
        <v>FOB</v>
      </c>
      <c r="N839" s="20" t="str">
        <f t="shared" si="31"/>
        <v>Finalizado</v>
      </c>
      <c r="O8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39" s="2">
        <v>0.36527777777777776</v>
      </c>
      <c r="Q839" s="2">
        <v>0.41736111111111113</v>
      </c>
      <c r="R839" s="16">
        <v>0.4909722222222222</v>
      </c>
      <c r="S839" s="16"/>
      <c r="T839" s="14">
        <f>IF(OR(Tabela1[[#This Row],[Entrada]]="",Tabela1[[#This Row],[Saída]]=""), "", Tabela1[[#This Row],[Saída]]-Tabela1[[#This Row],[Entrada]])</f>
        <v>7.3611111111111072E-2</v>
      </c>
      <c r="U839" s="15" t="str">
        <f>IF(OR('Controle de CT'!$R837= "", 'Controle de CT'!$P837= ""), "", 'Controle de CT'!$R837-'Controle de CT'!$P837)</f>
        <v/>
      </c>
      <c r="V839" s="1"/>
      <c r="W839" s="2"/>
      <c r="X839" s="2"/>
    </row>
    <row r="840" spans="11:24" ht="15" hidden="1" customHeight="1">
      <c r="K840" s="5">
        <v>46105</v>
      </c>
      <c r="L840" s="8" t="s">
        <v>90</v>
      </c>
      <c r="M840" s="22" t="str">
        <f>IF(Tabela1[[#This Row],[Motorista]]="","",IFERROR(_xlfn.XLOOKUP(Tabela1[[#This Row],[Motorista]],Base!A:A,Base!B:B),""))</f>
        <v>FOB</v>
      </c>
      <c r="N840" s="20" t="str">
        <f t="shared" si="31"/>
        <v>Finalizado</v>
      </c>
      <c r="O8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0" s="2">
        <v>0.38055555555555554</v>
      </c>
      <c r="Q840" s="2">
        <v>0.4236111111111111</v>
      </c>
      <c r="R840" s="16">
        <v>0.45833333333333331</v>
      </c>
      <c r="S840" s="16"/>
      <c r="T840" s="14">
        <f>IF(OR(Tabela1[[#This Row],[Entrada]]="",Tabela1[[#This Row],[Saída]]=""), "", Tabela1[[#This Row],[Saída]]-Tabela1[[#This Row],[Entrada]])</f>
        <v>3.472222222222221E-2</v>
      </c>
      <c r="U840" s="15" t="str">
        <f>IF(OR('Controle de CT'!$R841= "", 'Controle de CT'!$P841= ""), "", 'Controle de CT'!$R841-'Controle de CT'!$P841)</f>
        <v/>
      </c>
      <c r="V840" s="1"/>
      <c r="W840" s="2"/>
      <c r="X840" s="2"/>
    </row>
    <row r="841" spans="11:24" ht="15" hidden="1" customHeight="1">
      <c r="K841" s="5">
        <v>46105</v>
      </c>
      <c r="L841" s="8" t="s">
        <v>54</v>
      </c>
      <c r="M841" s="22" t="str">
        <f>IF(Tabela1[[#This Row],[Motorista]]="","",IFERROR(_xlfn.XLOOKUP(Tabela1[[#This Row],[Motorista]],Base!A:A,Base!B:B),""))</f>
        <v>CIF</v>
      </c>
      <c r="N841" s="20" t="str">
        <f t="shared" si="31"/>
        <v>Aguardando Entrada</v>
      </c>
      <c r="O8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1" s="2">
        <v>0.38750000000000001</v>
      </c>
      <c r="R841" s="16"/>
      <c r="S841" s="16"/>
      <c r="T841" s="14" t="str">
        <f>IF(OR(Tabela1[[#This Row],[Entrada]]="",Tabela1[[#This Row],[Saída]]=""), "", Tabela1[[#This Row],[Saída]]-Tabela1[[#This Row],[Entrada]])</f>
        <v/>
      </c>
      <c r="U841" s="15">
        <f>IF(OR('Controle de CT'!$R834= "", 'Controle de CT'!$P834= ""), "", 'Controle de CT'!$R834-'Controle de CT'!$P834)</f>
        <v>0.16736111111111113</v>
      </c>
      <c r="V841" s="1" t="s">
        <v>232</v>
      </c>
      <c r="W841" s="2"/>
      <c r="X841" s="2"/>
    </row>
    <row r="842" spans="11:24" ht="15" hidden="1" customHeight="1">
      <c r="K842" s="5">
        <v>46105</v>
      </c>
      <c r="L842" s="8" t="s">
        <v>162</v>
      </c>
      <c r="M842" s="22" t="str">
        <f>IF(Tabela1[[#This Row],[Motorista]]="","",IFERROR(_xlfn.XLOOKUP(Tabela1[[#This Row],[Motorista]],Base!A:A,Base!B:B),""))</f>
        <v>FOB</v>
      </c>
      <c r="N842" s="20" t="str">
        <f t="shared" si="31"/>
        <v>Fila de Carregamento</v>
      </c>
      <c r="O8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42" s="2">
        <v>0.39444444444444443</v>
      </c>
      <c r="Q842" s="2">
        <v>0.4465277777777778</v>
      </c>
      <c r="R842" s="16"/>
      <c r="S842" s="16"/>
      <c r="T842" s="14" t="str">
        <f>IF(OR(Tabela1[[#This Row],[Entrada]]="",Tabela1[[#This Row],[Saída]]=""), "", Tabela1[[#This Row],[Saída]]-Tabela1[[#This Row],[Entrada]])</f>
        <v/>
      </c>
      <c r="U842" s="15" t="str">
        <f>IF(OR('Controle de CT'!$R842= "", 'Controle de CT'!$P842= ""), "", 'Controle de CT'!$R842-'Controle de CT'!$P842)</f>
        <v/>
      </c>
      <c r="V842" s="1"/>
      <c r="W842" s="2"/>
      <c r="X842" s="2"/>
    </row>
    <row r="843" spans="11:24" ht="15" hidden="1" customHeight="1">
      <c r="K843" s="5">
        <v>46105</v>
      </c>
      <c r="L843" s="8" t="s">
        <v>91</v>
      </c>
      <c r="M843" s="22" t="str">
        <f>IF(Tabela1[[#This Row],[Motorista]]="","",IFERROR(_xlfn.XLOOKUP(Tabela1[[#This Row],[Motorista]],Base!A:A,Base!B:B),""))</f>
        <v>FOB</v>
      </c>
      <c r="N843" s="20" t="str">
        <f t="shared" si="31"/>
        <v>Finalizado</v>
      </c>
      <c r="O8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3" s="2">
        <v>0.41180555555555554</v>
      </c>
      <c r="Q843" s="2">
        <v>0.5180555555555556</v>
      </c>
      <c r="R843" s="16">
        <v>0.57986111111111116</v>
      </c>
      <c r="S843" s="16"/>
      <c r="T843" s="14">
        <f>IF(OR(Tabela1[[#This Row],[Entrada]]="",Tabela1[[#This Row],[Saída]]=""), "", Tabela1[[#This Row],[Saída]]-Tabela1[[#This Row],[Entrada]])</f>
        <v>6.1805555555555558E-2</v>
      </c>
      <c r="U843" s="15">
        <f>IF(OR('Controle de CT'!$R843= "", 'Controle de CT'!$P843= ""), "", 'Controle de CT'!$R843-'Controle de CT'!$P843)</f>
        <v>0.16805555555555562</v>
      </c>
      <c r="V843" s="1"/>
      <c r="W843" s="2"/>
      <c r="X843" s="2"/>
    </row>
    <row r="844" spans="11:24" ht="15" hidden="1" customHeight="1">
      <c r="K844" s="5">
        <v>46105</v>
      </c>
      <c r="L844" t="s">
        <v>233</v>
      </c>
      <c r="M844" t="s">
        <v>63</v>
      </c>
      <c r="N844" s="20" t="str">
        <f t="shared" si="31"/>
        <v>Aguardando Entrada</v>
      </c>
      <c r="O8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4" s="4">
        <v>0.41458333333333336</v>
      </c>
      <c r="Q844" s="4"/>
      <c r="R844" s="23"/>
      <c r="S844" s="16"/>
      <c r="T844" s="14" t="str">
        <f>IF(OR(Tabela1[[#This Row],[Entrada]]="",Tabela1[[#This Row],[Saída]]=""), "", Tabela1[[#This Row],[Saída]]-Tabela1[[#This Row],[Entrada]])</f>
        <v/>
      </c>
      <c r="U844" s="15" t="str">
        <f>IF(OR('Controle de CT'!$R844= "", 'Controle de CT'!$P844= ""), "", 'Controle de CT'!$R844-'Controle de CT'!$P844)</f>
        <v/>
      </c>
      <c r="V844" s="1" t="s">
        <v>226</v>
      </c>
      <c r="W844" s="2"/>
      <c r="X844" s="2"/>
    </row>
    <row r="845" spans="11:24" ht="15" hidden="1" customHeight="1">
      <c r="K845" s="5">
        <v>46105</v>
      </c>
      <c r="L845" s="8" t="s">
        <v>98</v>
      </c>
      <c r="M845" s="22" t="str">
        <f>IF(Tabela1[[#This Row],[Motorista]]="","",IFERROR(_xlfn.XLOOKUP(Tabela1[[#This Row],[Motorista]],Base!A:A,Base!B:B),""))</f>
        <v>FOB</v>
      </c>
      <c r="N845" s="20" t="str">
        <f t="shared" si="31"/>
        <v>Aguardando Entrada</v>
      </c>
      <c r="O8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45" s="2">
        <v>0.42986111111111114</v>
      </c>
      <c r="R845" s="16"/>
      <c r="S845" s="16"/>
      <c r="T845" s="14" t="str">
        <f>IF(OR(Tabela1[[#This Row],[Entrada]]="",Tabela1[[#This Row],[Saída]]=""), "", Tabela1[[#This Row],[Saída]]-Tabela1[[#This Row],[Entrada]])</f>
        <v/>
      </c>
      <c r="U845" s="15" t="str">
        <f>IF(OR('Controle de CT'!$R845= "", 'Controle de CT'!$P845= ""), "", 'Controle de CT'!$R845-'Controle de CT'!$P845)</f>
        <v/>
      </c>
      <c r="V845" s="1"/>
      <c r="W845" s="2"/>
      <c r="X845" s="2"/>
    </row>
    <row r="846" spans="11:24" ht="15" hidden="1" customHeight="1">
      <c r="K846" s="5">
        <v>46105</v>
      </c>
      <c r="L846" s="8" t="s">
        <v>42</v>
      </c>
      <c r="M846" s="22" t="str">
        <f>IF(Tabela1[[#This Row],[Motorista]]="","",IFERROR(_xlfn.XLOOKUP(Tabela1[[#This Row],[Motorista]],Base!A:A,Base!B:B),""))</f>
        <v>CIF</v>
      </c>
      <c r="N846" s="20" t="str">
        <f t="shared" si="31"/>
        <v>Aguardando Entrada</v>
      </c>
      <c r="O8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46" s="2">
        <v>0.43125000000000002</v>
      </c>
      <c r="R846" s="16"/>
      <c r="S846" s="16"/>
      <c r="T846" s="14" t="str">
        <f>IF(OR(Tabela1[[#This Row],[Entrada]]="",Tabela1[[#This Row],[Saída]]=""), "", Tabela1[[#This Row],[Saída]]-Tabela1[[#This Row],[Entrada]])</f>
        <v/>
      </c>
      <c r="U846" s="15" t="str">
        <f>IF(OR('Controle de CT'!$R846= "", 'Controle de CT'!$P846= ""), "", 'Controle de CT'!$R846-'Controle de CT'!$P846)</f>
        <v/>
      </c>
      <c r="V846" s="1" t="s">
        <v>234</v>
      </c>
      <c r="W846" s="2"/>
      <c r="X846" s="2"/>
    </row>
    <row r="847" spans="11:24" ht="15" hidden="1" customHeight="1">
      <c r="K847" s="5">
        <v>46105</v>
      </c>
      <c r="L847" s="8" t="s">
        <v>131</v>
      </c>
      <c r="M847" s="9" t="str">
        <f>IF(Tabela1[[#This Row],[Motorista]]="","",IFERROR(_xlfn.XLOOKUP(Tabela1[[#This Row],[Motorista]],Base!A:A,Base!B:B),""))</f>
        <v>FOB</v>
      </c>
      <c r="N847" s="20" t="str">
        <f t="shared" ref="N847:N875" si="32">IF(R847&lt;&gt;"","Finalizado", IF(Q847&lt;&gt;"","Fila de Carregamento", IF(P847&lt;&gt;"","Aguardando Entrada","")))</f>
        <v>Aguardando Entrada</v>
      </c>
      <c r="O8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7" s="4">
        <v>0.43194444444444446</v>
      </c>
      <c r="Q847" s="4"/>
      <c r="R847" s="23"/>
      <c r="S847" s="16"/>
      <c r="T847" s="14" t="str">
        <f>IF(OR(Tabela1[[#This Row],[Entrada]]="",Tabela1[[#This Row],[Saída]]=""), "", Tabela1[[#This Row],[Saída]]-Tabela1[[#This Row],[Entrada]])</f>
        <v/>
      </c>
      <c r="U847" s="15" t="str">
        <f>IF(OR('Controle de CT'!$R847= "", 'Controle de CT'!$P847= ""), "", 'Controle de CT'!$R847-'Controle de CT'!$P847)</f>
        <v/>
      </c>
      <c r="V847" s="1"/>
      <c r="W847" s="2"/>
      <c r="X847" s="2"/>
    </row>
    <row r="848" spans="11:24" ht="15" hidden="1" customHeight="1">
      <c r="K848" s="5">
        <v>46105</v>
      </c>
      <c r="L848" s="61" t="s">
        <v>101</v>
      </c>
      <c r="M848" s="22" t="str">
        <f>IF(Tabela1[[#This Row],[Motorista]]="","",IFERROR(_xlfn.XLOOKUP(Tabela1[[#This Row],[Motorista]],Base!A:A,Base!B:B),""))</f>
        <v>FOB</v>
      </c>
      <c r="N848" s="20" t="str">
        <f t="shared" si="32"/>
        <v>Aguardando Entrada</v>
      </c>
      <c r="O8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48" s="2">
        <v>0.43680555555555556</v>
      </c>
      <c r="R848" s="16"/>
      <c r="S848" s="16"/>
      <c r="T848" s="14" t="str">
        <f>IF(OR(Tabela1[[#This Row],[Entrada]]="",Tabela1[[#This Row],[Saída]]=""), "", Tabela1[[#This Row],[Saída]]-Tabela1[[#This Row],[Entrada]])</f>
        <v/>
      </c>
      <c r="U848" s="15" t="str">
        <f>IF(OR('Controle de CT'!$R848= "", 'Controle de CT'!$P848= ""), "", 'Controle de CT'!$R848-'Controle de CT'!$P848)</f>
        <v/>
      </c>
      <c r="V848" s="1"/>
      <c r="W848" s="2"/>
      <c r="X848" s="2"/>
    </row>
    <row r="849" spans="11:24" ht="15" hidden="1" customHeight="1">
      <c r="K849" s="5">
        <v>46105</v>
      </c>
      <c r="L849" s="8" t="s">
        <v>98</v>
      </c>
      <c r="M849" s="22" t="str">
        <f>IF(Tabela1[[#This Row],[Motorista]]="","",IFERROR(_xlfn.XLOOKUP(Tabela1[[#This Row],[Motorista]],Base!A:A,Base!B:B),""))</f>
        <v>FOB</v>
      </c>
      <c r="N849" s="20" t="str">
        <f t="shared" si="32"/>
        <v/>
      </c>
      <c r="O8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49" s="16"/>
      <c r="S849" s="16"/>
      <c r="T849" s="14" t="str">
        <f>IF(OR(Tabela1[[#This Row],[Entrada]]="",Tabela1[[#This Row],[Saída]]=""), "", Tabela1[[#This Row],[Saída]]-Tabela1[[#This Row],[Entrada]])</f>
        <v/>
      </c>
      <c r="U849" s="15" t="str">
        <f>IF(OR('Controle de CT'!$R849= "", 'Controle de CT'!$P849= ""), "", 'Controle de CT'!$R849-'Controle de CT'!$P849)</f>
        <v/>
      </c>
      <c r="V849" s="1"/>
      <c r="W849" s="2"/>
      <c r="X849" s="2"/>
    </row>
    <row r="850" spans="11:24" ht="15" hidden="1" customHeight="1">
      <c r="K850" s="5">
        <v>46105</v>
      </c>
      <c r="L850" s="8" t="s">
        <v>92</v>
      </c>
      <c r="M850" s="22" t="str">
        <f>IF(Tabela1[[#This Row],[Motorista]]="","",IFERROR(_xlfn.XLOOKUP(Tabela1[[#This Row],[Motorista]],Base!A:A,Base!B:B),""))</f>
        <v>FOB</v>
      </c>
      <c r="N850" s="20" t="str">
        <f t="shared" si="32"/>
        <v/>
      </c>
      <c r="O8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50" s="16"/>
      <c r="S850" s="16"/>
      <c r="T850" s="14" t="str">
        <f>IF(OR(Tabela1[[#This Row],[Entrada]]="",Tabela1[[#This Row],[Saída]]=""), "", Tabela1[[#This Row],[Saída]]-Tabela1[[#This Row],[Entrada]])</f>
        <v/>
      </c>
      <c r="U850" s="15" t="str">
        <f>IF(OR('Controle de CT'!$R850= "", 'Controle de CT'!$P850= ""), "", 'Controle de CT'!$R850-'Controle de CT'!$P850)</f>
        <v/>
      </c>
      <c r="V850" s="1"/>
      <c r="W850" s="2"/>
      <c r="X850" s="2"/>
    </row>
    <row r="851" spans="11:24" ht="15" hidden="1" customHeight="1">
      <c r="K851" s="5">
        <v>46105</v>
      </c>
      <c r="L851" s="8" t="s">
        <v>87</v>
      </c>
      <c r="M851" s="22" t="str">
        <f>IF(Tabela1[[#This Row],[Motorista]]="","",IFERROR(_xlfn.XLOOKUP(Tabela1[[#This Row],[Motorista]],Base!A:A,Base!B:B),""))</f>
        <v>FOB</v>
      </c>
      <c r="N851" s="20" t="str">
        <f t="shared" si="32"/>
        <v/>
      </c>
      <c r="O8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51" s="16"/>
      <c r="S851" s="16"/>
      <c r="T851" s="14" t="str">
        <f>IF(OR(Tabela1[[#This Row],[Entrada]]="",Tabela1[[#This Row],[Saída]]=""), "", Tabela1[[#This Row],[Saída]]-Tabela1[[#This Row],[Entrada]])</f>
        <v/>
      </c>
      <c r="U851" s="15" t="str">
        <f>IF(OR('Controle de CT'!$R851= "", 'Controle de CT'!$P851= ""), "", 'Controle de CT'!$R851-'Controle de CT'!$P851)</f>
        <v/>
      </c>
      <c r="V851" s="1"/>
      <c r="W851" s="2"/>
      <c r="X851" s="2"/>
    </row>
    <row r="852" spans="11:24" ht="15" hidden="1" customHeight="1">
      <c r="K852" s="5">
        <v>46105</v>
      </c>
      <c r="L852" s="8" t="s">
        <v>86</v>
      </c>
      <c r="M852" s="22" t="str">
        <f>IF(Tabela1[[#This Row],[Motorista]]="","",IFERROR(_xlfn.XLOOKUP(Tabela1[[#This Row],[Motorista]],Base!A:A,Base!B:B),""))</f>
        <v>FOB</v>
      </c>
      <c r="N852" s="20" t="str">
        <f t="shared" si="32"/>
        <v/>
      </c>
      <c r="O8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52" s="16"/>
      <c r="S852" s="16"/>
      <c r="T852" s="14" t="str">
        <f>IF(OR(Tabela1[[#This Row],[Entrada]]="",Tabela1[[#This Row],[Saída]]=""), "", Tabela1[[#This Row],[Saída]]-Tabela1[[#This Row],[Entrada]])</f>
        <v/>
      </c>
      <c r="U852" s="15" t="str">
        <f>IF(OR('Controle de CT'!$R852= "", 'Controle de CT'!$P852= ""), "", 'Controle de CT'!$R852-'Controle de CT'!$P852)</f>
        <v/>
      </c>
      <c r="V852" s="1"/>
      <c r="W852" s="2"/>
      <c r="X852" s="2"/>
    </row>
    <row r="853" spans="11:24" ht="15" hidden="1" customHeight="1">
      <c r="K853" s="5">
        <v>46105</v>
      </c>
      <c r="L853" s="8" t="s">
        <v>235</v>
      </c>
      <c r="M853" s="22" t="str">
        <f>IF(Tabela1[[#This Row],[Motorista]]="","",IFERROR(_xlfn.XLOOKUP(Tabela1[[#This Row],[Motorista]],Base!A:A,Base!B:B),""))</f>
        <v>Transferência</v>
      </c>
      <c r="N853" s="20" t="str">
        <f t="shared" si="32"/>
        <v/>
      </c>
      <c r="O8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53" s="16"/>
      <c r="S853" s="16"/>
      <c r="T853" s="14" t="str">
        <f>IF(OR(Tabela1[[#This Row],[Entrada]]="",Tabela1[[#This Row],[Saída]]=""), "", Tabela1[[#This Row],[Saída]]-Tabela1[[#This Row],[Entrada]])</f>
        <v/>
      </c>
      <c r="U853" s="15" t="str">
        <f>IF(OR('Controle de CT'!$R853= "", 'Controle de CT'!$P853= ""), "", 'Controle de CT'!$R853-'Controle de CT'!$P853)</f>
        <v/>
      </c>
      <c r="V853" s="1"/>
      <c r="W853" s="2"/>
      <c r="X853" s="2"/>
    </row>
    <row r="854" spans="11:24" ht="15" hidden="1" customHeight="1">
      <c r="K854" s="5">
        <v>46105</v>
      </c>
      <c r="L854" s="8" t="s">
        <v>135</v>
      </c>
      <c r="M854" s="22" t="str">
        <f>IF(Tabela1[[#This Row],[Motorista]]="","",IFERROR(_xlfn.XLOOKUP(Tabela1[[#This Row],[Motorista]],Base!A:A,Base!B:B),""))</f>
        <v>Transferência</v>
      </c>
      <c r="N854" s="20" t="str">
        <f t="shared" si="32"/>
        <v/>
      </c>
      <c r="O8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54" s="16"/>
      <c r="S854" s="16"/>
      <c r="T854" s="14" t="str">
        <f>IF(OR(Tabela1[[#This Row],[Entrada]]="",Tabela1[[#This Row],[Saída]]=""), "", Tabela1[[#This Row],[Saída]]-Tabela1[[#This Row],[Entrada]])</f>
        <v/>
      </c>
      <c r="U854" s="15" t="str">
        <f>IF(OR('Controle de CT'!$R854= "", 'Controle de CT'!$P854= ""), "", 'Controle de CT'!$R854-'Controle de CT'!$P854)</f>
        <v/>
      </c>
      <c r="V854" s="1"/>
      <c r="W854" s="2"/>
      <c r="X854" s="2"/>
    </row>
    <row r="855" spans="11:24" ht="15" hidden="1" customHeight="1">
      <c r="K855" s="5">
        <v>46105</v>
      </c>
      <c r="L855" s="8" t="s">
        <v>146</v>
      </c>
      <c r="M855" s="22" t="str">
        <f>IF(Tabela1[[#This Row],[Motorista]]="","",IFERROR(_xlfn.XLOOKUP(Tabela1[[#This Row],[Motorista]],Base!A:A,Base!B:B),""))</f>
        <v>Transferência</v>
      </c>
      <c r="N855" s="20" t="str">
        <f t="shared" si="32"/>
        <v>Aguardando Entrada</v>
      </c>
      <c r="O8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55" s="2">
        <v>0.74305555555555558</v>
      </c>
      <c r="R855" s="16"/>
      <c r="S855" s="16"/>
      <c r="T855" s="14" t="str">
        <f>IF(OR(Tabela1[[#This Row],[Entrada]]="",Tabela1[[#This Row],[Saída]]=""), "", Tabela1[[#This Row],[Saída]]-Tabela1[[#This Row],[Entrada]])</f>
        <v/>
      </c>
      <c r="U855" s="15" t="str">
        <f>IF(OR('Controle de CT'!$R855= "", 'Controle de CT'!$P855= ""), "", 'Controle de CT'!$R855-'Controle de CT'!$P855)</f>
        <v/>
      </c>
      <c r="V855" s="1" t="s">
        <v>236</v>
      </c>
      <c r="W855" s="2"/>
      <c r="X855" s="2"/>
    </row>
    <row r="856" spans="11:24" ht="15" hidden="1" customHeight="1">
      <c r="K856" s="5">
        <v>46105</v>
      </c>
      <c r="L856" s="8" t="s">
        <v>132</v>
      </c>
      <c r="M856" s="22" t="str">
        <f>IF(Tabela1[[#This Row],[Motorista]]="","",IFERROR(_xlfn.XLOOKUP(Tabela1[[#This Row],[Motorista]],Base!A:A,Base!B:B),""))</f>
        <v>FOB</v>
      </c>
      <c r="N856" s="20" t="str">
        <f t="shared" si="32"/>
        <v/>
      </c>
      <c r="O8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56" s="16"/>
      <c r="S856" s="16"/>
      <c r="T856" s="14" t="str">
        <f>IF(OR(Tabela1[[#This Row],[Entrada]]="",Tabela1[[#This Row],[Saída]]=""), "", Tabela1[[#This Row],[Saída]]-Tabela1[[#This Row],[Entrada]])</f>
        <v/>
      </c>
      <c r="U856" s="15" t="str">
        <f>IF(OR('Controle de CT'!$R856= "", 'Controle de CT'!$P856= ""), "", 'Controle de CT'!$R856-'Controle de CT'!$P856)</f>
        <v/>
      </c>
      <c r="V856" s="1"/>
      <c r="W856" s="2"/>
      <c r="X856" s="2"/>
    </row>
    <row r="857" spans="11:24" ht="15" hidden="1" customHeight="1">
      <c r="K857" s="5">
        <v>46105</v>
      </c>
      <c r="L857" s="8" t="s">
        <v>162</v>
      </c>
      <c r="M857" s="22" t="str">
        <f>IF(Tabela1[[#This Row],[Motorista]]="","",IFERROR(_xlfn.XLOOKUP(Tabela1[[#This Row],[Motorista]],Base!A:A,Base!B:B),""))</f>
        <v>FOB</v>
      </c>
      <c r="N857" s="20" t="str">
        <f t="shared" si="32"/>
        <v/>
      </c>
      <c r="O8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57" s="16"/>
      <c r="S857" s="16"/>
      <c r="T857" s="14" t="str">
        <f>IF(OR(Tabela1[[#This Row],[Entrada]]="",Tabela1[[#This Row],[Saída]]=""), "", Tabela1[[#This Row],[Saída]]-Tabela1[[#This Row],[Entrada]])</f>
        <v/>
      </c>
      <c r="U857" s="15" t="str">
        <f>IF(OR('Controle de CT'!$R857= "", 'Controle de CT'!$P857= ""), "", 'Controle de CT'!$R857-'Controle de CT'!$P857)</f>
        <v/>
      </c>
      <c r="V857" s="1"/>
      <c r="W857" s="2"/>
      <c r="X857" s="2"/>
    </row>
    <row r="858" spans="11:24" ht="15" hidden="1" customHeight="1">
      <c r="K858" s="5">
        <v>46105</v>
      </c>
      <c r="L858" s="8" t="s">
        <v>146</v>
      </c>
      <c r="M858" s="22" t="str">
        <f>IF(Tabela1[[#This Row],[Motorista]]="","",IFERROR(_xlfn.XLOOKUP(Tabela1[[#This Row],[Motorista]],Base!A:A,Base!B:B),""))</f>
        <v>Transferência</v>
      </c>
      <c r="N858" s="20" t="str">
        <f t="shared" si="32"/>
        <v>Aguardando Entrada</v>
      </c>
      <c r="O8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58" s="2">
        <v>0.75416666666666665</v>
      </c>
      <c r="R858" s="16"/>
      <c r="S858" s="16"/>
      <c r="T858" s="14" t="str">
        <f>IF(OR(Tabela1[[#This Row],[Entrada]]="",Tabela1[[#This Row],[Saída]]=""), "", Tabela1[[#This Row],[Saída]]-Tabela1[[#This Row],[Entrada]])</f>
        <v/>
      </c>
      <c r="U858" s="15" t="str">
        <f>IF(OR('Controle de CT'!$R858= "", 'Controle de CT'!$P858= ""), "", 'Controle de CT'!$R858-'Controle de CT'!$P858)</f>
        <v/>
      </c>
      <c r="V858" s="1" t="s">
        <v>237</v>
      </c>
      <c r="W858" s="2"/>
      <c r="X858" s="2"/>
    </row>
    <row r="859" spans="11:24" ht="15" hidden="1" customHeight="1">
      <c r="K859" s="5">
        <v>46106</v>
      </c>
      <c r="L859" s="8" t="s">
        <v>101</v>
      </c>
      <c r="M859" s="22" t="str">
        <f>IF(Tabela1[[#This Row],[Motorista]]="","",IFERROR(_xlfn.XLOOKUP(Tabela1[[#This Row],[Motorista]],Base!A:A,Base!B:B),""))</f>
        <v>FOB</v>
      </c>
      <c r="N859" s="20" t="str">
        <f t="shared" si="32"/>
        <v>Finalizado</v>
      </c>
      <c r="O8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59" s="2">
        <v>0.21736111111111112</v>
      </c>
      <c r="Q859" s="2">
        <v>0.27083333333333331</v>
      </c>
      <c r="R859" s="16">
        <v>3.3333333333333335</v>
      </c>
      <c r="S859" s="16"/>
      <c r="T859" s="14">
        <f>IF(OR(Tabela1[[#This Row],[Entrada]]="",Tabela1[[#This Row],[Saída]]=""), "", Tabela1[[#This Row],[Saída]]-Tabela1[[#This Row],[Entrada]])</f>
        <v>3.0625</v>
      </c>
      <c r="U859" s="15">
        <f>IF(OR('Controle de CT'!$R859= "", 'Controle de CT'!$P859= ""), "", 'Controle de CT'!$R859-'Controle de CT'!$P859)</f>
        <v>3.1159722222222221</v>
      </c>
      <c r="V859" s="1"/>
      <c r="W859" s="2"/>
      <c r="X859" s="2"/>
    </row>
    <row r="860" spans="11:24" ht="15" hidden="1" customHeight="1">
      <c r="K860" s="5">
        <v>46106</v>
      </c>
      <c r="L860" s="8" t="s">
        <v>45</v>
      </c>
      <c r="M860" s="22" t="str">
        <f>IF(Tabela1[[#This Row],[Motorista]]="","",IFERROR(_xlfn.XLOOKUP(Tabela1[[#This Row],[Motorista]],Base!A:A,Base!B:B),""))</f>
        <v>CIF</v>
      </c>
      <c r="N860" s="20" t="str">
        <f t="shared" si="32"/>
        <v>Finalizado</v>
      </c>
      <c r="O8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60" s="2">
        <v>0.22430555555555556</v>
      </c>
      <c r="Q860" s="2">
        <v>0.25</v>
      </c>
      <c r="R860" s="16">
        <v>0.41666666666666669</v>
      </c>
      <c r="S860" s="16"/>
      <c r="T860" s="14">
        <f>IF(OR(Tabela1[[#This Row],[Entrada]]="",Tabela1[[#This Row],[Saída]]=""), "", Tabela1[[#This Row],[Saída]]-Tabela1[[#This Row],[Entrada]])</f>
        <v>0.16666666666666669</v>
      </c>
      <c r="U860" s="15">
        <f>IF(OR('Controle de CT'!$R860= "", 'Controle de CT'!$P860= ""), "", 'Controle de CT'!$R860-'Controle de CT'!$P860)</f>
        <v>0.19236111111111112</v>
      </c>
      <c r="V860" s="1" t="s">
        <v>238</v>
      </c>
      <c r="W860" s="2"/>
      <c r="X860" s="2"/>
    </row>
    <row r="861" spans="11:24" ht="15" hidden="1" customHeight="1">
      <c r="K861" s="5">
        <v>46106</v>
      </c>
      <c r="L861" s="8" t="s">
        <v>87</v>
      </c>
      <c r="M861" s="22" t="str">
        <f>IF(Tabela1[[#This Row],[Motorista]]="","",IFERROR(_xlfn.XLOOKUP(Tabela1[[#This Row],[Motorista]],Base!A:A,Base!B:B),""))</f>
        <v>FOB</v>
      </c>
      <c r="N861" s="20" t="str">
        <f t="shared" si="32"/>
        <v/>
      </c>
      <c r="O8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61" s="16"/>
      <c r="S861" s="16"/>
      <c r="T861" s="14" t="str">
        <f>IF(OR(Tabela1[[#This Row],[Entrada]]="",Tabela1[[#This Row],[Saída]]=""), "", Tabela1[[#This Row],[Saída]]-Tabela1[[#This Row],[Entrada]])</f>
        <v/>
      </c>
      <c r="U861" s="15" t="str">
        <f>IF(OR('Controle de CT'!$R861= "", 'Controle de CT'!$P861= ""), "", 'Controle de CT'!$R861-'Controle de CT'!$P861)</f>
        <v/>
      </c>
      <c r="V861" s="1" t="s">
        <v>226</v>
      </c>
      <c r="W861" s="2"/>
      <c r="X861" s="2"/>
    </row>
    <row r="862" spans="11:24" ht="15" hidden="1" customHeight="1">
      <c r="K862" s="5">
        <v>46106</v>
      </c>
      <c r="L862" s="8" t="s">
        <v>114</v>
      </c>
      <c r="M862" s="22" t="str">
        <f>IF(Tabela1[[#This Row],[Motorista]]="","",IFERROR(_xlfn.XLOOKUP(Tabela1[[#This Row],[Motorista]],Base!A:A,Base!B:B),""))</f>
        <v>FOB</v>
      </c>
      <c r="N862" s="20" t="str">
        <f t="shared" si="32"/>
        <v/>
      </c>
      <c r="O8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62" s="16"/>
      <c r="S862" s="16"/>
      <c r="T862" s="14" t="str">
        <f>IF(OR(Tabela1[[#This Row],[Entrada]]="",Tabela1[[#This Row],[Saída]]=""), "", Tabela1[[#This Row],[Saída]]-Tabela1[[#This Row],[Entrada]])</f>
        <v/>
      </c>
      <c r="U862" s="15" t="str">
        <f>IF(OR('Controle de CT'!$R862= "", 'Controle de CT'!$P862= ""), "", 'Controle de CT'!$R862-'Controle de CT'!$P862)</f>
        <v/>
      </c>
      <c r="V862" s="1" t="s">
        <v>226</v>
      </c>
      <c r="W862" s="2"/>
      <c r="X862" s="2"/>
    </row>
    <row r="863" spans="11:24" ht="15" hidden="1" customHeight="1">
      <c r="K863" s="5">
        <v>46106</v>
      </c>
      <c r="L863" s="8" t="s">
        <v>55</v>
      </c>
      <c r="M863" s="22" t="str">
        <f>IF(Tabela1[[#This Row],[Motorista]]="","",IFERROR(_xlfn.XLOOKUP(Tabela1[[#This Row],[Motorista]],Base!A:A,Base!B:B),""))</f>
        <v>CIF</v>
      </c>
      <c r="N863" s="20" t="str">
        <f t="shared" si="32"/>
        <v>Finalizado</v>
      </c>
      <c r="O8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63" s="2">
        <v>0.24374999999999999</v>
      </c>
      <c r="Q863" s="2">
        <v>0.27361111111111114</v>
      </c>
      <c r="R863" s="16">
        <v>0.40208333333333335</v>
      </c>
      <c r="S863" s="16"/>
      <c r="T863" s="14">
        <f>IF(OR(Tabela1[[#This Row],[Entrada]]="",Tabela1[[#This Row],[Saída]]=""), "", Tabela1[[#This Row],[Saída]]-Tabela1[[#This Row],[Entrada]])</f>
        <v>0.12847222222222221</v>
      </c>
      <c r="U863" s="15">
        <f>IF(OR('Controle de CT'!$R863= "", 'Controle de CT'!$P863= ""), "", 'Controle de CT'!$R863-'Controle de CT'!$P863)</f>
        <v>0.15833333333333335</v>
      </c>
      <c r="V863" s="1" t="s">
        <v>239</v>
      </c>
      <c r="W863" s="2"/>
      <c r="X863" s="2"/>
    </row>
    <row r="864" spans="11:24" ht="15" hidden="1" customHeight="1">
      <c r="K864" s="5">
        <v>46106</v>
      </c>
      <c r="L864" s="8" t="s">
        <v>54</v>
      </c>
      <c r="M864" s="22" t="str">
        <f>IF(Tabela1[[#This Row],[Motorista]]="","",IFERROR(_xlfn.XLOOKUP(Tabela1[[#This Row],[Motorista]],Base!A:A,Base!B:B),""))</f>
        <v>CIF</v>
      </c>
      <c r="N864" s="20" t="str">
        <f t="shared" si="32"/>
        <v>Finalizado</v>
      </c>
      <c r="O8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64" s="2">
        <v>0.26111111111111113</v>
      </c>
      <c r="Q864" s="2">
        <v>0.31944444444444442</v>
      </c>
      <c r="R864" s="16">
        <v>0.56805555555555554</v>
      </c>
      <c r="S864" s="16"/>
      <c r="T864" s="14">
        <f>IF(OR(Tabela1[[#This Row],[Entrada]]="",Tabela1[[#This Row],[Saída]]=""), "", Tabela1[[#This Row],[Saída]]-Tabela1[[#This Row],[Entrada]])</f>
        <v>0.24861111111111112</v>
      </c>
      <c r="U864" s="15">
        <f>IF(OR('Controle de CT'!$R864= "", 'Controle de CT'!$P864= ""), "", 'Controle de CT'!$R864-'Controle de CT'!$P864)</f>
        <v>0.30694444444444441</v>
      </c>
      <c r="V864" s="1" t="s">
        <v>239</v>
      </c>
      <c r="W864" s="2"/>
      <c r="X864" s="2"/>
    </row>
    <row r="865" spans="11:24" ht="15" hidden="1" customHeight="1">
      <c r="K865" s="5">
        <v>46106</v>
      </c>
      <c r="L865" s="8" t="s">
        <v>58</v>
      </c>
      <c r="M865" s="9" t="str">
        <f>IF(Tabela1[[#This Row],[Motorista]]="","",IFERROR(_xlfn.XLOOKUP(Tabela1[[#This Row],[Motorista]],Base!A:A,Base!B:B),""))</f>
        <v xml:space="preserve">CIF </v>
      </c>
      <c r="N865" s="20" t="str">
        <f t="shared" si="32"/>
        <v>Finalizado</v>
      </c>
      <c r="O8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65" s="4">
        <v>0.26666666666666666</v>
      </c>
      <c r="Q865" s="4">
        <v>0.27847222222222223</v>
      </c>
      <c r="R865" s="23">
        <v>0.41944444444444445</v>
      </c>
      <c r="S865" s="16"/>
      <c r="T865" s="14">
        <f>IF(OR(Tabela1[[#This Row],[Entrada]]="",Tabela1[[#This Row],[Saída]]=""), "", Tabela1[[#This Row],[Saída]]-Tabela1[[#This Row],[Entrada]])</f>
        <v>0.14097222222222222</v>
      </c>
      <c r="U865" s="15">
        <f>IF(OR('Controle de CT'!$R865= "", 'Controle de CT'!$P865= ""), "", 'Controle de CT'!$R865-'Controle de CT'!$P865)</f>
        <v>0.15277777777777779</v>
      </c>
      <c r="V865" s="1" t="s">
        <v>240</v>
      </c>
      <c r="W865" s="2"/>
      <c r="X865" s="2"/>
    </row>
    <row r="866" spans="11:24" ht="15" hidden="1" customHeight="1">
      <c r="K866" s="5">
        <v>46106</v>
      </c>
      <c r="L866" s="8" t="s">
        <v>90</v>
      </c>
      <c r="M866" s="22" t="str">
        <f>IF(Tabela1[[#This Row],[Motorista]]="","",IFERROR(_xlfn.XLOOKUP(Tabela1[[#This Row],[Motorista]],Base!A:A,Base!B:B),""))</f>
        <v>FOB</v>
      </c>
      <c r="N866" s="20" t="str">
        <f t="shared" si="32"/>
        <v>Fila de Carregamento</v>
      </c>
      <c r="O8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66" s="2">
        <v>0.44027777777777777</v>
      </c>
      <c r="Q866" s="2">
        <v>0.4597222222222222</v>
      </c>
      <c r="R866" s="16"/>
      <c r="S866" s="16"/>
      <c r="T866" s="14" t="str">
        <f>IF(OR(Tabela1[[#This Row],[Entrada]]="",Tabela1[[#This Row],[Saída]]=""), "", Tabela1[[#This Row],[Saída]]-Tabela1[[#This Row],[Entrada]])</f>
        <v/>
      </c>
      <c r="U866" s="15" t="str">
        <f>IF(OR('Controle de CT'!$R866= "", 'Controle de CT'!$P866= ""), "", 'Controle de CT'!$R866-'Controle de CT'!$P866)</f>
        <v/>
      </c>
      <c r="V866" s="1" t="s">
        <v>226</v>
      </c>
      <c r="W866" s="2"/>
      <c r="X866" s="2"/>
    </row>
    <row r="867" spans="11:24" ht="15" hidden="1" customHeight="1">
      <c r="K867" s="5">
        <v>46106</v>
      </c>
      <c r="L867" s="8" t="s">
        <v>92</v>
      </c>
      <c r="M867" s="9" t="str">
        <f>IF(Tabela1[[#This Row],[Motorista]]="","",IFERROR(_xlfn.XLOOKUP(Tabela1[[#This Row],[Motorista]],Base!A:A,Base!B:B),""))</f>
        <v>FOB</v>
      </c>
      <c r="N867" s="20" t="str">
        <f t="shared" si="32"/>
        <v>Aguardando Entrada</v>
      </c>
      <c r="O8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67" s="4">
        <v>0.27430555555555558</v>
      </c>
      <c r="Q867" s="4"/>
      <c r="R867" s="23"/>
      <c r="S867" s="16"/>
      <c r="T867" s="14" t="str">
        <f>IF(OR(Tabela1[[#This Row],[Entrada]]="",Tabela1[[#This Row],[Saída]]=""), "", Tabela1[[#This Row],[Saída]]-Tabela1[[#This Row],[Entrada]])</f>
        <v/>
      </c>
      <c r="U867" s="15" t="str">
        <f>IF(OR('Controle de CT'!$R867= "", 'Controle de CT'!$P867= ""), "", 'Controle de CT'!$R867-'Controle de CT'!$P867)</f>
        <v/>
      </c>
      <c r="V867" s="1" t="s">
        <v>226</v>
      </c>
      <c r="W867" s="2"/>
      <c r="X867" s="2"/>
    </row>
    <row r="868" spans="11:24" ht="15" hidden="1" customHeight="1">
      <c r="K868" s="5">
        <v>46106</v>
      </c>
      <c r="L868" s="8" t="s">
        <v>93</v>
      </c>
      <c r="M868" s="22" t="str">
        <f>IF(Tabela1[[#This Row],[Motorista]]="","",IFERROR(_xlfn.XLOOKUP(Tabela1[[#This Row],[Motorista]],Base!A:A,Base!B:B),""))</f>
        <v>FOB</v>
      </c>
      <c r="N868" s="20" t="str">
        <f t="shared" si="32"/>
        <v/>
      </c>
      <c r="O8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68" s="16"/>
      <c r="S868" s="16"/>
      <c r="T868" s="14" t="str">
        <f>IF(OR(Tabela1[[#This Row],[Entrada]]="",Tabela1[[#This Row],[Saída]]=""), "", Tabela1[[#This Row],[Saída]]-Tabela1[[#This Row],[Entrada]])</f>
        <v/>
      </c>
      <c r="U868" s="15" t="str">
        <f>IF(OR('Controle de CT'!$R868= "", 'Controle de CT'!$P868= ""), "", 'Controle de CT'!$R868-'Controle de CT'!$P868)</f>
        <v/>
      </c>
      <c r="V868" s="1" t="s">
        <v>226</v>
      </c>
      <c r="W868" s="2"/>
      <c r="X868" s="2"/>
    </row>
    <row r="869" spans="11:24" ht="15" hidden="1" customHeight="1">
      <c r="K869" s="5">
        <v>46106</v>
      </c>
      <c r="L869" s="8" t="s">
        <v>180</v>
      </c>
      <c r="M869" s="22" t="str">
        <f>IF(Tabela1[[#This Row],[Motorista]]="","",IFERROR(_xlfn.XLOOKUP(Tabela1[[#This Row],[Motorista]],Base!A:A,Base!B:B),""))</f>
        <v>Transferência</v>
      </c>
      <c r="N869" s="20" t="str">
        <f t="shared" si="32"/>
        <v>Finalizado</v>
      </c>
      <c r="O8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69" s="2">
        <v>0.28125</v>
      </c>
      <c r="Q869" s="2">
        <v>0.28472222222222221</v>
      </c>
      <c r="R869" s="16">
        <v>0.53541666666666665</v>
      </c>
      <c r="S869" s="16"/>
      <c r="T869" s="14">
        <f>IF(OR(Tabela1[[#This Row],[Entrada]]="",Tabela1[[#This Row],[Saída]]=""), "", Tabela1[[#This Row],[Saída]]-Tabela1[[#This Row],[Entrada]])</f>
        <v>0.25069444444444444</v>
      </c>
      <c r="U869" s="15">
        <f>IF(OR('Controle de CT'!$R869= "", 'Controle de CT'!$P869= ""), "", 'Controle de CT'!$R869-'Controle de CT'!$P869)</f>
        <v>0.25416666666666665</v>
      </c>
      <c r="V869" s="1" t="s">
        <v>241</v>
      </c>
      <c r="W869" s="2"/>
      <c r="X869" s="2"/>
    </row>
    <row r="870" spans="11:24" ht="15" hidden="1" customHeight="1">
      <c r="K870" s="5">
        <v>46106</v>
      </c>
      <c r="L870" s="8" t="s">
        <v>145</v>
      </c>
      <c r="M870" s="22" t="str">
        <f>IF(Tabela1[[#This Row],[Motorista]]="","",IFERROR(_xlfn.XLOOKUP(Tabela1[[#This Row],[Motorista]],Base!A:A,Base!B:B),""))</f>
        <v>FOB</v>
      </c>
      <c r="N870" s="20" t="str">
        <f t="shared" si="32"/>
        <v>Aguardando Entrada</v>
      </c>
      <c r="O8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70" s="2">
        <v>0.28472222222222221</v>
      </c>
      <c r="R870" s="16"/>
      <c r="S870" s="16"/>
      <c r="T870" s="14" t="str">
        <f>IF(OR(Tabela1[[#This Row],[Entrada]]="",Tabela1[[#This Row],[Saída]]=""), "", Tabela1[[#This Row],[Saída]]-Tabela1[[#This Row],[Entrada]])</f>
        <v/>
      </c>
      <c r="U870" s="15" t="str">
        <f>IF(OR('Controle de CT'!$R870= "", 'Controle de CT'!$P870= ""), "", 'Controle de CT'!$R870-'Controle de CT'!$P870)</f>
        <v/>
      </c>
      <c r="V870" s="1" t="s">
        <v>242</v>
      </c>
      <c r="W870" s="2"/>
      <c r="X870" s="2"/>
    </row>
    <row r="871" spans="11:24" ht="15" hidden="1" customHeight="1">
      <c r="K871" s="5">
        <v>46106</v>
      </c>
      <c r="L871" s="8" t="s">
        <v>112</v>
      </c>
      <c r="M871" s="22" t="str">
        <f>IF(Tabela1[[#This Row],[Motorista]]="","",IFERROR(_xlfn.XLOOKUP(Tabela1[[#This Row],[Motorista]],Base!A:A,Base!B:B),""))</f>
        <v>FOB</v>
      </c>
      <c r="N871" s="20" t="str">
        <f t="shared" si="32"/>
        <v/>
      </c>
      <c r="O8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71" s="16"/>
      <c r="S871" s="16"/>
      <c r="T871" s="14" t="str">
        <f>IF(OR(Tabela1[[#This Row],[Entrada]]="",Tabela1[[#This Row],[Saída]]=""), "", Tabela1[[#This Row],[Saída]]-Tabela1[[#This Row],[Entrada]])</f>
        <v/>
      </c>
      <c r="U871" s="15" t="str">
        <f>IF(OR('Controle de CT'!$R871= "", 'Controle de CT'!$P871= ""), "", 'Controle de CT'!$R871-'Controle de CT'!$P871)</f>
        <v/>
      </c>
      <c r="V871" s="1" t="s">
        <v>243</v>
      </c>
      <c r="W871" s="2"/>
      <c r="X871" s="2"/>
    </row>
    <row r="872" spans="11:24" ht="15" hidden="1" customHeight="1">
      <c r="K872" s="5">
        <v>46106</v>
      </c>
      <c r="L872" s="8" t="s">
        <v>86</v>
      </c>
      <c r="M872" s="22" t="str">
        <f>IF(Tabela1[[#This Row],[Motorista]]="","",IFERROR(_xlfn.XLOOKUP(Tabela1[[#This Row],[Motorista]],Base!A:A,Base!B:B),""))</f>
        <v>FOB</v>
      </c>
      <c r="N872" s="20" t="str">
        <f t="shared" si="32"/>
        <v>Finalizado</v>
      </c>
      <c r="O8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72" s="16">
        <v>0.625</v>
      </c>
      <c r="S872" s="16"/>
      <c r="T872" s="14" t="str">
        <f>IF(OR(Tabela1[[#This Row],[Entrada]]="",Tabela1[[#This Row],[Saída]]=""), "", Tabela1[[#This Row],[Saída]]-Tabela1[[#This Row],[Entrada]])</f>
        <v/>
      </c>
      <c r="U872" s="15" t="str">
        <f>IF(OR('Controle de CT'!$R872= "", 'Controle de CT'!$P872= ""), "", 'Controle de CT'!$R872-'Controle de CT'!$P872)</f>
        <v/>
      </c>
      <c r="V872" s="1" t="s">
        <v>244</v>
      </c>
      <c r="W872" s="2"/>
      <c r="X872" s="2"/>
    </row>
    <row r="873" spans="11:24" ht="15" hidden="1" customHeight="1">
      <c r="K873" s="5">
        <v>46106</v>
      </c>
      <c r="L873" s="8" t="s">
        <v>54</v>
      </c>
      <c r="M873" s="22" t="str">
        <f>IF(Tabela1[[#This Row],[Motorista]]="","",IFERROR(_xlfn.XLOOKUP(Tabela1[[#This Row],[Motorista]],Base!A:A,Base!B:B),""))</f>
        <v>CIF</v>
      </c>
      <c r="N873" s="20" t="str">
        <f t="shared" si="32"/>
        <v/>
      </c>
      <c r="O8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873" s="16"/>
      <c r="S873" s="16"/>
      <c r="T873" s="14" t="str">
        <f>IF(OR(Tabela1[[#This Row],[Entrada]]="",Tabela1[[#This Row],[Saída]]=""), "", Tabela1[[#This Row],[Saída]]-Tabela1[[#This Row],[Entrada]])</f>
        <v/>
      </c>
      <c r="U873" s="15" t="str">
        <f>IF(OR('Controle de CT'!$R873= "", 'Controle de CT'!$P873= ""), "", 'Controle de CT'!$R873-'Controle de CT'!$P873)</f>
        <v/>
      </c>
      <c r="V873" s="1" t="s">
        <v>226</v>
      </c>
      <c r="W873" s="2"/>
      <c r="X873" s="2"/>
    </row>
    <row r="874" spans="11:24" ht="15" hidden="1" customHeight="1">
      <c r="K874" s="5">
        <v>46106</v>
      </c>
      <c r="L874" s="8" t="s">
        <v>132</v>
      </c>
      <c r="M874" s="22" t="str">
        <f>IF(Tabela1[[#This Row],[Motorista]]="","",IFERROR(_xlfn.XLOOKUP(Tabela1[[#This Row],[Motorista]],Base!A:A,Base!B:B),""))</f>
        <v>FOB</v>
      </c>
      <c r="N874" s="20" t="str">
        <f t="shared" si="32"/>
        <v>Aguardando Entrada</v>
      </c>
      <c r="O8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74" s="2">
        <v>0.36180555555555555</v>
      </c>
      <c r="R874" s="16"/>
      <c r="S874" s="16"/>
      <c r="T874" s="14" t="str">
        <f>IF(OR(Tabela1[[#This Row],[Entrada]]="",Tabela1[[#This Row],[Saída]]=""), "", Tabela1[[#This Row],[Saída]]-Tabela1[[#This Row],[Entrada]])</f>
        <v/>
      </c>
      <c r="U874" s="15" t="str">
        <f>IF(OR('Controle de CT'!$R874= "", 'Controle de CT'!$P874= ""), "", 'Controle de CT'!$R874-'Controle de CT'!$P874)</f>
        <v/>
      </c>
      <c r="V874" s="1" t="s">
        <v>245</v>
      </c>
      <c r="W874" s="2"/>
      <c r="X874" s="2"/>
    </row>
    <row r="875" spans="11:24" ht="15" hidden="1" customHeight="1">
      <c r="K875" s="5">
        <v>46106</v>
      </c>
      <c r="L875" s="8" t="s">
        <v>235</v>
      </c>
      <c r="M875" s="22" t="str">
        <f>IF(Tabela1[[#This Row],[Motorista]]="","",IFERROR(_xlfn.XLOOKUP(Tabela1[[#This Row],[Motorista]],Base!A:A,Base!B:B),""))</f>
        <v>Transferência</v>
      </c>
      <c r="N875" s="20" t="str">
        <f t="shared" si="32"/>
        <v/>
      </c>
      <c r="O8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875" s="16"/>
      <c r="S875" s="16"/>
      <c r="T875" s="14" t="str">
        <f>IF(OR(Tabela1[[#This Row],[Entrada]]="",Tabela1[[#This Row],[Saída]]=""), "", Tabela1[[#This Row],[Saída]]-Tabela1[[#This Row],[Entrada]])</f>
        <v/>
      </c>
      <c r="U875" s="15" t="str">
        <f>IF(OR('Controle de CT'!$R875= "", 'Controle de CT'!$P875= ""), "", 'Controle de CT'!$R875-'Controle de CT'!$P875)</f>
        <v/>
      </c>
      <c r="V875" s="1" t="s">
        <v>226</v>
      </c>
      <c r="W875" s="2"/>
      <c r="X875" s="2"/>
    </row>
    <row r="876" spans="11:24" ht="15" hidden="1" customHeight="1">
      <c r="K876" s="5">
        <v>46106</v>
      </c>
      <c r="L876" s="8" t="s">
        <v>91</v>
      </c>
      <c r="M876" s="9" t="str">
        <f>IF(Tabela1[[#This Row],[Motorista]]="","",IFERROR(_xlfn.XLOOKUP(Tabela1[[#This Row],[Motorista]],Base!A:A,Base!B:B),""))</f>
        <v>FOB</v>
      </c>
      <c r="N876" s="20" t="str">
        <f t="shared" ref="N876:N916" si="33">IF(R876&lt;&gt;"","Finalizado", IF(Q876&lt;&gt;"","Fila de Carregamento", IF(P876&lt;&gt;"","Aguardando Entrada","")))</f>
        <v/>
      </c>
      <c r="O8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76" s="4"/>
      <c r="Q876" s="4"/>
      <c r="R876" s="23"/>
      <c r="S876" s="16"/>
      <c r="T876" s="14" t="str">
        <f>IF(OR(Tabela1[[#This Row],[Entrada]]="",Tabela1[[#This Row],[Saída]]=""), "", Tabela1[[#This Row],[Saída]]-Tabela1[[#This Row],[Entrada]])</f>
        <v/>
      </c>
      <c r="U876" s="15" t="str">
        <f>IF(OR('Controle de CT'!$R876= "", 'Controle de CT'!$P876= ""), "", 'Controle de CT'!$R876-'Controle de CT'!$P876)</f>
        <v/>
      </c>
      <c r="V876" s="1" t="s">
        <v>226</v>
      </c>
      <c r="W876" s="2"/>
      <c r="X876" s="2"/>
    </row>
    <row r="877" spans="11:24" ht="15" hidden="1" customHeight="1">
      <c r="K877" s="5">
        <v>46106</v>
      </c>
      <c r="L877" s="8" t="s">
        <v>145</v>
      </c>
      <c r="M877" s="9" t="str">
        <f>IF(Tabela1[[#This Row],[Motorista]]="","",IFERROR(_xlfn.XLOOKUP(Tabela1[[#This Row],[Motorista]],Base!A:A,Base!B:B),""))</f>
        <v>FOB</v>
      </c>
      <c r="N877" s="20" t="str">
        <f t="shared" si="33"/>
        <v>Finalizado</v>
      </c>
      <c r="O8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77" s="4">
        <v>0.33541666666666664</v>
      </c>
      <c r="Q877" s="4">
        <v>0.63888888888888884</v>
      </c>
      <c r="R877" s="23">
        <v>0.66874999999999996</v>
      </c>
      <c r="S877" s="16"/>
      <c r="T877" s="14">
        <f>IF(OR(Tabela1[[#This Row],[Entrada]]="",Tabela1[[#This Row],[Saída]]=""), "", Tabela1[[#This Row],[Saída]]-Tabela1[[#This Row],[Entrada]])</f>
        <v>2.9861111111111116E-2</v>
      </c>
      <c r="U877" s="15">
        <f>IF(OR('Controle de CT'!$R877= "", 'Controle de CT'!$P877= ""), "", 'Controle de CT'!$R877-'Controle de CT'!$P877)</f>
        <v>0.33333333333333331</v>
      </c>
      <c r="V877" s="1" t="s">
        <v>246</v>
      </c>
      <c r="W877" s="2"/>
      <c r="X877" s="2"/>
    </row>
    <row r="878" spans="11:24" ht="15" hidden="1" customHeight="1">
      <c r="K878" s="5">
        <v>46106</v>
      </c>
      <c r="L878" s="8" t="s">
        <v>114</v>
      </c>
      <c r="M878" s="9" t="str">
        <f>IF(Tabela1[[#This Row],[Motorista]]="","",IFERROR(_xlfn.XLOOKUP(Tabela1[[#This Row],[Motorista]],Base!A:A,Base!B:B),""))</f>
        <v>FOB</v>
      </c>
      <c r="N878" s="20" t="str">
        <f t="shared" si="33"/>
        <v>Finalizado</v>
      </c>
      <c r="O8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78" s="4"/>
      <c r="Q878" s="4"/>
      <c r="R878" s="23">
        <v>0.71250000000000002</v>
      </c>
      <c r="S878" s="16"/>
      <c r="T878" s="14" t="str">
        <f>IF(OR(Tabela1[[#This Row],[Entrada]]="",Tabela1[[#This Row],[Saída]]=""), "", Tabela1[[#This Row],[Saída]]-Tabela1[[#This Row],[Entrada]])</f>
        <v/>
      </c>
      <c r="U878" s="15" t="str">
        <f>IF(OR('Controle de CT'!$R878= "", 'Controle de CT'!$P878= ""), "", 'Controle de CT'!$R878-'Controle de CT'!$P878)</f>
        <v/>
      </c>
      <c r="V878" s="1"/>
      <c r="W878" s="2"/>
      <c r="X878" s="2"/>
    </row>
    <row r="879" spans="11:24" ht="15" hidden="1" customHeight="1">
      <c r="K879" s="5">
        <v>46106</v>
      </c>
      <c r="L879" s="8" t="s">
        <v>90</v>
      </c>
      <c r="M879" s="9" t="str">
        <f>IF(Tabela1[[#This Row],[Motorista]]="","",IFERROR(_xlfn.XLOOKUP(Tabela1[[#This Row],[Motorista]],Base!A:A,Base!B:B),""))</f>
        <v>FOB</v>
      </c>
      <c r="N879" s="20" t="str">
        <f t="shared" si="33"/>
        <v>Finalizado</v>
      </c>
      <c r="O8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79" s="4"/>
      <c r="Q879" s="4"/>
      <c r="R879" s="23">
        <v>0.73819444444444449</v>
      </c>
      <c r="S879" s="16"/>
      <c r="T879" s="14" t="str">
        <f>IF(OR(Tabela1[[#This Row],[Entrada]]="",Tabela1[[#This Row],[Saída]]=""), "", Tabela1[[#This Row],[Saída]]-Tabela1[[#This Row],[Entrada]])</f>
        <v/>
      </c>
      <c r="U879" s="15" t="str">
        <f>IF(OR('Controle de CT'!$R879= "", 'Controle de CT'!$P879= ""), "", 'Controle de CT'!$R879-'Controle de CT'!$P879)</f>
        <v/>
      </c>
      <c r="V879" s="1"/>
      <c r="W879" s="2"/>
      <c r="X879" s="2"/>
    </row>
    <row r="880" spans="11:24" ht="15" hidden="1" customHeight="1">
      <c r="K880" s="5">
        <v>46107</v>
      </c>
      <c r="L880" s="8" t="s">
        <v>101</v>
      </c>
      <c r="M880" s="9" t="str">
        <f>IF(Tabela1[[#This Row],[Motorista]]="","",IFERROR(_xlfn.XLOOKUP(Tabela1[[#This Row],[Motorista]],Base!A:A,Base!B:B),""))</f>
        <v>FOB</v>
      </c>
      <c r="N880" s="20" t="str">
        <f t="shared" ref="N880:N907" si="34">IF(R880&lt;&gt;"","Finalizado", IF(Q880&lt;&gt;"","Fila de Carregamento", IF(P880&lt;&gt;"","Aguardando Entrada","")))</f>
        <v>Finalizado</v>
      </c>
      <c r="O8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80" s="4">
        <v>0.21736111111111112</v>
      </c>
      <c r="Q880" s="4">
        <v>0.38194444444444442</v>
      </c>
      <c r="R880" s="23">
        <v>0.43819444444444444</v>
      </c>
      <c r="S880" s="16"/>
      <c r="T880" s="14"/>
      <c r="U880" s="1" t="s">
        <v>220</v>
      </c>
      <c r="V880" s="1" t="s">
        <v>170</v>
      </c>
      <c r="W880" s="2"/>
      <c r="X880" s="2"/>
    </row>
    <row r="881" spans="11:24" ht="15" hidden="1" customHeight="1">
      <c r="K881" s="5">
        <v>46107</v>
      </c>
      <c r="L881" s="8" t="s">
        <v>86</v>
      </c>
      <c r="M881" s="9" t="str">
        <f>IF(Tabela1[[#This Row],[Motorista]]="","",IFERROR(_xlfn.XLOOKUP(Tabela1[[#This Row],[Motorista]],Base!A:A,Base!B:B),""))</f>
        <v>FOB</v>
      </c>
      <c r="N881" s="20" t="str">
        <f t="shared" si="34"/>
        <v>Finalizado</v>
      </c>
      <c r="O8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81" s="4">
        <v>0.22291666666666668</v>
      </c>
      <c r="Q881" s="4">
        <v>0.26319444444444445</v>
      </c>
      <c r="R881" s="23">
        <v>0.54513888888888884</v>
      </c>
      <c r="S881" s="16"/>
      <c r="T881" s="14"/>
      <c r="U881" s="1"/>
      <c r="V881" s="1" t="s">
        <v>220</v>
      </c>
      <c r="W881" s="2"/>
      <c r="X881" s="2"/>
    </row>
    <row r="882" spans="11:24" ht="15" hidden="1" customHeight="1">
      <c r="K882" s="5">
        <v>46107</v>
      </c>
      <c r="L882" s="8" t="s">
        <v>52</v>
      </c>
      <c r="M882" s="9" t="str">
        <f>IF(Tabela1[[#This Row],[Motorista]]="","",IFERROR(_xlfn.XLOOKUP(Tabela1[[#This Row],[Motorista]],Base!A:A,Base!B:B),""))</f>
        <v>CIF</v>
      </c>
      <c r="N882" s="20" t="str">
        <f t="shared" si="34"/>
        <v>Finalizado</v>
      </c>
      <c r="O8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2" s="4">
        <v>0.2388888888888889</v>
      </c>
      <c r="Q882" s="4">
        <v>0.26527777777777778</v>
      </c>
      <c r="R882" s="23">
        <v>0.31944444444444442</v>
      </c>
      <c r="S882" s="16"/>
      <c r="T882" s="14"/>
      <c r="U882" s="1"/>
      <c r="V882" s="1" t="s">
        <v>247</v>
      </c>
      <c r="W882" s="2"/>
      <c r="X882" s="2"/>
    </row>
    <row r="883" spans="11:24" ht="15" hidden="1" customHeight="1">
      <c r="K883" s="5">
        <v>46107</v>
      </c>
      <c r="L883" s="8" t="s">
        <v>58</v>
      </c>
      <c r="M883" s="9" t="str">
        <f>IF(Tabela1[[#This Row],[Motorista]]="","",IFERROR(_xlfn.XLOOKUP(Tabela1[[#This Row],[Motorista]],Base!A:A,Base!B:B),""))</f>
        <v xml:space="preserve">CIF </v>
      </c>
      <c r="N883" s="20" t="str">
        <f t="shared" si="34"/>
        <v>Finalizado</v>
      </c>
      <c r="O8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3" s="4">
        <v>0.24027777777777778</v>
      </c>
      <c r="Q883" s="4">
        <v>0.27083333333333331</v>
      </c>
      <c r="R883" s="23">
        <v>0.34166666666666667</v>
      </c>
      <c r="S883" s="16"/>
      <c r="T883" s="14">
        <f>IF(OR(Tabela1[[#This Row],[Entrada]]="",Tabela1[[#This Row],[Saída]]=""), "", Tabela1[[#This Row],[Saída]]-Tabela1[[#This Row],[Entrada]])</f>
        <v>7.0833333333333359E-2</v>
      </c>
      <c r="U883" s="1"/>
      <c r="V883" s="1" t="s">
        <v>248</v>
      </c>
      <c r="W883" s="2"/>
      <c r="X883" s="2"/>
    </row>
    <row r="884" spans="11:24" ht="15" hidden="1" customHeight="1">
      <c r="K884" s="5">
        <v>46107</v>
      </c>
      <c r="L884" s="8" t="s">
        <v>49</v>
      </c>
      <c r="M884" s="9" t="str">
        <f>IF(Tabela1[[#This Row],[Motorista]]="","",IFERROR(_xlfn.XLOOKUP(Tabela1[[#This Row],[Motorista]],Base!A:A,Base!B:B),""))</f>
        <v>CIF</v>
      </c>
      <c r="N884" s="20" t="str">
        <f t="shared" si="34"/>
        <v>Finalizado</v>
      </c>
      <c r="O8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84" s="4">
        <v>0.24097222222222223</v>
      </c>
      <c r="Q884" s="4">
        <v>0.25277777777777777</v>
      </c>
      <c r="R884" s="23">
        <v>0.3576388888888889</v>
      </c>
      <c r="S884" s="16"/>
      <c r="T884" s="14">
        <f>IF(OR(Tabela1[[#This Row],[Entrada]]="",Tabela1[[#This Row],[Saída]]=""), "", Tabela1[[#This Row],[Saída]]-Tabela1[[#This Row],[Entrada]])</f>
        <v>0.10486111111111113</v>
      </c>
      <c r="U884" s="1"/>
      <c r="V884" s="1" t="s">
        <v>249</v>
      </c>
      <c r="W884" s="2"/>
      <c r="X884" s="2"/>
    </row>
    <row r="885" spans="11:24" ht="15" hidden="1" customHeight="1">
      <c r="K885" s="5">
        <v>46107</v>
      </c>
      <c r="L885" s="8" t="s">
        <v>54</v>
      </c>
      <c r="M885" s="9" t="str">
        <f>IF(Tabela1[[#This Row],[Motorista]]="","",IFERROR(_xlfn.XLOOKUP(Tabela1[[#This Row],[Motorista]],Base!A:A,Base!B:B),""))</f>
        <v>CIF</v>
      </c>
      <c r="N885" s="20" t="str">
        <f t="shared" si="34"/>
        <v>Finalizado</v>
      </c>
      <c r="O8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5" s="4">
        <v>0.24097222222222223</v>
      </c>
      <c r="Q885" s="4">
        <v>0.30555555555555558</v>
      </c>
      <c r="R885" s="23">
        <v>0.38819444444444445</v>
      </c>
      <c r="S885" s="16"/>
      <c r="T885" s="14">
        <f>IF(OR(Tabela1[[#This Row],[Entrada]]="",Tabela1[[#This Row],[Saída]]=""), "", Tabela1[[#This Row],[Saída]]-Tabela1[[#This Row],[Entrada]])</f>
        <v>8.2638888888888873E-2</v>
      </c>
      <c r="U885" s="1"/>
      <c r="V885" s="1" t="s">
        <v>220</v>
      </c>
      <c r="W885" s="2"/>
      <c r="X885" s="2"/>
    </row>
    <row r="886" spans="11:24" ht="15" hidden="1" customHeight="1">
      <c r="K886" s="5">
        <v>46107</v>
      </c>
      <c r="L886" s="8" t="s">
        <v>46</v>
      </c>
      <c r="M886" s="9" t="str">
        <f>IF(Tabela1[[#This Row],[Motorista]]="","",IFERROR(_xlfn.XLOOKUP(Tabela1[[#This Row],[Motorista]],Base!A:A,Base!B:B),""))</f>
        <v>CIF</v>
      </c>
      <c r="N886" s="20" t="str">
        <f t="shared" si="34"/>
        <v>Finalizado</v>
      </c>
      <c r="O8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6" s="4">
        <v>0.24861111111111112</v>
      </c>
      <c r="Q886" s="4">
        <v>0.28055555555555556</v>
      </c>
      <c r="R886" s="23">
        <v>0.32083333333333336</v>
      </c>
      <c r="S886" s="16"/>
      <c r="T886" s="14">
        <f>IF(OR(Tabela1[[#This Row],[Entrada]]="",Tabela1[[#This Row],[Saída]]=""), "", Tabela1[[#This Row],[Saída]]-Tabela1[[#This Row],[Entrada]])</f>
        <v>4.0277777777777801E-2</v>
      </c>
      <c r="U886" s="1"/>
      <c r="V886" s="1"/>
      <c r="W886" s="2"/>
      <c r="X886" s="2"/>
    </row>
    <row r="887" spans="11:24" ht="15" hidden="1" customHeight="1">
      <c r="K887" s="5">
        <v>46107</v>
      </c>
      <c r="L887" s="8" t="s">
        <v>87</v>
      </c>
      <c r="M887" s="9" t="str">
        <f>IF(Tabela1[[#This Row],[Motorista]]="","",IFERROR(_xlfn.XLOOKUP(Tabela1[[#This Row],[Motorista]],Base!A:A,Base!B:B),""))</f>
        <v>FOB</v>
      </c>
      <c r="N887" s="20" t="str">
        <f t="shared" si="34"/>
        <v>Finalizado</v>
      </c>
      <c r="O8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87" s="4">
        <v>0.2638888888888889</v>
      </c>
      <c r="Q887" s="4">
        <v>0.33333333333333331</v>
      </c>
      <c r="R887" s="23">
        <v>0.39861111111111114</v>
      </c>
      <c r="S887" s="16"/>
      <c r="T887" s="14">
        <f>IF(OR(Tabela1[[#This Row],[Entrada]]="",Tabela1[[#This Row],[Saída]]=""), "", Tabela1[[#This Row],[Saída]]-Tabela1[[#This Row],[Entrada]])</f>
        <v>6.5277777777777823E-2</v>
      </c>
      <c r="U887" s="1"/>
      <c r="V887" s="1"/>
      <c r="W887" s="2"/>
      <c r="X887" s="2"/>
    </row>
    <row r="888" spans="11:24" ht="15" hidden="1" customHeight="1">
      <c r="K888" s="5">
        <v>46107</v>
      </c>
      <c r="L888" s="8" t="s">
        <v>130</v>
      </c>
      <c r="M888" s="9" t="str">
        <f>IF(Tabela1[[#This Row],[Motorista]]="","",IFERROR(_xlfn.XLOOKUP(Tabela1[[#This Row],[Motorista]],Base!A:A,Base!B:B),""))</f>
        <v>RZD</v>
      </c>
      <c r="N888" s="20" t="str">
        <f t="shared" si="34"/>
        <v>Fila de Carregamento</v>
      </c>
      <c r="O8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88" s="4">
        <v>0.28055555555555556</v>
      </c>
      <c r="Q888" s="4">
        <v>0.30208333333333331</v>
      </c>
      <c r="R888" s="23"/>
      <c r="S888" s="16"/>
      <c r="T888" s="14" t="str">
        <f>IF(OR(Tabela1[[#This Row],[Entrada]]="",Tabela1[[#This Row],[Saída]]=""), "", Tabela1[[#This Row],[Saída]]-Tabela1[[#This Row],[Entrada]])</f>
        <v/>
      </c>
      <c r="U888" s="1"/>
      <c r="V888" s="1"/>
      <c r="W888" s="2"/>
      <c r="X888" s="2"/>
    </row>
    <row r="889" spans="11:24" ht="15" hidden="1" customHeight="1">
      <c r="K889" s="5">
        <v>46107</v>
      </c>
      <c r="L889" s="8" t="s">
        <v>91</v>
      </c>
      <c r="M889" s="9" t="str">
        <f>IF(Tabela1[[#This Row],[Motorista]]="","",IFERROR(_xlfn.XLOOKUP(Tabela1[[#This Row],[Motorista]],Base!A:A,Base!B:B),""))</f>
        <v>FOB</v>
      </c>
      <c r="N889" s="20" t="str">
        <f t="shared" si="34"/>
        <v>Finalizado</v>
      </c>
      <c r="O8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89" s="4">
        <v>0.29097222222222224</v>
      </c>
      <c r="Q889" s="4">
        <v>0.30694444444444446</v>
      </c>
      <c r="R889" s="23">
        <v>0.3611111111111111</v>
      </c>
      <c r="S889" s="16"/>
      <c r="T889" s="14">
        <f>IF(OR(Tabela1[[#This Row],[Entrada]]="",Tabela1[[#This Row],[Saída]]=""), "", Tabela1[[#This Row],[Saída]]-Tabela1[[#This Row],[Entrada]])</f>
        <v>5.4166666666666641E-2</v>
      </c>
      <c r="U889" s="1"/>
      <c r="V889" s="1"/>
      <c r="W889" s="2"/>
      <c r="X889" s="2"/>
    </row>
    <row r="890" spans="11:24" ht="15" hidden="1" customHeight="1">
      <c r="K890" s="5">
        <v>46107</v>
      </c>
      <c r="L890" s="8" t="s">
        <v>164</v>
      </c>
      <c r="M890" s="9" t="str">
        <f>IF(Tabela1[[#This Row],[Motorista]]="","",IFERROR(_xlfn.XLOOKUP(Tabela1[[#This Row],[Motorista]],Base!A:A,Base!B:B),""))</f>
        <v>RZD</v>
      </c>
      <c r="N890" s="20" t="str">
        <f t="shared" si="34"/>
        <v>Finalizado</v>
      </c>
      <c r="O8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90" s="4">
        <v>0.2986111111111111</v>
      </c>
      <c r="Q890" s="4"/>
      <c r="R890" s="23">
        <v>0.40347222222222223</v>
      </c>
      <c r="S890" s="16"/>
      <c r="T890" s="14" t="str">
        <f>IF(OR(Tabela1[[#This Row],[Entrada]]="",Tabela1[[#This Row],[Saída]]=""), "", Tabela1[[#This Row],[Saída]]-Tabela1[[#This Row],[Entrada]])</f>
        <v/>
      </c>
      <c r="U890" s="1"/>
      <c r="V890" s="1"/>
      <c r="W890" s="2"/>
      <c r="X890" s="2"/>
    </row>
    <row r="891" spans="11:24" ht="15" hidden="1" customHeight="1">
      <c r="K891" s="5">
        <v>46107</v>
      </c>
      <c r="L891" s="8" t="s">
        <v>92</v>
      </c>
      <c r="M891" s="9" t="str">
        <f>IF(Tabela1[[#This Row],[Motorista]]="","",IFERROR(_xlfn.XLOOKUP(Tabela1[[#This Row],[Motorista]],Base!A:A,Base!B:B),""))</f>
        <v>FOB</v>
      </c>
      <c r="N891" s="20" t="str">
        <f t="shared" si="34"/>
        <v>Finalizado</v>
      </c>
      <c r="O8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1" s="4">
        <v>0.30416666666666664</v>
      </c>
      <c r="Q891" s="4">
        <v>0.3576388888888889</v>
      </c>
      <c r="R891" s="23">
        <v>0.40625</v>
      </c>
      <c r="S891" s="16"/>
      <c r="T891" s="14">
        <f>IF(OR(Tabela1[[#This Row],[Entrada]]="",Tabela1[[#This Row],[Saída]]=""), "", Tabela1[[#This Row],[Saída]]-Tabela1[[#This Row],[Entrada]])</f>
        <v>4.8611111111111105E-2</v>
      </c>
      <c r="U891" s="1"/>
      <c r="V891" s="1"/>
      <c r="W891" s="2"/>
      <c r="X891" s="2"/>
    </row>
    <row r="892" spans="11:24" ht="15" hidden="1" customHeight="1">
      <c r="K892" s="5">
        <v>46107</v>
      </c>
      <c r="L892" s="8" t="s">
        <v>90</v>
      </c>
      <c r="M892" s="9" t="str">
        <f>IF(Tabela1[[#This Row],[Motorista]]="","",IFERROR(_xlfn.XLOOKUP(Tabela1[[#This Row],[Motorista]],Base!A:A,Base!B:B),""))</f>
        <v>FOB</v>
      </c>
      <c r="N892" s="20" t="str">
        <f t="shared" si="34"/>
        <v>Finalizado</v>
      </c>
      <c r="O8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2" s="4">
        <v>0.34166666666666667</v>
      </c>
      <c r="Q892" s="4">
        <v>0.39444444444444443</v>
      </c>
      <c r="R892" s="23">
        <v>0.53680555555555554</v>
      </c>
      <c r="S892" s="16"/>
      <c r="T892" s="14">
        <f>IF(OR(Tabela1[[#This Row],[Entrada]]="",Tabela1[[#This Row],[Saída]]=""), "", Tabela1[[#This Row],[Saída]]-Tabela1[[#This Row],[Entrada]])</f>
        <v>0.1423611111111111</v>
      </c>
      <c r="U892" s="1"/>
      <c r="V892" s="1" t="s">
        <v>250</v>
      </c>
      <c r="W892" s="2"/>
      <c r="X892" s="2"/>
    </row>
    <row r="893" spans="11:24" ht="15" hidden="1" customHeight="1">
      <c r="K893" s="5">
        <v>46107</v>
      </c>
      <c r="L893" s="8" t="s">
        <v>119</v>
      </c>
      <c r="M893" s="9" t="str">
        <f>IF(Tabela1[[#This Row],[Motorista]]="","",IFERROR(_xlfn.XLOOKUP(Tabela1[[#This Row],[Motorista]],Base!A:A,Base!B:B),""))</f>
        <v>RZD</v>
      </c>
      <c r="N893" s="20" t="str">
        <f t="shared" si="34"/>
        <v>Aguardando Entrada</v>
      </c>
      <c r="O8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3" s="4">
        <v>0.34513888888888888</v>
      </c>
      <c r="Q893" s="4"/>
      <c r="R893" s="23"/>
      <c r="S893" s="16"/>
      <c r="T893" s="14" t="str">
        <f>IF(OR(Tabela1[[#This Row],[Entrada]]="",Tabela1[[#This Row],[Saída]]=""), "", Tabela1[[#This Row],[Saída]]-Tabela1[[#This Row],[Entrada]])</f>
        <v/>
      </c>
      <c r="U893" s="1"/>
      <c r="V893" s="1"/>
      <c r="W893" s="2"/>
      <c r="X893" s="2"/>
    </row>
    <row r="894" spans="11:24" ht="15" hidden="1" customHeight="1">
      <c r="K894" s="5">
        <v>46107</v>
      </c>
      <c r="L894" s="8" t="s">
        <v>116</v>
      </c>
      <c r="M894" s="9" t="str">
        <f>IF(Tabela1[[#This Row],[Motorista]]="","",IFERROR(_xlfn.XLOOKUP(Tabela1[[#This Row],[Motorista]],Base!A:A,Base!B:B),""))</f>
        <v xml:space="preserve">CIF </v>
      </c>
      <c r="N894" s="20" t="str">
        <f t="shared" si="34"/>
        <v>Fila de Carregamento</v>
      </c>
      <c r="O8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4" s="4">
        <v>0.35</v>
      </c>
      <c r="Q894" s="4">
        <v>0.40347222222222223</v>
      </c>
      <c r="R894" s="23"/>
      <c r="S894" s="16"/>
      <c r="T894" s="14" t="str">
        <f>IF(OR(Tabela1[[#This Row],[Entrada]]="",Tabela1[[#This Row],[Saída]]=""), "", Tabela1[[#This Row],[Saída]]-Tabela1[[#This Row],[Entrada]])</f>
        <v/>
      </c>
      <c r="U894" s="1"/>
      <c r="V894" s="1"/>
      <c r="W894" s="2"/>
      <c r="X894" s="2"/>
    </row>
    <row r="895" spans="11:24" ht="15" hidden="1" customHeight="1">
      <c r="K895" s="5">
        <v>46107</v>
      </c>
      <c r="L895" s="8" t="s">
        <v>98</v>
      </c>
      <c r="M895" s="9" t="str">
        <f>IF(Tabela1[[#This Row],[Motorista]]="","",IFERROR(_xlfn.XLOOKUP(Tabela1[[#This Row],[Motorista]],Base!A:A,Base!B:B),""))</f>
        <v>FOB</v>
      </c>
      <c r="N895" s="20" t="str">
        <f t="shared" si="34"/>
        <v>Finalizado</v>
      </c>
      <c r="O8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5" s="4">
        <v>0.36805555555555558</v>
      </c>
      <c r="Q895" s="4">
        <v>0.38194444444444442</v>
      </c>
      <c r="R895" s="23">
        <v>0.57222222222222219</v>
      </c>
      <c r="S895" s="16"/>
      <c r="T895" s="14">
        <f>IF(OR(Tabela1[[#This Row],[Entrada]]="",Tabela1[[#This Row],[Saída]]=""), "", Tabela1[[#This Row],[Saída]]-Tabela1[[#This Row],[Entrada]])</f>
        <v>0.19027777777777777</v>
      </c>
      <c r="U895" s="1"/>
      <c r="V895" s="1"/>
      <c r="W895" s="2"/>
      <c r="X895" s="2"/>
    </row>
    <row r="896" spans="11:24" ht="15" hidden="1" customHeight="1">
      <c r="K896" s="5">
        <v>46107</v>
      </c>
      <c r="L896" s="8" t="s">
        <v>162</v>
      </c>
      <c r="M896" s="9" t="str">
        <f>IF(Tabela1[[#This Row],[Motorista]]="","",IFERROR(_xlfn.XLOOKUP(Tabela1[[#This Row],[Motorista]],Base!A:A,Base!B:B),""))</f>
        <v>FOB</v>
      </c>
      <c r="N896" s="20" t="str">
        <f t="shared" si="34"/>
        <v>Aguardando Entrada</v>
      </c>
      <c r="O8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6" s="4">
        <v>0.38819444444444445</v>
      </c>
      <c r="Q896" s="4"/>
      <c r="R896" s="23"/>
      <c r="S896" s="16"/>
      <c r="T896" s="14" t="str">
        <f>IF(OR(Tabela1[[#This Row],[Entrada]]="",Tabela1[[#This Row],[Saída]]=""), "", Tabela1[[#This Row],[Saída]]-Tabela1[[#This Row],[Entrada]])</f>
        <v/>
      </c>
      <c r="U896" s="1"/>
      <c r="V896" s="1"/>
      <c r="W896" s="2"/>
      <c r="X896" s="2"/>
    </row>
    <row r="897" spans="11:24" ht="15" hidden="1" customHeight="1">
      <c r="K897" s="5">
        <v>46107</v>
      </c>
      <c r="L897" s="8" t="s">
        <v>181</v>
      </c>
      <c r="M897" s="9" t="str">
        <f>IF(Tabela1[[#This Row],[Motorista]]="","",IFERROR(_xlfn.XLOOKUP(Tabela1[[#This Row],[Motorista]],Base!A:A,Base!B:B),""))</f>
        <v>FOB</v>
      </c>
      <c r="N897" s="20" t="str">
        <f t="shared" si="34"/>
        <v>Aguardando Entrada</v>
      </c>
      <c r="O8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7" s="4">
        <v>0.4201388888888889</v>
      </c>
      <c r="Q897" s="4"/>
      <c r="R897" s="23"/>
      <c r="S897" s="16"/>
      <c r="T897" s="14" t="str">
        <f>IF(OR(Tabela1[[#This Row],[Entrada]]="",Tabela1[[#This Row],[Saída]]=""), "", Tabela1[[#This Row],[Saída]]-Tabela1[[#This Row],[Entrada]])</f>
        <v/>
      </c>
      <c r="U897" s="1"/>
      <c r="V897" s="1"/>
      <c r="W897" s="2"/>
      <c r="X897" s="2"/>
    </row>
    <row r="898" spans="11:24" ht="15" hidden="1" customHeight="1">
      <c r="K898" s="5">
        <v>46107</v>
      </c>
      <c r="L898" s="8" t="s">
        <v>89</v>
      </c>
      <c r="M898" s="9" t="str">
        <f>IF(Tabela1[[#This Row],[Motorista]]="","",IFERROR(_xlfn.XLOOKUP(Tabela1[[#This Row],[Motorista]],Base!A:A,Base!B:B),""))</f>
        <v>FOB</v>
      </c>
      <c r="N898" s="20" t="str">
        <f t="shared" si="34"/>
        <v>Finalizado</v>
      </c>
      <c r="O8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898" s="4">
        <v>0.69374999999999998</v>
      </c>
      <c r="Q898" s="4">
        <v>0.70902777777777781</v>
      </c>
      <c r="R898" s="23">
        <v>0.75416666666666665</v>
      </c>
      <c r="S898" s="16"/>
      <c r="T898" s="14">
        <f>IF(OR(Tabela1[[#This Row],[Entrada]]="",Tabela1[[#This Row],[Saída]]=""), "", Tabela1[[#This Row],[Saída]]-Tabela1[[#This Row],[Entrada]])</f>
        <v>4.513888888888884E-2</v>
      </c>
      <c r="U898" s="1"/>
      <c r="V898" s="1"/>
      <c r="W898" s="2"/>
      <c r="X898" s="2"/>
    </row>
    <row r="899" spans="11:24" ht="15" hidden="1" customHeight="1">
      <c r="K899" s="5">
        <v>46107</v>
      </c>
      <c r="L899" s="8" t="s">
        <v>87</v>
      </c>
      <c r="M899" s="9" t="str">
        <f>IF(Tabela1[[#This Row],[Motorista]]="","",IFERROR(_xlfn.XLOOKUP(Tabela1[[#This Row],[Motorista]],Base!A:A,Base!B:B),""))</f>
        <v>FOB</v>
      </c>
      <c r="N899" s="20" t="str">
        <f t="shared" si="34"/>
        <v>Finalizado</v>
      </c>
      <c r="O8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899" s="4"/>
      <c r="Q899" s="4"/>
      <c r="R899" s="23">
        <v>0.67083333333333328</v>
      </c>
      <c r="S899" s="16"/>
      <c r="T899" s="14" t="str">
        <f>IF(OR(Tabela1[[#This Row],[Entrada]]="",Tabela1[[#This Row],[Saída]]=""), "", Tabela1[[#This Row],[Saída]]-Tabela1[[#This Row],[Entrada]])</f>
        <v/>
      </c>
      <c r="U899" s="1"/>
      <c r="V899" s="1"/>
      <c r="W899" s="2"/>
      <c r="X899" s="2"/>
    </row>
    <row r="900" spans="11:24" ht="15" hidden="1" customHeight="1">
      <c r="K900" s="5">
        <v>46107</v>
      </c>
      <c r="L900" s="8" t="s">
        <v>164</v>
      </c>
      <c r="M900" s="9" t="str">
        <f>IF(Tabela1[[#This Row],[Motorista]]="","",IFERROR(_xlfn.XLOOKUP(Tabela1[[#This Row],[Motorista]],Base!A:A,Base!B:B),""))</f>
        <v>RZD</v>
      </c>
      <c r="N900" s="20" t="str">
        <f t="shared" si="34"/>
        <v/>
      </c>
      <c r="O9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0" s="4"/>
      <c r="Q900" s="4"/>
      <c r="R900" s="23"/>
      <c r="S900" s="16"/>
      <c r="T900" s="14" t="str">
        <f>IF(OR(Tabela1[[#This Row],[Entrada]]="",Tabela1[[#This Row],[Saída]]=""), "", Tabela1[[#This Row],[Saída]]-Tabela1[[#This Row],[Entrada]])</f>
        <v/>
      </c>
      <c r="U900" s="1"/>
      <c r="V900" s="1"/>
      <c r="W900" s="2"/>
      <c r="X900" s="2"/>
    </row>
    <row r="901" spans="11:24" ht="15" hidden="1" customHeight="1">
      <c r="K901" s="5">
        <v>46107</v>
      </c>
      <c r="L901" s="8" t="s">
        <v>52</v>
      </c>
      <c r="M901" s="9" t="str">
        <f>IF(Tabela1[[#This Row],[Motorista]]="","",IFERROR(_xlfn.XLOOKUP(Tabela1[[#This Row],[Motorista]],Base!A:A,Base!B:B),""))</f>
        <v>CIF</v>
      </c>
      <c r="N901" s="20" t="str">
        <f t="shared" si="34"/>
        <v>Finalizado</v>
      </c>
      <c r="O9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1" s="4"/>
      <c r="Q901" s="4"/>
      <c r="R901" s="23">
        <v>0.6381944444444444</v>
      </c>
      <c r="S901" s="16"/>
      <c r="T901" s="14" t="str">
        <f>IF(OR(Tabela1[[#This Row],[Entrada]]="",Tabela1[[#This Row],[Saída]]=""), "", Tabela1[[#This Row],[Saída]]-Tabela1[[#This Row],[Entrada]])</f>
        <v/>
      </c>
      <c r="U901" s="1"/>
      <c r="V901" s="1"/>
      <c r="W901" s="2"/>
      <c r="X901" s="2"/>
    </row>
    <row r="902" spans="11:24" ht="15" hidden="1" customHeight="1">
      <c r="K902" s="5">
        <v>46107</v>
      </c>
      <c r="L902" s="8" t="s">
        <v>58</v>
      </c>
      <c r="M902" s="9" t="str">
        <f>IF(Tabela1[[#This Row],[Motorista]]="","",IFERROR(_xlfn.XLOOKUP(Tabela1[[#This Row],[Motorista]],Base!A:A,Base!B:B),""))</f>
        <v xml:space="preserve">CIF </v>
      </c>
      <c r="N902" s="20" t="str">
        <f t="shared" si="34"/>
        <v>Finalizado</v>
      </c>
      <c r="O9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2" s="4"/>
      <c r="Q902" s="4"/>
      <c r="R902" s="23">
        <v>0.625</v>
      </c>
      <c r="S902" s="16"/>
      <c r="T902" s="14" t="str">
        <f>IF(OR(Tabela1[[#This Row],[Entrada]]="",Tabela1[[#This Row],[Saída]]=""), "", Tabela1[[#This Row],[Saída]]-Tabela1[[#This Row],[Entrada]])</f>
        <v/>
      </c>
      <c r="U902" s="1"/>
      <c r="V902" s="1"/>
      <c r="W902" s="2"/>
      <c r="X902" s="2"/>
    </row>
    <row r="903" spans="11:24" ht="15" hidden="1" customHeight="1">
      <c r="K903" s="5">
        <v>46107</v>
      </c>
      <c r="L903" s="8" t="s">
        <v>175</v>
      </c>
      <c r="M903" s="9" t="str">
        <f>IF(Tabela1[[#This Row],[Motorista]]="","",IFERROR(_xlfn.XLOOKUP(Tabela1[[#This Row],[Motorista]],Base!A:A,Base!B:B),""))</f>
        <v>FOB</v>
      </c>
      <c r="N903" s="20" t="str">
        <f t="shared" si="34"/>
        <v>Finalizado</v>
      </c>
      <c r="O9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03" s="4"/>
      <c r="Q903" s="4"/>
      <c r="R903" s="23">
        <v>0.60416666666666663</v>
      </c>
      <c r="S903" s="16"/>
      <c r="T903" s="14" t="str">
        <f>IF(OR(Tabela1[[#This Row],[Entrada]]="",Tabela1[[#This Row],[Saída]]=""), "", Tabela1[[#This Row],[Saída]]-Tabela1[[#This Row],[Entrada]])</f>
        <v/>
      </c>
      <c r="U903" s="1"/>
      <c r="V903" s="1"/>
      <c r="W903" s="2"/>
      <c r="X903" s="2"/>
    </row>
    <row r="904" spans="11:24" ht="15" hidden="1" customHeight="1">
      <c r="K904" s="5">
        <v>46107</v>
      </c>
      <c r="L904" s="8" t="s">
        <v>47</v>
      </c>
      <c r="M904" s="9" t="str">
        <f>IF(Tabela1[[#This Row],[Motorista]]="","",IFERROR(_xlfn.XLOOKUP(Tabela1[[#This Row],[Motorista]],Base!A:A,Base!B:B),""))</f>
        <v>CIF</v>
      </c>
      <c r="N904" s="20" t="str">
        <f t="shared" si="34"/>
        <v>Finalizado</v>
      </c>
      <c r="O9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04" s="4"/>
      <c r="Q904" s="4"/>
      <c r="R904" s="23">
        <v>0.65486111111111112</v>
      </c>
      <c r="S904" s="16"/>
      <c r="T904" s="14" t="str">
        <f>IF(OR(Tabela1[[#This Row],[Entrada]]="",Tabela1[[#This Row],[Saída]]=""), "", Tabela1[[#This Row],[Saída]]-Tabela1[[#This Row],[Entrada]])</f>
        <v/>
      </c>
      <c r="U904" s="1"/>
      <c r="V904" s="1" t="s">
        <v>251</v>
      </c>
      <c r="W904" s="2"/>
      <c r="X904" s="2"/>
    </row>
    <row r="905" spans="11:24" ht="15" hidden="1" customHeight="1">
      <c r="K905" s="5">
        <v>46107</v>
      </c>
      <c r="L905" s="8" t="s">
        <v>45</v>
      </c>
      <c r="M905" s="9" t="str">
        <f>IF(Tabela1[[#This Row],[Motorista]]="","",IFERROR(_xlfn.XLOOKUP(Tabela1[[#This Row],[Motorista]],Base!A:A,Base!B:B),""))</f>
        <v>CIF</v>
      </c>
      <c r="N905" s="20" t="str">
        <f t="shared" si="34"/>
        <v>Finalizado</v>
      </c>
      <c r="O9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05" s="4"/>
      <c r="Q905" s="4"/>
      <c r="R905" s="23">
        <v>0.65416666666666667</v>
      </c>
      <c r="S905" s="16"/>
      <c r="T905" s="14" t="str">
        <f>IF(OR(Tabela1[[#This Row],[Entrada]]="",Tabela1[[#This Row],[Saída]]=""), "", Tabela1[[#This Row],[Saída]]-Tabela1[[#This Row],[Entrada]])</f>
        <v/>
      </c>
      <c r="U905" s="1"/>
      <c r="V905" s="1"/>
      <c r="W905" s="2"/>
      <c r="X905" s="2"/>
    </row>
    <row r="906" spans="11:24" ht="15" hidden="1" customHeight="1">
      <c r="K906" s="5">
        <v>46107</v>
      </c>
      <c r="L906" s="8" t="s">
        <v>46</v>
      </c>
      <c r="M906" s="9" t="str">
        <f>IF(Tabela1[[#This Row],[Motorista]]="","",IFERROR(_xlfn.XLOOKUP(Tabela1[[#This Row],[Motorista]],Base!A:A,Base!B:B),""))</f>
        <v>CIF</v>
      </c>
      <c r="N906" s="20" t="str">
        <f t="shared" si="34"/>
        <v>Finalizado</v>
      </c>
      <c r="O9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6" s="4"/>
      <c r="Q906" s="4"/>
      <c r="R906" s="23">
        <v>0.66597222222222219</v>
      </c>
      <c r="S906" s="16"/>
      <c r="T906" s="14" t="str">
        <f>IF(OR(Tabela1[[#This Row],[Entrada]]="",Tabela1[[#This Row],[Saída]]=""), "", Tabela1[[#This Row],[Saída]]-Tabela1[[#This Row],[Entrada]])</f>
        <v/>
      </c>
      <c r="U906" s="1"/>
      <c r="V906" s="1" t="s">
        <v>252</v>
      </c>
      <c r="W906" s="2"/>
      <c r="X906" s="2"/>
    </row>
    <row r="907" spans="11:24" ht="15" hidden="1" customHeight="1">
      <c r="K907" s="5">
        <v>46107</v>
      </c>
      <c r="L907" s="8" t="s">
        <v>54</v>
      </c>
      <c r="M907" s="9" t="str">
        <f>IF(Tabela1[[#This Row],[Motorista]]="","",IFERROR(_xlfn.XLOOKUP(Tabela1[[#This Row],[Motorista]],Base!A:A,Base!B:B),""))</f>
        <v>CIF</v>
      </c>
      <c r="N907" s="20" t="str">
        <f t="shared" si="34"/>
        <v/>
      </c>
      <c r="O9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7" s="4"/>
      <c r="Q907" s="4"/>
      <c r="R907" s="23"/>
      <c r="S907" s="16"/>
      <c r="T907" s="14" t="str">
        <f>IF(OR(Tabela1[[#This Row],[Entrada]]="",Tabela1[[#This Row],[Saída]]=""), "", Tabela1[[#This Row],[Saída]]-Tabela1[[#This Row],[Entrada]])</f>
        <v/>
      </c>
      <c r="U907" s="1"/>
      <c r="V907" s="1" t="s">
        <v>253</v>
      </c>
      <c r="W907" s="2"/>
      <c r="X907" s="2"/>
    </row>
    <row r="908" spans="11:24" ht="15" hidden="1" customHeight="1">
      <c r="K908" s="5">
        <v>46108</v>
      </c>
      <c r="L908" t="s">
        <v>45</v>
      </c>
      <c r="M908" s="24" t="s">
        <v>62</v>
      </c>
      <c r="N908" s="20" t="str">
        <f t="shared" si="33"/>
        <v>Finalizado</v>
      </c>
      <c r="O9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8" s="4">
        <v>0.21666666666666667</v>
      </c>
      <c r="Q908" s="4">
        <v>0.25763888888888886</v>
      </c>
      <c r="R908" s="23">
        <v>0.28333333333333333</v>
      </c>
      <c r="S908" s="16" t="s">
        <v>85</v>
      </c>
      <c r="T908" s="14">
        <f>IF(OR(Tabela1[[#This Row],[Entrada]]="",Tabela1[[#This Row],[Saída]]=""), "", Tabela1[[#This Row],[Saída]]-Tabela1[[#This Row],[Entrada]])</f>
        <v>2.5694444444444464E-2</v>
      </c>
      <c r="U908" s="1"/>
      <c r="V908" s="1"/>
      <c r="W908" s="2"/>
      <c r="X908" s="2"/>
    </row>
    <row r="909" spans="11:24" ht="15" hidden="1" customHeight="1">
      <c r="K909" s="5">
        <v>46108</v>
      </c>
      <c r="L909" s="8" t="s">
        <v>116</v>
      </c>
      <c r="M909" s="24" t="s">
        <v>62</v>
      </c>
      <c r="N909" s="20" t="str">
        <f t="shared" si="33"/>
        <v>Finalizado</v>
      </c>
      <c r="O9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09" s="4">
        <v>0.23541666666666666</v>
      </c>
      <c r="Q909" s="4">
        <v>0.2638888888888889</v>
      </c>
      <c r="R909" s="23">
        <v>0.2951388888888889</v>
      </c>
      <c r="S909" s="16" t="s">
        <v>85</v>
      </c>
      <c r="T909" s="14">
        <f>IF(OR(Tabela1[[#This Row],[Entrada]]="",Tabela1[[#This Row],[Saída]]=""), "", Tabela1[[#This Row],[Saída]]-Tabela1[[#This Row],[Entrada]])</f>
        <v>3.125E-2</v>
      </c>
      <c r="U909" s="15">
        <f>IF(OR('Controle de CT'!$R909= "", 'Controle de CT'!$P909= ""), "", 'Controle de CT'!$R909-'Controle de CT'!$P909)</f>
        <v>5.9722222222222232E-2</v>
      </c>
      <c r="V909" s="1"/>
      <c r="W909" s="2"/>
      <c r="X909" s="2"/>
    </row>
    <row r="910" spans="11:24" ht="15" hidden="1" customHeight="1">
      <c r="K910" s="5">
        <v>46108</v>
      </c>
      <c r="L910" s="8" t="s">
        <v>87</v>
      </c>
      <c r="M910" s="9" t="str">
        <f>IF(Tabela1[[#This Row],[Motorista]]="","",IFERROR(_xlfn.XLOOKUP(Tabela1[[#This Row],[Motorista]],Base!A:A,Base!B:B),""))</f>
        <v>FOB</v>
      </c>
      <c r="N910" s="20" t="str">
        <f t="shared" si="33"/>
        <v>Finalizado</v>
      </c>
      <c r="O9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0" s="4">
        <v>0.24027777777777778</v>
      </c>
      <c r="Q910" s="4">
        <v>0.28888888888888886</v>
      </c>
      <c r="R910" s="23">
        <v>0.39583333333333331</v>
      </c>
      <c r="S910" s="16" t="s">
        <v>85</v>
      </c>
      <c r="T910" s="14">
        <f>IF(OR(Tabela1[[#This Row],[Entrada]]="",Tabela1[[#This Row],[Saída]]=""), "", Tabela1[[#This Row],[Saída]]-Tabela1[[#This Row],[Entrada]])</f>
        <v>0.10694444444444445</v>
      </c>
      <c r="U910" s="15">
        <f>IF(OR('Controle de CT'!$R910= "", 'Controle de CT'!$P910= ""), "", 'Controle de CT'!$R910-'Controle de CT'!$P910)</f>
        <v>0.15555555555555553</v>
      </c>
      <c r="V910" s="1" t="s">
        <v>220</v>
      </c>
      <c r="W910" s="2"/>
      <c r="X910" s="2"/>
    </row>
    <row r="911" spans="11:24" ht="15" hidden="1" customHeight="1">
      <c r="K911" s="5">
        <v>46108</v>
      </c>
      <c r="L911" t="s">
        <v>198</v>
      </c>
      <c r="M911" s="24" t="s">
        <v>62</v>
      </c>
      <c r="N911" s="20" t="str">
        <f t="shared" si="33"/>
        <v>Finalizado</v>
      </c>
      <c r="O9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11" s="4">
        <v>0.24374999999999999</v>
      </c>
      <c r="Q911" s="4">
        <v>0.27152777777777776</v>
      </c>
      <c r="R911" s="23">
        <v>0.32222222222222224</v>
      </c>
      <c r="S911" s="16" t="s">
        <v>85</v>
      </c>
      <c r="T911" s="14">
        <f>IF(OR(Tabela1[[#This Row],[Entrada]]="",Tabela1[[#This Row],[Saída]]=""), "", Tabela1[[#This Row],[Saída]]-Tabela1[[#This Row],[Entrada]])</f>
        <v>5.0694444444444486E-2</v>
      </c>
      <c r="U911" s="15">
        <f>IF(OR('Controle de CT'!$R911= "", 'Controle de CT'!$P911= ""), "", 'Controle de CT'!$R911-'Controle de CT'!$P911)</f>
        <v>7.8472222222222249E-2</v>
      </c>
      <c r="V911" s="1"/>
      <c r="W911" s="2"/>
      <c r="X911" s="2"/>
    </row>
    <row r="912" spans="11:24" ht="15" hidden="1" customHeight="1">
      <c r="K912" s="5">
        <v>46108</v>
      </c>
      <c r="L912" s="8" t="s">
        <v>48</v>
      </c>
      <c r="M912" s="9" t="str">
        <f>IF(Tabela1[[#This Row],[Motorista]]="","",IFERROR(_xlfn.XLOOKUP(Tabela1[[#This Row],[Motorista]],Base!A:A,Base!B:B),""))</f>
        <v>CIF</v>
      </c>
      <c r="N912" s="20" t="str">
        <f t="shared" si="33"/>
        <v>Finalizado</v>
      </c>
      <c r="O9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2" s="4">
        <v>0.24444444444444444</v>
      </c>
      <c r="Q912" s="4">
        <v>0.2722222222222222</v>
      </c>
      <c r="R912" s="23">
        <v>0.32777777777777778</v>
      </c>
      <c r="S912" s="16" t="s">
        <v>85</v>
      </c>
      <c r="T912" s="14">
        <f>IF(OR(Tabela1[[#This Row],[Entrada]]="",Tabela1[[#This Row],[Saída]]=""), "", Tabela1[[#This Row],[Saída]]-Tabela1[[#This Row],[Entrada]])</f>
        <v>5.555555555555558E-2</v>
      </c>
      <c r="U912" s="1"/>
      <c r="V912" s="1"/>
      <c r="W912" s="2"/>
      <c r="X912" s="2"/>
    </row>
    <row r="913" spans="11:24" ht="15" hidden="1" customHeight="1">
      <c r="K913" s="5">
        <v>46108</v>
      </c>
      <c r="L913" s="8" t="s">
        <v>154</v>
      </c>
      <c r="M913" s="9" t="str">
        <f>IF(Tabela1[[#This Row],[Motorista]]="","",IFERROR(_xlfn.XLOOKUP(Tabela1[[#This Row],[Motorista]],Base!A:A,Base!B:B),""))</f>
        <v>FOB</v>
      </c>
      <c r="N913" s="20" t="str">
        <f t="shared" si="33"/>
        <v>Finalizado</v>
      </c>
      <c r="O9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3" s="4">
        <v>0.24583333333333332</v>
      </c>
      <c r="Q913" s="4">
        <v>0.29305555555555557</v>
      </c>
      <c r="R913" s="23">
        <v>0.41666666666666669</v>
      </c>
      <c r="S913" s="16" t="s">
        <v>85</v>
      </c>
      <c r="T913" s="14">
        <f>IF(OR(Tabela1[[#This Row],[Entrada]]="",Tabela1[[#This Row],[Saída]]=""), "", Tabela1[[#This Row],[Saída]]-Tabela1[[#This Row],[Entrada]])</f>
        <v>0.12361111111111112</v>
      </c>
      <c r="U913" s="15">
        <f>IF(OR('Controle de CT'!$R913= "", 'Controle de CT'!$P913= ""), "", 'Controle de CT'!$R913-'Controle de CT'!$P913)</f>
        <v>0.17083333333333336</v>
      </c>
      <c r="V913" s="1" t="s">
        <v>220</v>
      </c>
      <c r="W913" s="2"/>
      <c r="X913" s="2"/>
    </row>
    <row r="914" spans="11:24" ht="15" hidden="1" customHeight="1">
      <c r="K914" s="5">
        <v>46108</v>
      </c>
      <c r="L914" s="8" t="s">
        <v>57</v>
      </c>
      <c r="M914" s="9" t="str">
        <f>IF(Tabela1[[#This Row],[Motorista]]="","",IFERROR(_xlfn.XLOOKUP(Tabela1[[#This Row],[Motorista]],Base!A:A,Base!B:B),""))</f>
        <v>CIF</v>
      </c>
      <c r="N914" s="20" t="str">
        <f t="shared" si="33"/>
        <v>Finalizado</v>
      </c>
      <c r="O9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4" s="4">
        <v>0.24930555555555556</v>
      </c>
      <c r="Q914" s="4">
        <v>0.27638888888888891</v>
      </c>
      <c r="R914" s="23">
        <v>0.33611111111111114</v>
      </c>
      <c r="S914" s="16" t="s">
        <v>85</v>
      </c>
      <c r="T914" s="14">
        <f>IF(OR(Tabela1[[#This Row],[Entrada]]="",Tabela1[[#This Row],[Saída]]=""), "", Tabela1[[#This Row],[Saída]]-Tabela1[[#This Row],[Entrada]])</f>
        <v>5.9722222222222232E-2</v>
      </c>
      <c r="U914" s="1"/>
      <c r="V914" s="1"/>
      <c r="W914" s="2"/>
      <c r="X914" s="2"/>
    </row>
    <row r="915" spans="11:24" ht="15" hidden="1" customHeight="1">
      <c r="K915" s="5">
        <v>46108</v>
      </c>
      <c r="L915" t="s">
        <v>115</v>
      </c>
      <c r="M915" s="24" t="s">
        <v>62</v>
      </c>
      <c r="N915" s="20" t="str">
        <f t="shared" si="33"/>
        <v>Finalizado</v>
      </c>
      <c r="O9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15" s="4">
        <v>0.25138888888888888</v>
      </c>
      <c r="Q915" s="4">
        <v>0.28958333333333336</v>
      </c>
      <c r="R915" s="23">
        <v>0.34861111111111109</v>
      </c>
      <c r="S915" s="16" t="s">
        <v>85</v>
      </c>
      <c r="T915" s="14">
        <f>IF(OR(Tabela1[[#This Row],[Entrada]]="",Tabela1[[#This Row],[Saída]]=""), "", Tabela1[[#This Row],[Saída]]-Tabela1[[#This Row],[Entrada]])</f>
        <v>5.9027777777777735E-2</v>
      </c>
      <c r="U915" s="1"/>
      <c r="V915" s="1"/>
      <c r="W915" s="2"/>
      <c r="X915" s="2"/>
    </row>
    <row r="916" spans="11:24" ht="15" hidden="1" customHeight="1">
      <c r="K916" s="5">
        <v>46108</v>
      </c>
      <c r="L916" s="8" t="s">
        <v>90</v>
      </c>
      <c r="M916" s="9" t="str">
        <f>IF(Tabela1[[#This Row],[Motorista]]="","",IFERROR(_xlfn.XLOOKUP(Tabela1[[#This Row],[Motorista]],Base!A:A,Base!B:B),""))</f>
        <v>FOB</v>
      </c>
      <c r="N916" s="20" t="str">
        <f t="shared" si="33"/>
        <v>Finalizado</v>
      </c>
      <c r="O9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6" s="4">
        <v>0.25555555555555554</v>
      </c>
      <c r="Q916" s="4">
        <v>0.3298611111111111</v>
      </c>
      <c r="R916" s="23">
        <v>0.37291666666666667</v>
      </c>
      <c r="S916" s="16" t="s">
        <v>85</v>
      </c>
      <c r="T916" s="14">
        <f>IF(OR(Tabela1[[#This Row],[Entrada]]="",Tabela1[[#This Row],[Saída]]=""), "", Tabela1[[#This Row],[Saída]]-Tabela1[[#This Row],[Entrada]])</f>
        <v>4.3055555555555569E-2</v>
      </c>
      <c r="U916" s="1"/>
      <c r="V916" s="1"/>
      <c r="W916" s="2"/>
      <c r="X916" s="2"/>
    </row>
    <row r="917" spans="11:24" ht="15" hidden="1" customHeight="1">
      <c r="K917" s="5">
        <v>46108</v>
      </c>
      <c r="L917" s="8" t="s">
        <v>93</v>
      </c>
      <c r="M917" s="9" t="str">
        <f>IF(Tabela1[[#This Row],[Motorista]]="","",IFERROR(_xlfn.XLOOKUP(Tabela1[[#This Row],[Motorista]],Base!A:A,Base!B:B),""))</f>
        <v>FOB</v>
      </c>
      <c r="N917" s="20" t="str">
        <f t="shared" ref="N917:N924" si="35">IF(R917&lt;&gt;"","Finalizado", IF(Q917&lt;&gt;"","Fila de Carregamento", IF(P917&lt;&gt;"","Aguardando Entrada","")))</f>
        <v>Finalizado</v>
      </c>
      <c r="O9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17" s="4">
        <v>0.27986111111111112</v>
      </c>
      <c r="Q917" s="4">
        <v>0.38680555555555557</v>
      </c>
      <c r="R917" s="23">
        <v>0.42499999999999999</v>
      </c>
      <c r="S917" s="16" t="s">
        <v>85</v>
      </c>
      <c r="T917" s="14">
        <f>IF(OR(Tabela1[[#This Row],[Entrada]]="",Tabela1[[#This Row],[Saída]]=""), "", Tabela1[[#This Row],[Saída]]-Tabela1[[#This Row],[Entrada]])</f>
        <v>3.819444444444442E-2</v>
      </c>
      <c r="U917" s="1"/>
      <c r="V917" s="1"/>
      <c r="W917" s="2"/>
      <c r="X917" s="2"/>
    </row>
    <row r="918" spans="11:24" ht="15" hidden="1" customHeight="1">
      <c r="K918" s="5">
        <v>46108</v>
      </c>
      <c r="L918" s="8" t="s">
        <v>53</v>
      </c>
      <c r="M918" s="9" t="str">
        <f>IF(Tabela1[[#This Row],[Motorista]]="","",IFERROR(_xlfn.XLOOKUP(Tabela1[[#This Row],[Motorista]],Base!A:A,Base!B:B),""))</f>
        <v>CIF</v>
      </c>
      <c r="N918" s="20" t="str">
        <f t="shared" si="35"/>
        <v>Finalizado</v>
      </c>
      <c r="O9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18" s="4">
        <v>0.27291666666666664</v>
      </c>
      <c r="Q918" s="4">
        <v>0.3</v>
      </c>
      <c r="R918" s="23">
        <v>0.34375</v>
      </c>
      <c r="S918" s="16" t="s">
        <v>85</v>
      </c>
      <c r="T918" s="14">
        <f>IF(OR(Tabela1[[#This Row],[Entrada]]="",Tabela1[[#This Row],[Saída]]=""), "", Tabela1[[#This Row],[Saída]]-Tabela1[[#This Row],[Entrada]])</f>
        <v>4.3750000000000011E-2</v>
      </c>
      <c r="U918" s="1"/>
      <c r="V918" s="1"/>
      <c r="W918" s="2"/>
      <c r="X918" s="2"/>
    </row>
    <row r="919" spans="11:24" ht="15" hidden="1" customHeight="1">
      <c r="K919" s="5">
        <v>46108</v>
      </c>
      <c r="L919" s="8" t="s">
        <v>92</v>
      </c>
      <c r="M919" s="9" t="str">
        <f>IF(Tabela1[[#This Row],[Motorista]]="","",IFERROR(_xlfn.XLOOKUP(Tabela1[[#This Row],[Motorista]],Base!A:A,Base!B:B),""))</f>
        <v>FOB</v>
      </c>
      <c r="N919" s="20" t="str">
        <f t="shared" si="35"/>
        <v>Finalizado</v>
      </c>
      <c r="O9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19" s="4">
        <v>0.27916666666666667</v>
      </c>
      <c r="Q919" s="4">
        <v>0.33680555555555558</v>
      </c>
      <c r="R919" s="23">
        <v>0.3611111111111111</v>
      </c>
      <c r="S919" s="16" t="s">
        <v>85</v>
      </c>
      <c r="T919" s="14">
        <f>IF(OR(Tabela1[[#This Row],[Entrada]]="",Tabela1[[#This Row],[Saída]]=""), "", Tabela1[[#This Row],[Saída]]-Tabela1[[#This Row],[Entrada]])</f>
        <v>2.4305555555555525E-2</v>
      </c>
      <c r="U919" s="1"/>
      <c r="V919" s="1"/>
      <c r="W919" s="2"/>
      <c r="X919" s="2"/>
    </row>
    <row r="920" spans="11:24" ht="15" hidden="1" customHeight="1">
      <c r="K920" s="5">
        <v>46108</v>
      </c>
      <c r="L920" s="8" t="s">
        <v>91</v>
      </c>
      <c r="M920" s="9" t="str">
        <f>IF(Tabela1[[#This Row],[Motorista]]="","",IFERROR(_xlfn.XLOOKUP(Tabela1[[#This Row],[Motorista]],Base!A:A,Base!B:B),""))</f>
        <v>FOB</v>
      </c>
      <c r="N920" s="20" t="str">
        <f t="shared" si="35"/>
        <v>Finalizado</v>
      </c>
      <c r="O9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0" s="4">
        <v>0.30138888888888887</v>
      </c>
      <c r="Q920" s="4">
        <v>0.3659722222222222</v>
      </c>
      <c r="R920" s="23">
        <v>0.39583333333333331</v>
      </c>
      <c r="S920" s="16" t="s">
        <v>85</v>
      </c>
      <c r="T920" s="14">
        <f>IF(OR(Tabela1[[#This Row],[Entrada]]="",Tabela1[[#This Row],[Saída]]=""), "", Tabela1[[#This Row],[Saída]]-Tabela1[[#This Row],[Entrada]])</f>
        <v>2.9861111111111116E-2</v>
      </c>
      <c r="U920" s="1"/>
      <c r="V920" s="1"/>
      <c r="W920" s="2"/>
      <c r="X920" s="2"/>
    </row>
    <row r="921" spans="11:24" ht="15" hidden="1" customHeight="1">
      <c r="K921" s="5">
        <v>46108</v>
      </c>
      <c r="L921" s="8" t="s">
        <v>119</v>
      </c>
      <c r="M921" s="9" t="str">
        <f>IF(Tabela1[[#This Row],[Motorista]]="","",IFERROR(_xlfn.XLOOKUP(Tabela1[[#This Row],[Motorista]],Base!A:A,Base!B:B),""))</f>
        <v>RZD</v>
      </c>
      <c r="N921" s="20" t="str">
        <f t="shared" si="35"/>
        <v>Finalizado</v>
      </c>
      <c r="O9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1" s="4">
        <v>0.26319444444444445</v>
      </c>
      <c r="Q921" s="4">
        <v>0.36736111111111114</v>
      </c>
      <c r="R921" s="23">
        <v>0.37222222222222223</v>
      </c>
      <c r="S921" s="16" t="s">
        <v>85</v>
      </c>
      <c r="T921" s="14">
        <f>IF(OR(Tabela1[[#This Row],[Entrada]]="",Tabela1[[#This Row],[Saída]]=""), "", Tabela1[[#This Row],[Saída]]-Tabela1[[#This Row],[Entrada]])</f>
        <v>4.8611111111110938E-3</v>
      </c>
      <c r="U921" s="1"/>
      <c r="V921" s="1"/>
      <c r="W921" s="2"/>
      <c r="X921" s="2"/>
    </row>
    <row r="922" spans="11:24" ht="15" hidden="1" customHeight="1">
      <c r="K922" s="5">
        <v>46108</v>
      </c>
      <c r="L922" s="8" t="s">
        <v>123</v>
      </c>
      <c r="M922" s="9" t="str">
        <f>IF(Tabela1[[#This Row],[Motorista]]="","",IFERROR(_xlfn.XLOOKUP(Tabela1[[#This Row],[Motorista]],Base!A:A,Base!B:B),""))</f>
        <v>RZD</v>
      </c>
      <c r="N922" s="20" t="str">
        <f t="shared" si="35"/>
        <v>Finalizado</v>
      </c>
      <c r="O9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2" s="4">
        <v>0.33888888888888891</v>
      </c>
      <c r="Q922" s="4">
        <v>0.375</v>
      </c>
      <c r="R922" s="23">
        <v>0.39791666666666664</v>
      </c>
      <c r="S922" s="16" t="s">
        <v>85</v>
      </c>
      <c r="T922" s="14">
        <f>IF(OR(Tabela1[[#This Row],[Entrada]]="",Tabela1[[#This Row],[Saída]]=""), "", Tabela1[[#This Row],[Saída]]-Tabela1[[#This Row],[Entrada]])</f>
        <v>2.2916666666666641E-2</v>
      </c>
      <c r="U922" s="1"/>
      <c r="V922" s="1"/>
      <c r="W922" s="2"/>
      <c r="X922" s="2"/>
    </row>
    <row r="923" spans="11:24" ht="15" hidden="1" customHeight="1">
      <c r="K923" s="5">
        <v>46108</v>
      </c>
      <c r="L923" s="8" t="s">
        <v>42</v>
      </c>
      <c r="M923" s="9" t="str">
        <f>IF(Tabela1[[#This Row],[Motorista]]="","",IFERROR(_xlfn.XLOOKUP(Tabela1[[#This Row],[Motorista]],Base!A:A,Base!B:B),""))</f>
        <v>CIF</v>
      </c>
      <c r="N923" s="20" t="str">
        <f t="shared" si="35"/>
        <v>Finalizado</v>
      </c>
      <c r="O9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23" s="4">
        <v>0.33055555555555555</v>
      </c>
      <c r="Q923" s="4">
        <v>0.34027777777777779</v>
      </c>
      <c r="R923" s="23">
        <v>0.48472222222222222</v>
      </c>
      <c r="S923" s="16" t="s">
        <v>85</v>
      </c>
      <c r="T923" s="14">
        <f>IF(OR(Tabela1[[#This Row],[Entrada]]="",Tabela1[[#This Row],[Saída]]=""), "", Tabela1[[#This Row],[Saída]]-Tabela1[[#This Row],[Entrada]])</f>
        <v>0.14444444444444443</v>
      </c>
      <c r="U923" s="1"/>
      <c r="V923" s="1"/>
      <c r="W923" s="2"/>
      <c r="X923" s="2"/>
    </row>
    <row r="924" spans="11:24" ht="15" hidden="1" customHeight="1">
      <c r="K924" s="5">
        <v>46108</v>
      </c>
      <c r="L924" s="8" t="s">
        <v>86</v>
      </c>
      <c r="M924" s="9" t="str">
        <f>IF(Tabela1[[#This Row],[Motorista]]="","",IFERROR(_xlfn.XLOOKUP(Tabela1[[#This Row],[Motorista]],Base!A:A,Base!B:B),""))</f>
        <v>FOB</v>
      </c>
      <c r="N924" s="20" t="str">
        <f t="shared" si="35"/>
        <v>Finalizado</v>
      </c>
      <c r="O9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4" s="4">
        <v>0.40625</v>
      </c>
      <c r="Q924" s="4">
        <v>0.41458333333333336</v>
      </c>
      <c r="R924" s="23">
        <v>0.4375</v>
      </c>
      <c r="S924" s="16" t="s">
        <v>85</v>
      </c>
      <c r="T924" s="14">
        <f>IF(OR(Tabela1[[#This Row],[Entrada]]="",Tabela1[[#This Row],[Saída]]=""), "", Tabela1[[#This Row],[Saída]]-Tabela1[[#This Row],[Entrada]])</f>
        <v>2.2916666666666641E-2</v>
      </c>
      <c r="U924" s="1"/>
      <c r="V924" s="1"/>
      <c r="W924" s="2"/>
      <c r="X924" s="2"/>
    </row>
    <row r="925" spans="11:24" ht="15" hidden="1" customHeight="1">
      <c r="K925" s="5">
        <v>46108</v>
      </c>
      <c r="L925" s="8" t="s">
        <v>130</v>
      </c>
      <c r="M925" s="9" t="str">
        <f>IF(Tabela1[[#This Row],[Motorista]]="","",IFERROR(_xlfn.XLOOKUP(Tabela1[[#This Row],[Motorista]],Base!A:A,Base!B:B),""))</f>
        <v>RZD</v>
      </c>
      <c r="N925" s="20" t="str">
        <f t="shared" ref="N925:N940" si="36">IF(R925&lt;&gt;"","Finalizado", IF(Q925&lt;&gt;"","Fila de Carregamento", IF(P925&lt;&gt;"","Aguardando Entrada","")))</f>
        <v>Finalizado</v>
      </c>
      <c r="O9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5" s="4">
        <v>0.40416666666666667</v>
      </c>
      <c r="Q925" s="4">
        <v>0.43263888888888891</v>
      </c>
      <c r="R925" s="23">
        <v>0.49236111111111114</v>
      </c>
      <c r="S925" s="16" t="s">
        <v>85</v>
      </c>
      <c r="T925" s="14">
        <f>IF(OR(Tabela1[[#This Row],[Entrada]]="",Tabela1[[#This Row],[Saída]]=""), "", Tabela1[[#This Row],[Saída]]-Tabela1[[#This Row],[Entrada]])</f>
        <v>5.9722222222222232E-2</v>
      </c>
      <c r="U925" s="15">
        <f>IF(OR('Controle de CT'!$R925= "", 'Controle de CT'!$P925= ""), "", 'Controle de CT'!$R925-'Controle de CT'!$P925)</f>
        <v>8.8194444444444464E-2</v>
      </c>
      <c r="V925" s="1"/>
      <c r="W925" s="2"/>
      <c r="X925" s="2"/>
    </row>
    <row r="926" spans="11:24" ht="15" hidden="1" customHeight="1">
      <c r="K926" s="5">
        <v>46108</v>
      </c>
      <c r="L926" s="8" t="s">
        <v>98</v>
      </c>
      <c r="M926" s="22" t="str">
        <f>IF(Tabela1[[#This Row],[Motorista]]="","",IFERROR(_xlfn.XLOOKUP(Tabela1[[#This Row],[Motorista]],Base!A:A,Base!B:B),""))</f>
        <v>FOB</v>
      </c>
      <c r="N926" s="20" t="str">
        <f t="shared" si="36"/>
        <v>Finalizado</v>
      </c>
      <c r="O9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6" s="2">
        <v>0.40486111111111112</v>
      </c>
      <c r="Q926" s="2">
        <v>0.41666666666666669</v>
      </c>
      <c r="R926" s="16">
        <v>0.52083333333333337</v>
      </c>
      <c r="S926" s="16" t="s">
        <v>85</v>
      </c>
      <c r="T926" s="14">
        <f>IF(OR(Tabela1[[#This Row],[Entrada]]="",Tabela1[[#This Row],[Saída]]=""), "", Tabela1[[#This Row],[Saída]]-Tabela1[[#This Row],[Entrada]])</f>
        <v>0.10416666666666669</v>
      </c>
      <c r="U926" s="15">
        <f>IF(OR('Controle de CT'!$R926= "", 'Controle de CT'!$P926= ""), "", 'Controle de CT'!$R926-'Controle de CT'!$P926)</f>
        <v>0.11597222222222225</v>
      </c>
      <c r="V926" s="1"/>
      <c r="W926" s="2"/>
      <c r="X926" s="2"/>
    </row>
    <row r="927" spans="11:24" ht="15" hidden="1" customHeight="1">
      <c r="K927" s="5">
        <v>46108</v>
      </c>
      <c r="L927" s="8" t="s">
        <v>46</v>
      </c>
      <c r="M927" s="22" t="str">
        <f>IF(Tabela1[[#This Row],[Motorista]]="","",IFERROR(_xlfn.XLOOKUP(Tabela1[[#This Row],[Motorista]],Base!A:A,Base!B:B),""))</f>
        <v>CIF</v>
      </c>
      <c r="N927" s="20" t="str">
        <f t="shared" si="36"/>
        <v>Finalizado</v>
      </c>
      <c r="O9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27" s="2">
        <v>0.42777777777777776</v>
      </c>
      <c r="Q927" s="2">
        <v>0.4777777777777778</v>
      </c>
      <c r="R927" s="16">
        <v>0.56388888888888888</v>
      </c>
      <c r="S927" s="16" t="s">
        <v>85</v>
      </c>
      <c r="T927" s="14">
        <f>IF(OR(Tabela1[[#This Row],[Entrada]]="",Tabela1[[#This Row],[Saída]]=""), "", Tabela1[[#This Row],[Saída]]-Tabela1[[#This Row],[Entrada]])</f>
        <v>8.6111111111111083E-2</v>
      </c>
      <c r="U927" s="15">
        <f>IF(OR('Controle de CT'!$R927= "", 'Controle de CT'!$P927= ""), "", 'Controle de CT'!$R927-'Controle de CT'!$P927)</f>
        <v>0.13611111111111113</v>
      </c>
      <c r="V927" s="1"/>
      <c r="W927" s="2"/>
      <c r="X927" s="2"/>
    </row>
    <row r="928" spans="11:24" ht="15" hidden="1" customHeight="1">
      <c r="K928" s="5">
        <v>46108</v>
      </c>
      <c r="L928" s="8" t="s">
        <v>45</v>
      </c>
      <c r="M928" s="22" t="str">
        <f>IF(Tabela1[[#This Row],[Motorista]]="","",IFERROR(_xlfn.XLOOKUP(Tabela1[[#This Row],[Motorista]],Base!A:A,Base!B:B),""))</f>
        <v>CIF</v>
      </c>
      <c r="N928" s="20" t="str">
        <f t="shared" si="36"/>
        <v>Finalizado</v>
      </c>
      <c r="O9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28" s="2">
        <v>0.44374999999999998</v>
      </c>
      <c r="Q928" s="2">
        <v>0.4777777777777778</v>
      </c>
      <c r="R928" s="16">
        <v>0.65972222222222221</v>
      </c>
      <c r="S928" s="16" t="s">
        <v>85</v>
      </c>
      <c r="T928" s="14">
        <f>IF(OR(Tabela1[[#This Row],[Entrada]]="",Tabela1[[#This Row],[Saída]]=""), "", Tabela1[[#This Row],[Saída]]-Tabela1[[#This Row],[Entrada]])</f>
        <v>0.18194444444444441</v>
      </c>
      <c r="U928" s="15">
        <f>IF(OR('Controle de CT'!$R928= "", 'Controle de CT'!$P928= ""), "", 'Controle de CT'!$R928-'Controle de CT'!$P928)</f>
        <v>0.21597222222222223</v>
      </c>
      <c r="V928" s="1"/>
      <c r="W928" s="2"/>
      <c r="X928" s="2"/>
    </row>
    <row r="929" spans="11:24" ht="15" hidden="1" customHeight="1">
      <c r="K929" s="5">
        <v>46108</v>
      </c>
      <c r="L929" s="8" t="s">
        <v>116</v>
      </c>
      <c r="M929" s="22" t="str">
        <f>IF(Tabela1[[#This Row],[Motorista]]="","",IFERROR(_xlfn.XLOOKUP(Tabela1[[#This Row],[Motorista]],Base!A:A,Base!B:B),""))</f>
        <v xml:space="preserve">CIF </v>
      </c>
      <c r="N929" s="20" t="str">
        <f t="shared" si="36"/>
        <v>Finalizado</v>
      </c>
      <c r="O9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29" s="2">
        <v>0.45833333333333331</v>
      </c>
      <c r="Q929" s="2">
        <v>0.47083333333333333</v>
      </c>
      <c r="R929" s="16">
        <v>0.4861111111111111</v>
      </c>
      <c r="S929" s="16" t="s">
        <v>85</v>
      </c>
      <c r="T929" s="14">
        <f>IF(OR(Tabela1[[#This Row],[Entrada]]="",Tabela1[[#This Row],[Saída]]=""), "", Tabela1[[#This Row],[Saída]]-Tabela1[[#This Row],[Entrada]])</f>
        <v>1.5277777777777779E-2</v>
      </c>
      <c r="U929" s="15">
        <f>IF(OR('Controle de CT'!$R929= "", 'Controle de CT'!$P929= ""), "", 'Controle de CT'!$R929-'Controle de CT'!$P929)</f>
        <v>2.777777777777779E-2</v>
      </c>
      <c r="V929" s="1"/>
      <c r="W929" s="2"/>
      <c r="X929" s="2"/>
    </row>
    <row r="930" spans="11:24" ht="15" hidden="1" customHeight="1">
      <c r="K930" s="5">
        <v>46108</v>
      </c>
      <c r="L930" s="8" t="s">
        <v>181</v>
      </c>
      <c r="M930" s="22" t="str">
        <f>IF(Tabela1[[#This Row],[Motorista]]="","",IFERROR(_xlfn.XLOOKUP(Tabela1[[#This Row],[Motorista]],Base!A:A,Base!B:B),""))</f>
        <v>FOB</v>
      </c>
      <c r="N930" s="20" t="str">
        <f t="shared" si="36"/>
        <v>Finalizado</v>
      </c>
      <c r="O9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0" s="2">
        <v>0.46666666666666667</v>
      </c>
      <c r="Q930" s="2">
        <v>0.5083333333333333</v>
      </c>
      <c r="R930" s="16">
        <v>0.53472222222222221</v>
      </c>
      <c r="S930" s="16" t="s">
        <v>85</v>
      </c>
      <c r="T930" s="14">
        <f>IF(OR(Tabela1[[#This Row],[Entrada]]="",Tabela1[[#This Row],[Saída]]=""), "", Tabela1[[#This Row],[Saída]]-Tabela1[[#This Row],[Entrada]])</f>
        <v>2.6388888888888906E-2</v>
      </c>
      <c r="U930" s="15">
        <f>IF(OR('Controle de CT'!$R930= "", 'Controle de CT'!$P930= ""), "", 'Controle de CT'!$R930-'Controle de CT'!$P930)</f>
        <v>6.8055555555555536E-2</v>
      </c>
      <c r="V930" s="1"/>
      <c r="W930" s="2"/>
      <c r="X930" s="2"/>
    </row>
    <row r="931" spans="11:24" ht="15" hidden="1" customHeight="1">
      <c r="K931" s="5">
        <v>46108</v>
      </c>
      <c r="L931" s="8" t="s">
        <v>42</v>
      </c>
      <c r="M931" s="22" t="str">
        <f>IF(Tabela1[[#This Row],[Motorista]]="","",IFERROR(_xlfn.XLOOKUP(Tabela1[[#This Row],[Motorista]],Base!A:A,Base!B:B),""))</f>
        <v>CIF</v>
      </c>
      <c r="N931" s="20" t="str">
        <f t="shared" si="36"/>
        <v>Finalizado</v>
      </c>
      <c r="O9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31" s="2">
        <v>0.45833333333333331</v>
      </c>
      <c r="Q931" s="2">
        <v>0.49305555555555558</v>
      </c>
      <c r="R931" s="16">
        <v>0.52708333333333335</v>
      </c>
      <c r="S931" s="16" t="s">
        <v>85</v>
      </c>
      <c r="T931" s="14">
        <f>IF(OR(Tabela1[[#This Row],[Entrada]]="",Tabela1[[#This Row],[Saída]]=""), "", Tabela1[[#This Row],[Saída]]-Tabela1[[#This Row],[Entrada]])</f>
        <v>3.4027777777777768E-2</v>
      </c>
      <c r="U931" s="15">
        <f>IF(OR('Controle de CT'!$R931= "", 'Controle de CT'!$P931= ""), "", 'Controle de CT'!$R931-'Controle de CT'!$P931)</f>
        <v>6.8750000000000033E-2</v>
      </c>
      <c r="V931" s="1"/>
      <c r="W931" s="2"/>
      <c r="X931" s="2"/>
    </row>
    <row r="932" spans="11:24" ht="15" hidden="1" customHeight="1">
      <c r="K932" s="5">
        <v>46108</v>
      </c>
      <c r="L932" s="8" t="s">
        <v>92</v>
      </c>
      <c r="M932" s="22" t="str">
        <f>IF(Tabela1[[#This Row],[Motorista]]="","",IFERROR(_xlfn.XLOOKUP(Tabela1[[#This Row],[Motorista]],Base!A:A,Base!B:B),""))</f>
        <v>FOB</v>
      </c>
      <c r="N932" s="20" t="str">
        <f t="shared" si="36"/>
        <v>Finalizado</v>
      </c>
      <c r="O9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32" s="2">
        <v>0.55069444444444449</v>
      </c>
      <c r="Q932" s="2">
        <v>0.52777777777777779</v>
      </c>
      <c r="R932" s="16">
        <v>0.58402777777777781</v>
      </c>
      <c r="S932" s="16" t="s">
        <v>85</v>
      </c>
      <c r="T932" s="14">
        <f>IF(OR(Tabela1[[#This Row],[Entrada]]="",Tabela1[[#This Row],[Saída]]=""), "", Tabela1[[#This Row],[Saída]]-Tabela1[[#This Row],[Entrada]])</f>
        <v>5.6250000000000022E-2</v>
      </c>
      <c r="U932" s="15">
        <f>IF(OR('Controle de CT'!$R932= "", 'Controle de CT'!$P932= ""), "", 'Controle de CT'!$R932-'Controle de CT'!$P932)</f>
        <v>3.3333333333333326E-2</v>
      </c>
      <c r="V932" s="1"/>
      <c r="W932" s="2"/>
      <c r="X932" s="2"/>
    </row>
    <row r="933" spans="11:24" ht="15" hidden="1" customHeight="1">
      <c r="K933" s="5">
        <v>46108</v>
      </c>
      <c r="L933" t="s">
        <v>115</v>
      </c>
      <c r="M933" s="24" t="s">
        <v>62</v>
      </c>
      <c r="N933" s="20" t="str">
        <f t="shared" si="36"/>
        <v>Finalizado</v>
      </c>
      <c r="O9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33" s="4">
        <v>0.52777777777777779</v>
      </c>
      <c r="Q933" s="4">
        <v>0.54166666666666663</v>
      </c>
      <c r="R933" s="23">
        <v>0.59236111111111112</v>
      </c>
      <c r="S933" s="16" t="s">
        <v>85</v>
      </c>
      <c r="T933" s="14">
        <f>IF(OR(Tabela1[[#This Row],[Entrada]]="",Tabela1[[#This Row],[Saída]]=""), "", Tabela1[[#This Row],[Saída]]-Tabela1[[#This Row],[Entrada]])</f>
        <v>5.0694444444444486E-2</v>
      </c>
      <c r="U933" s="15">
        <f>IF(OR('Controle de CT'!$R933= "", 'Controle de CT'!$P933= ""), "", 'Controle de CT'!$R933-'Controle de CT'!$P933)</f>
        <v>6.4583333333333326E-2</v>
      </c>
      <c r="V933" s="1"/>
      <c r="W933" s="2"/>
      <c r="X933" s="2"/>
    </row>
    <row r="934" spans="11:24" ht="15" hidden="1" customHeight="1">
      <c r="K934" s="5">
        <v>46108</v>
      </c>
      <c r="L934" t="s">
        <v>198</v>
      </c>
      <c r="M934" s="24" t="s">
        <v>62</v>
      </c>
      <c r="N934" s="20" t="str">
        <f t="shared" si="36"/>
        <v>Finalizado</v>
      </c>
      <c r="O9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34" s="2">
        <v>0.51249999999999996</v>
      </c>
      <c r="Q934" s="2">
        <v>0.55763888888888891</v>
      </c>
      <c r="R934" s="16">
        <v>0.58750000000000002</v>
      </c>
      <c r="S934" s="16" t="s">
        <v>85</v>
      </c>
      <c r="T934" s="14">
        <f>IF(OR(Tabela1[[#This Row],[Entrada]]="",Tabela1[[#This Row],[Saída]]=""), "", Tabela1[[#This Row],[Saída]]-Tabela1[[#This Row],[Entrada]])</f>
        <v>2.9861111111111116E-2</v>
      </c>
      <c r="U934" s="15">
        <f>IF(OR('Controle de CT'!$R934= "", 'Controle de CT'!$P934= ""), "", 'Controle de CT'!$R934-'Controle de CT'!$P934)</f>
        <v>7.5000000000000067E-2</v>
      </c>
      <c r="V934" s="1"/>
      <c r="W934" s="2"/>
      <c r="X934" s="2"/>
    </row>
    <row r="935" spans="11:24" ht="15" hidden="1" customHeight="1">
      <c r="K935" s="5">
        <v>46108</v>
      </c>
      <c r="L935" s="8" t="s">
        <v>162</v>
      </c>
      <c r="M935" s="22" t="str">
        <f>IF(Tabela1[[#This Row],[Motorista]]="","",IFERROR(_xlfn.XLOOKUP(Tabela1[[#This Row],[Motorista]],Base!A:A,Base!B:B),""))</f>
        <v>FOB</v>
      </c>
      <c r="N935" s="20" t="str">
        <f t="shared" si="36"/>
        <v>Finalizado</v>
      </c>
      <c r="O9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5" s="2">
        <v>0.53125</v>
      </c>
      <c r="Q935" s="2">
        <v>0.56944444444444442</v>
      </c>
      <c r="R935" s="16">
        <v>0.60138888888888886</v>
      </c>
      <c r="S935" s="16" t="s">
        <v>85</v>
      </c>
      <c r="T935" s="14">
        <f>IF(OR(Tabela1[[#This Row],[Entrada]]="",Tabela1[[#This Row],[Saída]]=""), "", Tabela1[[#This Row],[Saída]]-Tabela1[[#This Row],[Entrada]])</f>
        <v>3.1944444444444442E-2</v>
      </c>
      <c r="U935" s="15">
        <f>IF(OR('Controle de CT'!$R935= "", 'Controle de CT'!$P935= ""), "", 'Controle de CT'!$R935-'Controle de CT'!$P935)</f>
        <v>7.0138888888888862E-2</v>
      </c>
      <c r="V935" s="1"/>
      <c r="W935" s="2"/>
      <c r="X935" s="2"/>
    </row>
    <row r="936" spans="11:24" ht="15" hidden="1" customHeight="1">
      <c r="K936" s="5">
        <v>46108</v>
      </c>
      <c r="L936" s="8" t="s">
        <v>55</v>
      </c>
      <c r="M936" s="22" t="str">
        <f>IF(Tabela1[[#This Row],[Motorista]]="","",IFERROR(_xlfn.XLOOKUP(Tabela1[[#This Row],[Motorista]],Base!A:A,Base!B:B),""))</f>
        <v>CIF</v>
      </c>
      <c r="N936" s="20" t="str">
        <f t="shared" si="36"/>
        <v>Finalizado</v>
      </c>
      <c r="O9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6" s="2">
        <v>0.55625000000000002</v>
      </c>
      <c r="Q936" s="2">
        <v>0.5708333333333333</v>
      </c>
      <c r="R936" s="16">
        <v>0.63472222222222219</v>
      </c>
      <c r="S936" s="16" t="s">
        <v>85</v>
      </c>
      <c r="T936" s="14">
        <f>IF(OR(Tabela1[[#This Row],[Entrada]]="",Tabela1[[#This Row],[Saída]]=""), "", Tabela1[[#This Row],[Saída]]-Tabela1[[#This Row],[Entrada]])</f>
        <v>6.3888888888888884E-2</v>
      </c>
      <c r="U936" s="15">
        <f>IF(OR('Controle de CT'!$R936= "", 'Controle de CT'!$P936= ""), "", 'Controle de CT'!$R936-'Controle de CT'!$P936)</f>
        <v>7.8472222222222165E-2</v>
      </c>
      <c r="V936" s="1"/>
      <c r="W936" s="2"/>
      <c r="X936" s="2"/>
    </row>
    <row r="937" spans="11:24" ht="15" hidden="1" customHeight="1">
      <c r="K937" s="5">
        <v>46108</v>
      </c>
      <c r="L937" s="8" t="s">
        <v>183</v>
      </c>
      <c r="M937" s="22" t="str">
        <f>IF(Tabela1[[#This Row],[Motorista]]="","",IFERROR(_xlfn.XLOOKUP(Tabela1[[#This Row],[Motorista]],Base!A:A,Base!B:B),""))</f>
        <v>FOB</v>
      </c>
      <c r="N937" s="20" t="str">
        <f t="shared" si="36"/>
        <v>Finalizado</v>
      </c>
      <c r="O9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7" s="2">
        <v>0.57638888888888884</v>
      </c>
      <c r="R937" s="16">
        <v>0.67083333333333328</v>
      </c>
      <c r="S937" s="16" t="s">
        <v>85</v>
      </c>
      <c r="T937" s="14" t="str">
        <f>IF(OR(Tabela1[[#This Row],[Entrada]]="",Tabela1[[#This Row],[Saída]]=""), "", Tabela1[[#This Row],[Saída]]-Tabela1[[#This Row],[Entrada]])</f>
        <v/>
      </c>
      <c r="U937" s="15">
        <f>IF(OR('Controle de CT'!$R937= "", 'Controle de CT'!$P937= ""), "", 'Controle de CT'!$R937-'Controle de CT'!$P937)</f>
        <v>9.4444444444444442E-2</v>
      </c>
      <c r="V937" s="1"/>
      <c r="W937" s="2"/>
      <c r="X937" s="2"/>
    </row>
    <row r="938" spans="11:24" ht="15" hidden="1" customHeight="1">
      <c r="K938" s="5">
        <v>46108</v>
      </c>
      <c r="L938" s="8" t="s">
        <v>108</v>
      </c>
      <c r="M938" s="22" t="str">
        <f>IF(Tabela1[[#This Row],[Motorista]]="","",IFERROR(_xlfn.XLOOKUP(Tabela1[[#This Row],[Motorista]],Base!A:A,Base!B:B),""))</f>
        <v>Transferência</v>
      </c>
      <c r="N938" s="20" t="str">
        <f t="shared" si="36"/>
        <v>Finalizado</v>
      </c>
      <c r="O9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38" s="2">
        <v>0.73333333333333328</v>
      </c>
      <c r="Q938" s="2">
        <v>0.75</v>
      </c>
      <c r="R938" s="16">
        <v>0.79583333333333328</v>
      </c>
      <c r="S938" s="16" t="s">
        <v>85</v>
      </c>
      <c r="T938" s="14">
        <f>IF(OR(Tabela1[[#This Row],[Entrada]]="",Tabela1[[#This Row],[Saída]]=""), "", Tabela1[[#This Row],[Saída]]-Tabela1[[#This Row],[Entrada]])</f>
        <v>4.5833333333333282E-2</v>
      </c>
      <c r="U938" s="15">
        <f>IF(OR('Controle de CT'!$R938= "", 'Controle de CT'!$P938= ""), "", 'Controle de CT'!$R938-'Controle de CT'!$P938)</f>
        <v>6.25E-2</v>
      </c>
      <c r="V938" s="1"/>
      <c r="W938" s="2"/>
      <c r="X938" s="2"/>
    </row>
    <row r="939" spans="11:24" ht="15" hidden="1" customHeight="1">
      <c r="K939" s="5">
        <v>46108</v>
      </c>
      <c r="L939" s="8" t="s">
        <v>53</v>
      </c>
      <c r="M939" s="22" t="str">
        <f>IF(Tabela1[[#This Row],[Motorista]]="","",IFERROR(_xlfn.XLOOKUP(Tabela1[[#This Row],[Motorista]],Base!A:A,Base!B:B),""))</f>
        <v>CIF</v>
      </c>
      <c r="N939" s="20" t="str">
        <f t="shared" si="36"/>
        <v>Finalizado</v>
      </c>
      <c r="O9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39" s="2">
        <v>0.65138888888888891</v>
      </c>
      <c r="Q939" s="2">
        <v>0.66597222222222219</v>
      </c>
      <c r="R939" s="16">
        <v>0.73333333333333328</v>
      </c>
      <c r="S939" s="16" t="s">
        <v>85</v>
      </c>
      <c r="T939" s="14">
        <f>IF(OR(Tabela1[[#This Row],[Entrada]]="",Tabela1[[#This Row],[Saída]]=""), "", Tabela1[[#This Row],[Saída]]-Tabela1[[#This Row],[Entrada]])</f>
        <v>6.7361111111111094E-2</v>
      </c>
      <c r="U939" s="15">
        <f>IF(OR('Controle de CT'!$R939= "", 'Controle de CT'!$P939= ""), "", 'Controle de CT'!$R939-'Controle de CT'!$P939)</f>
        <v>8.1944444444444375E-2</v>
      </c>
      <c r="V939" s="1"/>
      <c r="W939" s="2"/>
      <c r="X939" s="2"/>
    </row>
    <row r="940" spans="11:24" ht="15" hidden="1" customHeight="1">
      <c r="K940" s="5">
        <v>46109</v>
      </c>
      <c r="L940" s="8" t="s">
        <v>55</v>
      </c>
      <c r="M940" s="22" t="str">
        <f>IF(Tabela1[[#This Row],[Motorista]]="","",IFERROR(_xlfn.XLOOKUP(Tabela1[[#This Row],[Motorista]],Base!A:A,Base!B:B),""))</f>
        <v>CIF</v>
      </c>
      <c r="N940" s="20" t="str">
        <f t="shared" si="36"/>
        <v>Finalizado</v>
      </c>
      <c r="O9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40" s="2">
        <v>0.2298611111111111</v>
      </c>
      <c r="Q940" s="2">
        <v>0.27083333333333331</v>
      </c>
      <c r="R940" s="16">
        <v>0.31388888888888888</v>
      </c>
      <c r="S940" s="60" t="s">
        <v>254</v>
      </c>
      <c r="T940" s="14">
        <f>IF(OR(Tabela1[[#This Row],[Entrada]]="",Tabela1[[#This Row],[Saída]]=""), "", Tabela1[[#This Row],[Saída]]-Tabela1[[#This Row],[Entrada]])</f>
        <v>4.3055555555555569E-2</v>
      </c>
      <c r="U940" s="15">
        <f>IF(OR('Controle de CT'!$R940= "", 'Controle de CT'!$P940= ""), "", 'Controle de CT'!$R940-'Controle de CT'!$P940)</f>
        <v>8.4027777777777785E-2</v>
      </c>
      <c r="V940" s="1"/>
      <c r="W940" s="2"/>
      <c r="X940" s="2"/>
    </row>
    <row r="941" spans="11:24" ht="15" hidden="1" customHeight="1">
      <c r="K941" s="5">
        <v>46109</v>
      </c>
      <c r="L941" s="8" t="s">
        <v>255</v>
      </c>
      <c r="M941" s="22">
        <f>IF(Tabela1[[#This Row],[Motorista]]="","",IFERROR(_xlfn.XLOOKUP(Tabela1[[#This Row],[Motorista]],Base!A:A,Base!B:B),""))</f>
        <v>0</v>
      </c>
      <c r="N941" s="20" t="str">
        <f t="shared" ref="N941:N948" si="37">IF(R941&lt;&gt;"","Finalizado", IF(Q941&lt;&gt;"","Fila de Carregamento", IF(P941&lt;&gt;"","Aguardando Entrada","")))</f>
        <v>Finalizado</v>
      </c>
      <c r="O9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1" s="2">
        <v>0.24791666666666667</v>
      </c>
      <c r="Q941" s="2">
        <v>0.27638888888888891</v>
      </c>
      <c r="R941" s="16">
        <v>0.35416666666666669</v>
      </c>
      <c r="S941" s="60" t="s">
        <v>254</v>
      </c>
      <c r="T941" s="14">
        <f>IF(OR(Tabela1[[#This Row],[Entrada]]="",Tabela1[[#This Row],[Saída]]=""), "", Tabela1[[#This Row],[Saída]]-Tabela1[[#This Row],[Entrada]])</f>
        <v>7.7777777777777779E-2</v>
      </c>
      <c r="U941" s="15">
        <f>IF(OR('Controle de CT'!$R941= "", 'Controle de CT'!$P941= ""), "", 'Controle de CT'!$R941-'Controle de CT'!$P941)</f>
        <v>0.10625000000000001</v>
      </c>
      <c r="V941" s="1" t="s">
        <v>256</v>
      </c>
      <c r="W941" s="2"/>
      <c r="X941" s="2"/>
    </row>
    <row r="942" spans="11:24" ht="15" hidden="1" customHeight="1">
      <c r="K942" s="5">
        <v>46109</v>
      </c>
      <c r="L942" s="8" t="s">
        <v>57</v>
      </c>
      <c r="M942" s="22" t="str">
        <f>IF(Tabela1[[#This Row],[Motorista]]="","",IFERROR(_xlfn.XLOOKUP(Tabela1[[#This Row],[Motorista]],Base!A:A,Base!B:B),""))</f>
        <v>CIF</v>
      </c>
      <c r="N942" s="20" t="str">
        <f t="shared" si="37"/>
        <v>Finalizado</v>
      </c>
      <c r="O9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42" s="2">
        <v>0.24791666666666667</v>
      </c>
      <c r="Q942" s="2">
        <v>0.2951388888888889</v>
      </c>
      <c r="R942" s="16">
        <v>0.33680555555555558</v>
      </c>
      <c r="S942" s="60" t="s">
        <v>254</v>
      </c>
      <c r="T942" s="14">
        <f>IF(OR(Tabela1[[#This Row],[Entrada]]="",Tabela1[[#This Row],[Saída]]=""), "", Tabela1[[#This Row],[Saída]]-Tabela1[[#This Row],[Entrada]])</f>
        <v>4.1666666666666685E-2</v>
      </c>
      <c r="U942" s="15">
        <f>IF(OR('Controle de CT'!$R942= "", 'Controle de CT'!$P942= ""), "", 'Controle de CT'!$R942-'Controle de CT'!$P942)</f>
        <v>8.8888888888888906E-2</v>
      </c>
      <c r="V942" s="1"/>
      <c r="W942" s="2"/>
      <c r="X942" s="2"/>
    </row>
    <row r="943" spans="11:24" ht="15" hidden="1" customHeight="1">
      <c r="K943" s="5">
        <v>46109</v>
      </c>
      <c r="L943" s="8" t="s">
        <v>47</v>
      </c>
      <c r="M943" s="22" t="str">
        <f>IF(Tabela1[[#This Row],[Motorista]]="","",IFERROR(_xlfn.XLOOKUP(Tabela1[[#This Row],[Motorista]],Base!A:A,Base!B:B),""))</f>
        <v>CIF</v>
      </c>
      <c r="N943" s="20" t="str">
        <f t="shared" si="37"/>
        <v>Finalizado</v>
      </c>
      <c r="O9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3" s="2">
        <v>0.24861111111111112</v>
      </c>
      <c r="Q943" s="2">
        <v>0.29097222222222224</v>
      </c>
      <c r="R943" s="16">
        <v>0.40486111111111112</v>
      </c>
      <c r="S943" s="60" t="s">
        <v>254</v>
      </c>
      <c r="T943" s="14">
        <f>IF(OR(Tabela1[[#This Row],[Entrada]]="",Tabela1[[#This Row],[Saída]]=""), "", Tabela1[[#This Row],[Saída]]-Tabela1[[#This Row],[Entrada]])</f>
        <v>0.11388888888888887</v>
      </c>
      <c r="U943" s="15">
        <f>IF(OR('Controle de CT'!$R943= "", 'Controle de CT'!$P943= ""), "", 'Controle de CT'!$R943-'Controle de CT'!$P943)</f>
        <v>0.15625</v>
      </c>
      <c r="V943" s="1" t="s">
        <v>256</v>
      </c>
      <c r="W943" s="2"/>
      <c r="X943" s="2"/>
    </row>
    <row r="944" spans="11:24" ht="15" hidden="1" customHeight="1">
      <c r="K944" s="5">
        <v>46109</v>
      </c>
      <c r="L944" s="8" t="s">
        <v>42</v>
      </c>
      <c r="M944" s="22" t="str">
        <f>IF(Tabela1[[#This Row],[Motorista]]="","",IFERROR(_xlfn.XLOOKUP(Tabela1[[#This Row],[Motorista]],Base!A:A,Base!B:B),""))</f>
        <v>CIF</v>
      </c>
      <c r="N944" s="20" t="str">
        <f t="shared" si="37"/>
        <v>Finalizado</v>
      </c>
      <c r="O9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44" s="2">
        <v>0.25</v>
      </c>
      <c r="Q944" s="2">
        <v>0.2951388888888889</v>
      </c>
      <c r="R944" s="16">
        <v>0.34027777777777779</v>
      </c>
      <c r="S944" s="60" t="s">
        <v>254</v>
      </c>
      <c r="T944" s="14">
        <f>IF(OR(Tabela1[[#This Row],[Entrada]]="",Tabela1[[#This Row],[Saída]]=""), "", Tabela1[[#This Row],[Saída]]-Tabela1[[#This Row],[Entrada]])</f>
        <v>4.5138888888888895E-2</v>
      </c>
      <c r="U944" s="15">
        <f>IF(OR('Controle de CT'!$R944= "", 'Controle de CT'!$P944= ""), "", 'Controle de CT'!$R944-'Controle de CT'!$P944)</f>
        <v>9.027777777777779E-2</v>
      </c>
      <c r="V944" s="1"/>
      <c r="W944" s="2"/>
      <c r="X944" s="2"/>
    </row>
    <row r="945" spans="11:24" ht="15" hidden="1" customHeight="1">
      <c r="K945" s="5">
        <v>46109</v>
      </c>
      <c r="L945" s="8" t="s">
        <v>87</v>
      </c>
      <c r="M945" s="22" t="str">
        <f>IF(Tabela1[[#This Row],[Motorista]]="","",IFERROR(_xlfn.XLOOKUP(Tabela1[[#This Row],[Motorista]],Base!A:A,Base!B:B),""))</f>
        <v>FOB</v>
      </c>
      <c r="N945" s="20" t="str">
        <f t="shared" si="37"/>
        <v>Finalizado</v>
      </c>
      <c r="O9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945" s="2">
        <v>0.23402777777777778</v>
      </c>
      <c r="Q945" s="2">
        <v>0.27430555555555558</v>
      </c>
      <c r="R945" s="16">
        <v>0.31527777777777777</v>
      </c>
      <c r="S945" s="60" t="s">
        <v>254</v>
      </c>
      <c r="T945" s="14">
        <f>IF(OR(Tabela1[[#This Row],[Entrada]]="",Tabela1[[#This Row],[Saída]]=""), "", Tabela1[[#This Row],[Saída]]-Tabela1[[#This Row],[Entrada]])</f>
        <v>4.0972222222222188E-2</v>
      </c>
      <c r="U945" s="15">
        <f>IF(OR('Controle de CT'!$R945= "", 'Controle de CT'!$P945= ""), "", 'Controle de CT'!$R945-'Controle de CT'!$P945)</f>
        <v>8.1249999999999989E-2</v>
      </c>
      <c r="V945" s="1"/>
      <c r="W945" s="2"/>
      <c r="X945" s="2"/>
    </row>
    <row r="946" spans="11:24" ht="15" hidden="1" customHeight="1">
      <c r="K946" s="5">
        <v>46109</v>
      </c>
      <c r="L946" s="8" t="s">
        <v>130</v>
      </c>
      <c r="M946" s="22" t="str">
        <f>IF(Tabela1[[#This Row],[Motorista]]="","",IFERROR(_xlfn.XLOOKUP(Tabela1[[#This Row],[Motorista]],Base!A:A,Base!B:B),""))</f>
        <v>RZD</v>
      </c>
      <c r="N946" s="20" t="str">
        <f t="shared" si="37"/>
        <v>Finalizado</v>
      </c>
      <c r="O9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6" s="2">
        <v>0.27569444444444446</v>
      </c>
      <c r="Q946" s="2">
        <v>0.32291666666666669</v>
      </c>
      <c r="R946" s="16">
        <v>0.37291666666666667</v>
      </c>
      <c r="S946" s="67"/>
      <c r="T946" s="14">
        <f>IF(OR(Tabela1[[#This Row],[Entrada]]="",Tabela1[[#This Row],[Saída]]=""), "", Tabela1[[#This Row],[Saída]]-Tabela1[[#This Row],[Entrada]])</f>
        <v>4.9999999999999989E-2</v>
      </c>
      <c r="U946" s="15">
        <f>IF(OR('Controle de CT'!$R946= "", 'Controle de CT'!$P946= ""), "", 'Controle de CT'!$R946-'Controle de CT'!$P946)</f>
        <v>9.722222222222221E-2</v>
      </c>
      <c r="V946" s="1"/>
      <c r="W946" s="2"/>
      <c r="X946" s="2"/>
    </row>
    <row r="947" spans="11:24" ht="15" hidden="1" customHeight="1">
      <c r="K947" s="5">
        <v>46109</v>
      </c>
      <c r="L947" s="8" t="s">
        <v>90</v>
      </c>
      <c r="M947" s="22" t="str">
        <f>IF(Tabela1[[#This Row],[Motorista]]="","",IFERROR(_xlfn.XLOOKUP(Tabela1[[#This Row],[Motorista]],Base!A:A,Base!B:B),""))</f>
        <v>FOB</v>
      </c>
      <c r="N947" s="20" t="str">
        <f t="shared" si="37"/>
        <v>Finalizado</v>
      </c>
      <c r="O9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47" s="2">
        <v>0.29305555555555557</v>
      </c>
      <c r="Q947" s="2">
        <v>0.31597222222222221</v>
      </c>
      <c r="R947" s="16">
        <v>0.34652777777777777</v>
      </c>
      <c r="S947" s="60" t="s">
        <v>254</v>
      </c>
      <c r="T947" s="14">
        <f>IF(OR(Tabela1[[#This Row],[Entrada]]="",Tabela1[[#This Row],[Saída]]=""), "", Tabela1[[#This Row],[Saída]]-Tabela1[[#This Row],[Entrada]])</f>
        <v>3.0555555555555558E-2</v>
      </c>
      <c r="U947" s="15">
        <f>IF(OR('Controle de CT'!$R947= "", 'Controle de CT'!$P947= ""), "", 'Controle de CT'!$R947-'Controle de CT'!$P947)</f>
        <v>5.3472222222222199E-2</v>
      </c>
      <c r="V947" s="1"/>
      <c r="W947" s="2"/>
      <c r="X947" s="2"/>
    </row>
    <row r="948" spans="11:24" ht="15" hidden="1" customHeight="1">
      <c r="K948" s="5">
        <v>46109</v>
      </c>
      <c r="L948" s="8" t="s">
        <v>91</v>
      </c>
      <c r="M948" s="22" t="str">
        <f>IF(Tabela1[[#This Row],[Motorista]]="","",IFERROR(_xlfn.XLOOKUP(Tabela1[[#This Row],[Motorista]],Base!A:A,Base!B:B),""))</f>
        <v>FOB</v>
      </c>
      <c r="N948" s="20" t="str">
        <f t="shared" si="37"/>
        <v>Finalizado</v>
      </c>
      <c r="O9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8" s="2">
        <v>0.29930555555555555</v>
      </c>
      <c r="Q948" s="2">
        <v>0.31805555555555554</v>
      </c>
      <c r="R948" s="16">
        <v>0.375</v>
      </c>
      <c r="S948" s="60" t="s">
        <v>254</v>
      </c>
      <c r="T948" s="14">
        <f>IF(OR(Tabela1[[#This Row],[Entrada]]="",Tabela1[[#This Row],[Saída]]=""), "", Tabela1[[#This Row],[Saída]]-Tabela1[[#This Row],[Entrada]])</f>
        <v>5.6944444444444464E-2</v>
      </c>
      <c r="U948" s="15">
        <f>IF(OR('Controle de CT'!$R948= "", 'Controle de CT'!$P948= ""), "", 'Controle de CT'!$R948-'Controle de CT'!$P948)</f>
        <v>7.5694444444444453E-2</v>
      </c>
      <c r="V948" s="1"/>
      <c r="W948" s="2"/>
      <c r="X948" s="2"/>
    </row>
    <row r="949" spans="11:24" ht="15" hidden="1" customHeight="1">
      <c r="K949" s="5">
        <v>46109</v>
      </c>
      <c r="L949" s="8" t="s">
        <v>46</v>
      </c>
      <c r="M949" s="22" t="str">
        <f>IF(Tabela1[[#This Row],[Motorista]]="","",IFERROR(_xlfn.XLOOKUP(Tabela1[[#This Row],[Motorista]],Base!A:A,Base!B:B),""))</f>
        <v>CIF</v>
      </c>
      <c r="N949" s="20" t="str">
        <f t="shared" ref="N949:N960" si="38">IF(R949&lt;&gt;"","Finalizado", IF(Q949&lt;&gt;"","Fila de Carregamento", IF(P949&lt;&gt;"","Aguardando Entrada","")))</f>
        <v>Finalizado</v>
      </c>
      <c r="O9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49" s="2">
        <v>0.33263888888888887</v>
      </c>
      <c r="Q949" s="2">
        <v>0.3576388888888889</v>
      </c>
      <c r="R949" s="16">
        <v>0.46388888888888891</v>
      </c>
      <c r="S949" s="60" t="s">
        <v>254</v>
      </c>
      <c r="T949" s="14">
        <f>IF(OR(Tabela1[[#This Row],[Entrada]]="",Tabela1[[#This Row],[Saída]]=""), "", Tabela1[[#This Row],[Saída]]-Tabela1[[#This Row],[Entrada]])</f>
        <v>0.10625000000000001</v>
      </c>
      <c r="U949" s="15">
        <f>IF(OR('Controle de CT'!$R949= "", 'Controle de CT'!$P949= ""), "", 'Controle de CT'!$R949-'Controle de CT'!$P949)</f>
        <v>0.13125000000000003</v>
      </c>
      <c r="V949" s="1" t="s">
        <v>256</v>
      </c>
      <c r="W949" s="2"/>
      <c r="X949" s="2"/>
    </row>
    <row r="950" spans="11:24" ht="15" hidden="1" customHeight="1">
      <c r="K950" s="5">
        <v>46109</v>
      </c>
      <c r="L950" s="8" t="s">
        <v>45</v>
      </c>
      <c r="M950" s="22" t="str">
        <f>IF(Tabela1[[#This Row],[Motorista]]="","",IFERROR(_xlfn.XLOOKUP(Tabela1[[#This Row],[Motorista]],Base!A:A,Base!B:B),""))</f>
        <v>CIF</v>
      </c>
      <c r="N950" s="20" t="str">
        <f t="shared" si="38"/>
        <v>Finalizado</v>
      </c>
      <c r="O9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50" s="2">
        <v>0.36527777777777776</v>
      </c>
      <c r="Q950" s="2">
        <v>0.36805555555555558</v>
      </c>
      <c r="R950" s="16">
        <v>0.4</v>
      </c>
      <c r="S950" s="60" t="s">
        <v>254</v>
      </c>
      <c r="T950" s="14">
        <f>IF(OR(Tabela1[[#This Row],[Entrada]]="",Tabela1[[#This Row],[Saída]]=""), "", Tabela1[[#This Row],[Saída]]-Tabela1[[#This Row],[Entrada]])</f>
        <v>3.1944444444444442E-2</v>
      </c>
      <c r="U950" s="15">
        <f>IF(OR('Controle de CT'!$R950= "", 'Controle de CT'!$P950= ""), "", 'Controle de CT'!$R950-'Controle de CT'!$P950)</f>
        <v>3.4722222222222265E-2</v>
      </c>
      <c r="V950" s="1"/>
      <c r="W950" s="2"/>
      <c r="X950" s="2"/>
    </row>
    <row r="951" spans="11:24" ht="15" hidden="1" customHeight="1">
      <c r="K951" s="5">
        <v>46109</v>
      </c>
      <c r="L951" s="8" t="s">
        <v>86</v>
      </c>
      <c r="M951" s="22" t="str">
        <f>IF(Tabela1[[#This Row],[Motorista]]="","",IFERROR(_xlfn.XLOOKUP(Tabela1[[#This Row],[Motorista]],Base!A:A,Base!B:B),""))</f>
        <v>FOB</v>
      </c>
      <c r="N951" s="20" t="str">
        <f t="shared" si="38"/>
        <v>Finalizado</v>
      </c>
      <c r="O9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51" s="2">
        <v>0.37708333333333333</v>
      </c>
      <c r="Q951" s="2">
        <v>0.40555555555555556</v>
      </c>
      <c r="R951" s="16">
        <v>0.44444444444444442</v>
      </c>
      <c r="S951" s="60" t="s">
        <v>254</v>
      </c>
      <c r="T951" s="14">
        <f>IF(OR(Tabela1[[#This Row],[Entrada]]="",Tabela1[[#This Row],[Saída]]=""), "", Tabela1[[#This Row],[Saída]]-Tabela1[[#This Row],[Entrada]])</f>
        <v>3.8888888888888862E-2</v>
      </c>
      <c r="U951" s="15">
        <f>IF(OR('Controle de CT'!$R951= "", 'Controle de CT'!$P951= ""), "", 'Controle de CT'!$R951-'Controle de CT'!$P951)</f>
        <v>6.7361111111111094E-2</v>
      </c>
      <c r="V951" s="1"/>
      <c r="W951" s="2"/>
      <c r="X951" s="2"/>
    </row>
    <row r="952" spans="11:24" ht="15" hidden="1" customHeight="1">
      <c r="K952" s="5">
        <v>46109</v>
      </c>
      <c r="L952" s="8" t="s">
        <v>87</v>
      </c>
      <c r="M952" s="22" t="str">
        <f>IF(Tabela1[[#This Row],[Motorista]]="","",IFERROR(_xlfn.XLOOKUP(Tabela1[[#This Row],[Motorista]],Base!A:A,Base!B:B),""))</f>
        <v>FOB</v>
      </c>
      <c r="N952" s="20" t="str">
        <f t="shared" si="38"/>
        <v>Finalizado</v>
      </c>
      <c r="O9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952" s="2">
        <v>0.38124999999999998</v>
      </c>
      <c r="Q952" s="2">
        <v>0.39791666666666664</v>
      </c>
      <c r="R952" s="16">
        <v>0.43402777777777779</v>
      </c>
      <c r="S952" s="60" t="s">
        <v>254</v>
      </c>
      <c r="T952" s="14">
        <f>IF(OR(Tabela1[[#This Row],[Entrada]]="",Tabela1[[#This Row],[Saída]]=""), "", Tabela1[[#This Row],[Saída]]-Tabela1[[#This Row],[Entrada]])</f>
        <v>3.6111111111111149E-2</v>
      </c>
      <c r="U952" s="15">
        <f>IF(OR('Controle de CT'!$R952= "", 'Controle de CT'!$P952= ""), "", 'Controle de CT'!$R952-'Controle de CT'!$P952)</f>
        <v>5.2777777777777812E-2</v>
      </c>
      <c r="V952" s="1"/>
      <c r="W952" s="2"/>
      <c r="X952" s="2"/>
    </row>
    <row r="953" spans="11:24" ht="15" hidden="1" customHeight="1">
      <c r="K953" s="5">
        <v>46109</v>
      </c>
      <c r="L953" s="8" t="s">
        <v>55</v>
      </c>
      <c r="M953" s="22" t="str">
        <f>IF(Tabela1[[#This Row],[Motorista]]="","",IFERROR(_xlfn.XLOOKUP(Tabela1[[#This Row],[Motorista]],Base!A:A,Base!B:B),""))</f>
        <v>CIF</v>
      </c>
      <c r="N953" s="20" t="str">
        <f t="shared" si="38"/>
        <v>Finalizado</v>
      </c>
      <c r="O9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53" s="2">
        <v>0.43680555555555556</v>
      </c>
      <c r="Q953" s="2">
        <v>0.45069444444444445</v>
      </c>
      <c r="R953" s="16">
        <v>0.49930555555555556</v>
      </c>
      <c r="S953" s="60" t="s">
        <v>254</v>
      </c>
      <c r="T953" s="14">
        <f>IF(OR(Tabela1[[#This Row],[Entrada]]="",Tabela1[[#This Row],[Saída]]=""), "", Tabela1[[#This Row],[Saída]]-Tabela1[[#This Row],[Entrada]])</f>
        <v>4.8611111111111105E-2</v>
      </c>
      <c r="U953" s="15">
        <f>IF(OR('Controle de CT'!$R953= "", 'Controle de CT'!$P953= ""), "", 'Controle de CT'!$R953-'Controle de CT'!$P953)</f>
        <v>6.25E-2</v>
      </c>
      <c r="V953" s="1"/>
      <c r="W953" s="2"/>
      <c r="X953" s="2"/>
    </row>
    <row r="954" spans="11:24" ht="15" hidden="1" customHeight="1">
      <c r="K954" s="5">
        <v>46109</v>
      </c>
      <c r="L954" t="s">
        <v>233</v>
      </c>
      <c r="M954" s="24" t="s">
        <v>63</v>
      </c>
      <c r="N954" s="20" t="str">
        <f>IF(R954&lt;&gt;"","Finalizado", IF(Q954&lt;&gt;"","Fila de Carregamento", IF(P954&lt;&gt;"","Aguardando Entrada","")))</f>
        <v>Finalizado</v>
      </c>
      <c r="O9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54" s="4">
        <v>0.41875000000000001</v>
      </c>
      <c r="Q954" s="4">
        <v>0.45624999999999999</v>
      </c>
      <c r="R954" s="23">
        <v>0.50208333333333333</v>
      </c>
      <c r="S954" s="60" t="s">
        <v>254</v>
      </c>
      <c r="T954" s="14">
        <f>IF(OR(Tabela1[[#This Row],[Entrada]]="",Tabela1[[#This Row],[Saída]]=""), "", Tabela1[[#This Row],[Saída]]-Tabela1[[#This Row],[Entrada]])</f>
        <v>4.5833333333333337E-2</v>
      </c>
      <c r="U954" s="15">
        <f>IF(OR('Controle de CT'!$R954= "", 'Controle de CT'!$P954= ""), "", 'Controle de CT'!$R954-'Controle de CT'!$P954)</f>
        <v>8.3333333333333315E-2</v>
      </c>
      <c r="V954" s="1"/>
      <c r="W954" s="2"/>
      <c r="X954" s="2"/>
    </row>
    <row r="955" spans="11:24" ht="15" hidden="1" customHeight="1">
      <c r="K955" s="5">
        <v>46109</v>
      </c>
      <c r="L955" s="8" t="s">
        <v>57</v>
      </c>
      <c r="M955" s="22" t="str">
        <f>IF(Tabela1[[#This Row],[Motorista]]="","",IFERROR(_xlfn.XLOOKUP(Tabela1[[#This Row],[Motorista]],Base!A:A,Base!B:B),""))</f>
        <v>CIF</v>
      </c>
      <c r="N955" s="20" t="str">
        <f t="shared" si="38"/>
        <v>Finalizado</v>
      </c>
      <c r="O9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55" s="2">
        <v>0.4236111111111111</v>
      </c>
      <c r="Q955" s="2">
        <v>0.47222222222222221</v>
      </c>
      <c r="R955" s="16">
        <v>0.51111111111111107</v>
      </c>
      <c r="S955" s="60" t="s">
        <v>254</v>
      </c>
      <c r="T955" s="14">
        <f>IF(OR(Tabela1[[#This Row],[Entrada]]="",Tabela1[[#This Row],[Saída]]=""), "", Tabela1[[#This Row],[Saída]]-Tabela1[[#This Row],[Entrada]])</f>
        <v>3.8888888888888862E-2</v>
      </c>
      <c r="U955" s="15">
        <f>IF(OR('Controle de CT'!$R955= "", 'Controle de CT'!$P955= ""), "", 'Controle de CT'!$R955-'Controle de CT'!$P955)</f>
        <v>8.7499999999999967E-2</v>
      </c>
      <c r="V955" s="1"/>
      <c r="W955" s="2"/>
      <c r="X955" s="2"/>
    </row>
    <row r="956" spans="11:24" ht="15" hidden="1" customHeight="1">
      <c r="K956" s="5">
        <v>46109</v>
      </c>
      <c r="L956" s="8" t="s">
        <v>42</v>
      </c>
      <c r="M956" s="22" t="str">
        <f>IF(Tabela1[[#This Row],[Motorista]]="","",IFERROR(_xlfn.XLOOKUP(Tabela1[[#This Row],[Motorista]],Base!A:A,Base!B:B),""))</f>
        <v>CIF</v>
      </c>
      <c r="N956" s="20" t="str">
        <f t="shared" si="38"/>
        <v>Finalizado</v>
      </c>
      <c r="O9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56" s="2">
        <v>0.4236111111111111</v>
      </c>
      <c r="Q956" s="2">
        <v>0.47708333333333336</v>
      </c>
      <c r="R956" s="16">
        <v>0.51666666666666672</v>
      </c>
      <c r="S956" s="60" t="s">
        <v>254</v>
      </c>
      <c r="T956" s="14">
        <f>IF(OR(Tabela1[[#This Row],[Entrada]]="",Tabela1[[#This Row],[Saída]]=""), "", Tabela1[[#This Row],[Saída]]-Tabela1[[#This Row],[Entrada]])</f>
        <v>3.9583333333333359E-2</v>
      </c>
      <c r="U956" s="15">
        <f>IF(OR('Controle de CT'!$R956= "", 'Controle de CT'!$P956= ""), "", 'Controle de CT'!$R956-'Controle de CT'!$P956)</f>
        <v>9.3055555555555614E-2</v>
      </c>
      <c r="V956" s="1"/>
      <c r="W956" s="2"/>
      <c r="X956" s="2"/>
    </row>
    <row r="957" spans="11:24" ht="15" hidden="1" customHeight="1">
      <c r="K957" s="5">
        <v>46109</v>
      </c>
      <c r="L957" s="8" t="s">
        <v>90</v>
      </c>
      <c r="M957" s="22" t="str">
        <f>IF(Tabela1[[#This Row],[Motorista]]="","",IFERROR(_xlfn.XLOOKUP(Tabela1[[#This Row],[Motorista]],Base!A:A,Base!B:B),""))</f>
        <v>FOB</v>
      </c>
      <c r="N957" s="20" t="str">
        <f t="shared" si="38"/>
        <v>Finalizado</v>
      </c>
      <c r="O9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57" s="2">
        <v>0.49583333333333335</v>
      </c>
      <c r="Q957" s="2">
        <v>0.51041666666666663</v>
      </c>
      <c r="R957" s="16">
        <v>0.54305555555555551</v>
      </c>
      <c r="S957" s="60" t="s">
        <v>254</v>
      </c>
      <c r="T957" s="14">
        <f>IF(OR(Tabela1[[#This Row],[Entrada]]="",Tabela1[[#This Row],[Saída]]=""), "", Tabela1[[#This Row],[Saída]]-Tabela1[[#This Row],[Entrada]])</f>
        <v>3.2638888888888884E-2</v>
      </c>
      <c r="U957" s="15">
        <f>IF(OR('Controle de CT'!$R957= "", 'Controle de CT'!$P957= ""), "", 'Controle de CT'!$R957-'Controle de CT'!$P957)</f>
        <v>4.7222222222222165E-2</v>
      </c>
      <c r="V957" s="1"/>
      <c r="W957" s="2"/>
      <c r="X957" s="2"/>
    </row>
    <row r="958" spans="11:24" ht="15" hidden="1" customHeight="1">
      <c r="K958" s="5">
        <v>46109</v>
      </c>
      <c r="L958" s="8" t="s">
        <v>257</v>
      </c>
      <c r="M958" s="22" t="str">
        <f>IF(Tabela1[[#This Row],[Motorista]]="","",IFERROR(_xlfn.XLOOKUP(Tabela1[[#This Row],[Motorista]],Base!A:A,Base!B:B),""))</f>
        <v>FOB</v>
      </c>
      <c r="N958" s="20" t="str">
        <f t="shared" si="38"/>
        <v>Finalizado</v>
      </c>
      <c r="O9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58" s="2">
        <v>0.57361111111111107</v>
      </c>
      <c r="Q958" s="2">
        <v>0.59444444444444444</v>
      </c>
      <c r="R958" s="16">
        <v>0.625</v>
      </c>
      <c r="S958" s="60" t="s">
        <v>254</v>
      </c>
      <c r="T958" s="14">
        <f>IF(OR(Tabela1[[#This Row],[Entrada]]="",Tabela1[[#This Row],[Saída]]=""), "", Tabela1[[#This Row],[Saída]]-Tabela1[[#This Row],[Entrada]])</f>
        <v>3.0555555555555558E-2</v>
      </c>
      <c r="U958" s="15">
        <f>IF(OR('Controle de CT'!$R958= "", 'Controle de CT'!$P958= ""), "", 'Controle de CT'!$R958-'Controle de CT'!$P958)</f>
        <v>5.1388888888888928E-2</v>
      </c>
      <c r="V958" s="1"/>
      <c r="W958" s="2"/>
      <c r="X958" s="2"/>
    </row>
    <row r="959" spans="11:24" ht="15" hidden="1" customHeight="1">
      <c r="K959" s="5">
        <v>46109</v>
      </c>
      <c r="L959" s="8" t="s">
        <v>87</v>
      </c>
      <c r="M959" s="22" t="str">
        <f>IF(Tabela1[[#This Row],[Motorista]]="","",IFERROR(_xlfn.XLOOKUP(Tabela1[[#This Row],[Motorista]],Base!A:A,Base!B:B),""))</f>
        <v>FOB</v>
      </c>
      <c r="N959" s="20" t="str">
        <f t="shared" si="38"/>
        <v>Finalizado</v>
      </c>
      <c r="O9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959" s="2">
        <v>0.58333333333333337</v>
      </c>
      <c r="Q959" s="2">
        <v>0.61319444444444449</v>
      </c>
      <c r="R959" s="16">
        <v>0.64930555555555558</v>
      </c>
      <c r="S959" s="60" t="s">
        <v>254</v>
      </c>
      <c r="T959" s="14">
        <f>IF(OR(Tabela1[[#This Row],[Entrada]]="",Tabela1[[#This Row],[Saída]]=""), "", Tabela1[[#This Row],[Saída]]-Tabela1[[#This Row],[Entrada]])</f>
        <v>3.6111111111111094E-2</v>
      </c>
      <c r="U959" s="15">
        <f>IF(OR('Controle de CT'!$R959= "", 'Controle de CT'!$P959= ""), "", 'Controle de CT'!$R959-'Controle de CT'!$P959)</f>
        <v>6.597222222222221E-2</v>
      </c>
      <c r="V959" s="1"/>
      <c r="W959" s="2"/>
      <c r="X959" s="2"/>
    </row>
    <row r="960" spans="11:24" ht="15" hidden="1" customHeight="1">
      <c r="K960" s="5">
        <v>46111</v>
      </c>
      <c r="L960" s="8" t="s">
        <v>109</v>
      </c>
      <c r="M960" s="22" t="str">
        <f>IF(Tabela1[[#This Row],[Motorista]]="","",IFERROR(_xlfn.XLOOKUP(Tabela1[[#This Row],[Motorista]],Base!A:A,Base!B:B),""))</f>
        <v>Transferência</v>
      </c>
      <c r="N960" s="20" t="str">
        <f t="shared" si="38"/>
        <v/>
      </c>
      <c r="O9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960" s="16"/>
      <c r="S960" s="16"/>
      <c r="T960" s="14" t="str">
        <f>IF(OR(Tabela1[[#This Row],[Entrada]]="",Tabela1[[#This Row],[Saída]]=""), "", Tabela1[[#This Row],[Saída]]-Tabela1[[#This Row],[Entrada]])</f>
        <v/>
      </c>
      <c r="U960" s="15" t="str">
        <f>IF(OR('Controle de CT'!$R960= "", 'Controle de CT'!$P960= ""), "", 'Controle de CT'!$R960-'Controle de CT'!$P960)</f>
        <v/>
      </c>
      <c r="V960" s="1" t="s">
        <v>258</v>
      </c>
      <c r="W960" s="2"/>
      <c r="X960" s="2"/>
    </row>
    <row r="961" spans="11:24" ht="15" hidden="1" customHeight="1">
      <c r="K961" s="5">
        <v>46111</v>
      </c>
      <c r="L961" s="8" t="s">
        <v>55</v>
      </c>
      <c r="M961" s="9" t="str">
        <f>IF(Tabela1[[#This Row],[Motorista]]="","",IFERROR(_xlfn.XLOOKUP(Tabela1[[#This Row],[Motorista]],Base!A:A,Base!B:B),""))</f>
        <v>CIF</v>
      </c>
      <c r="N961" s="20" t="str">
        <f t="shared" ref="N961:N986" si="39">IF(R961&lt;&gt;"","Finalizado", IF(Q961&lt;&gt;"","Fila de Carregamento", IF(P961&lt;&gt;"","Aguardando Entrada","")))</f>
        <v>Finalizado</v>
      </c>
      <c r="O9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1" s="4">
        <v>0.23194444444444445</v>
      </c>
      <c r="Q961" s="4">
        <v>0.27569444444444446</v>
      </c>
      <c r="R961" s="23">
        <v>0.31527777777777777</v>
      </c>
      <c r="S961" s="67"/>
      <c r="T961" s="14">
        <f>IF(OR(Tabela1[[#This Row],[Entrada]]="",Tabela1[[#This Row],[Saída]]=""), "", Tabela1[[#This Row],[Saída]]-Tabela1[[#This Row],[Entrada]])</f>
        <v>3.9583333333333304E-2</v>
      </c>
      <c r="U961" s="1"/>
      <c r="V961" s="1"/>
      <c r="W961" s="2"/>
      <c r="X961" s="2"/>
    </row>
    <row r="962" spans="11:24" ht="15" hidden="1" customHeight="1">
      <c r="K962" s="5">
        <v>46111</v>
      </c>
      <c r="L962" s="8" t="s">
        <v>42</v>
      </c>
      <c r="M962" s="9" t="str">
        <f>IF(Tabela1[[#This Row],[Motorista]]="","",IFERROR(_xlfn.XLOOKUP(Tabela1[[#This Row],[Motorista]],Base!A:A,Base!B:B),""))</f>
        <v>CIF</v>
      </c>
      <c r="N962" s="20" t="str">
        <f t="shared" si="39"/>
        <v>Finalizado</v>
      </c>
      <c r="O9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2" s="4">
        <v>0.2388888888888889</v>
      </c>
      <c r="Q962" s="4">
        <v>0.26805555555555555</v>
      </c>
      <c r="R962" s="23">
        <v>0.3125</v>
      </c>
      <c r="S962" s="67"/>
      <c r="T962" s="14">
        <f>IF(OR(Tabela1[[#This Row],[Entrada]]="",Tabela1[[#This Row],[Saída]]=""), "", Tabela1[[#This Row],[Saída]]-Tabela1[[#This Row],[Entrada]])</f>
        <v>4.4444444444444453E-2</v>
      </c>
      <c r="U962" s="1"/>
      <c r="V962" s="1"/>
      <c r="W962" s="2"/>
      <c r="X962" s="2"/>
    </row>
    <row r="963" spans="11:24" ht="15" hidden="1" customHeight="1">
      <c r="K963" s="5">
        <v>46111</v>
      </c>
      <c r="L963" s="8" t="s">
        <v>52</v>
      </c>
      <c r="M963" s="9" t="str">
        <f>IF(Tabela1[[#This Row],[Motorista]]="","",IFERROR(_xlfn.XLOOKUP(Tabela1[[#This Row],[Motorista]],Base!A:A,Base!B:B),""))</f>
        <v>CIF</v>
      </c>
      <c r="N963" s="20" t="str">
        <f t="shared" si="39"/>
        <v>Finalizado</v>
      </c>
      <c r="O9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3" s="4">
        <v>0.24097222222222223</v>
      </c>
      <c r="Q963" s="4">
        <v>0.29652777777777778</v>
      </c>
      <c r="R963" s="23">
        <v>0.32222222222222224</v>
      </c>
      <c r="S963" s="67"/>
      <c r="T963" s="14">
        <f>IF(OR(Tabela1[[#This Row],[Entrada]]="",Tabela1[[#This Row],[Saída]]=""), "", Tabela1[[#This Row],[Saída]]-Tabela1[[#This Row],[Entrada]])</f>
        <v>2.5694444444444464E-2</v>
      </c>
      <c r="U963" s="1"/>
      <c r="V963" s="1" t="s">
        <v>259</v>
      </c>
      <c r="W963" s="2"/>
      <c r="X963" s="2"/>
    </row>
    <row r="964" spans="11:24" ht="15" hidden="1" customHeight="1">
      <c r="K964" s="5">
        <v>46111</v>
      </c>
      <c r="L964" s="8" t="s">
        <v>54</v>
      </c>
      <c r="M964" s="9" t="str">
        <f>IF(Tabela1[[#This Row],[Motorista]]="","",IFERROR(_xlfn.XLOOKUP(Tabela1[[#This Row],[Motorista]],Base!A:A,Base!B:B),""))</f>
        <v>CIF</v>
      </c>
      <c r="N964" s="20" t="str">
        <f t="shared" si="39"/>
        <v>Aguardando Entrada</v>
      </c>
      <c r="O9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64" s="4">
        <v>0.24444444444444444</v>
      </c>
      <c r="Q964" s="4"/>
      <c r="R964" s="23"/>
      <c r="S964" s="67"/>
      <c r="T964" s="14" t="str">
        <f>IF(OR(Tabela1[[#This Row],[Entrada]]="",Tabela1[[#This Row],[Saída]]=""), "", Tabela1[[#This Row],[Saída]]-Tabela1[[#This Row],[Entrada]])</f>
        <v/>
      </c>
      <c r="U964" s="1"/>
      <c r="V964" s="1" t="s">
        <v>260</v>
      </c>
      <c r="W964" s="2"/>
      <c r="X964" s="2"/>
    </row>
    <row r="965" spans="11:24" ht="15" hidden="1" customHeight="1">
      <c r="K965" s="5">
        <v>46111</v>
      </c>
      <c r="L965" s="8" t="s">
        <v>57</v>
      </c>
      <c r="M965" s="9" t="str">
        <f>IF(Tabela1[[#This Row],[Motorista]]="","",IFERROR(_xlfn.XLOOKUP(Tabela1[[#This Row],[Motorista]],Base!A:A,Base!B:B),""))</f>
        <v>CIF</v>
      </c>
      <c r="N965" s="20" t="str">
        <f t="shared" si="39"/>
        <v>Finalizado</v>
      </c>
      <c r="O9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5" s="4">
        <v>0.24930555555555556</v>
      </c>
      <c r="Q965" s="4">
        <v>0.3923611111111111</v>
      </c>
      <c r="R965" s="23">
        <v>0.43194444444444446</v>
      </c>
      <c r="S965" s="67"/>
      <c r="T965" s="14">
        <f>IF(OR(Tabela1[[#This Row],[Entrada]]="",Tabela1[[#This Row],[Saída]]=""), "", Tabela1[[#This Row],[Saída]]-Tabela1[[#This Row],[Entrada]])</f>
        <v>3.9583333333333359E-2</v>
      </c>
      <c r="U965" s="1"/>
      <c r="V965" s="1"/>
      <c r="W965" s="2"/>
      <c r="X965" s="2"/>
    </row>
    <row r="966" spans="11:24" ht="15" hidden="1" customHeight="1">
      <c r="K966" s="5">
        <v>46111</v>
      </c>
      <c r="L966" s="8" t="s">
        <v>46</v>
      </c>
      <c r="M966" s="9" t="str">
        <f>IF(Tabela1[[#This Row],[Motorista]]="","",IFERROR(_xlfn.XLOOKUP(Tabela1[[#This Row],[Motorista]],Base!A:A,Base!B:B),""))</f>
        <v>CIF</v>
      </c>
      <c r="N966" s="20" t="str">
        <f t="shared" si="39"/>
        <v>Finalizado</v>
      </c>
      <c r="O9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6" s="4">
        <v>0.25208333333333333</v>
      </c>
      <c r="Q966" s="4"/>
      <c r="R966" s="23">
        <v>0.48333333333333334</v>
      </c>
      <c r="S966" s="67"/>
      <c r="T966" s="14" t="str">
        <f>IF(OR(Tabela1[[#This Row],[Entrada]]="",Tabela1[[#This Row],[Saída]]=""), "", Tabela1[[#This Row],[Saída]]-Tabela1[[#This Row],[Entrada]])</f>
        <v/>
      </c>
      <c r="U966" s="1"/>
      <c r="V966" s="1"/>
      <c r="W966" s="2"/>
      <c r="X966" s="2"/>
    </row>
    <row r="967" spans="11:24" ht="15" hidden="1" customHeight="1">
      <c r="K967" s="5">
        <v>46111</v>
      </c>
      <c r="L967" s="8" t="s">
        <v>116</v>
      </c>
      <c r="M967" s="9" t="str">
        <f>IF(Tabela1[[#This Row],[Motorista]]="","",IFERROR(_xlfn.XLOOKUP(Tabela1[[#This Row],[Motorista]],Base!A:A,Base!B:B),""))</f>
        <v xml:space="preserve">CIF </v>
      </c>
      <c r="N967" s="20" t="str">
        <f t="shared" si="39"/>
        <v>Aguardando Entrada</v>
      </c>
      <c r="O9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67" s="4">
        <v>0.20833333333333334</v>
      </c>
      <c r="Q967" s="4"/>
      <c r="R967" s="23"/>
      <c r="S967" s="67"/>
      <c r="T967" s="14" t="str">
        <f>IF(OR(Tabela1[[#This Row],[Entrada]]="",Tabela1[[#This Row],[Saída]]=""), "", Tabela1[[#This Row],[Saída]]-Tabela1[[#This Row],[Entrada]])</f>
        <v/>
      </c>
      <c r="U967" s="1"/>
      <c r="V967" s="1"/>
      <c r="W967" s="2"/>
      <c r="X967" s="2"/>
    </row>
    <row r="968" spans="11:24" ht="15" hidden="1" customHeight="1">
      <c r="K968" s="5">
        <v>46111</v>
      </c>
      <c r="L968" s="8" t="s">
        <v>45</v>
      </c>
      <c r="M968" s="9" t="str">
        <f>IF(Tabela1[[#This Row],[Motorista]]="","",IFERROR(_xlfn.XLOOKUP(Tabela1[[#This Row],[Motorista]],Base!A:A,Base!B:B),""))</f>
        <v>CIF</v>
      </c>
      <c r="N968" s="20" t="str">
        <f t="shared" si="39"/>
        <v>Finalizado</v>
      </c>
      <c r="O9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68" s="4">
        <v>0.2388888888888889</v>
      </c>
      <c r="Q968" s="4">
        <v>0.37708333333333333</v>
      </c>
      <c r="R968" s="23">
        <v>0.41666666666666669</v>
      </c>
      <c r="S968" s="67"/>
      <c r="T968" s="14">
        <f>IF(OR(Tabela1[[#This Row],[Entrada]]="",Tabela1[[#This Row],[Saída]]=""), "", Tabela1[[#This Row],[Saída]]-Tabela1[[#This Row],[Entrada]])</f>
        <v>3.9583333333333359E-2</v>
      </c>
      <c r="U968" s="1"/>
      <c r="V968" s="1"/>
      <c r="W968" s="2"/>
      <c r="X968" s="2"/>
    </row>
    <row r="969" spans="11:24" ht="15" hidden="1" customHeight="1">
      <c r="K969" s="5">
        <v>46111</v>
      </c>
      <c r="L969" s="8" t="s">
        <v>135</v>
      </c>
      <c r="M969" s="9" t="str">
        <f>IF(Tabela1[[#This Row],[Motorista]]="","",IFERROR(_xlfn.XLOOKUP(Tabela1[[#This Row],[Motorista]],Base!A:A,Base!B:B),""))</f>
        <v>Transferência</v>
      </c>
      <c r="N969" s="20" t="str">
        <f t="shared" si="39"/>
        <v>Aguardando Entrada</v>
      </c>
      <c r="O9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69" s="4">
        <v>0.24374999999999999</v>
      </c>
      <c r="Q969" s="4"/>
      <c r="R969" s="23"/>
      <c r="S969" s="67"/>
      <c r="T969" s="14" t="str">
        <f>IF(OR(Tabela1[[#This Row],[Entrada]]="",Tabela1[[#This Row],[Saída]]=""), "", Tabela1[[#This Row],[Saída]]-Tabela1[[#This Row],[Entrada]])</f>
        <v/>
      </c>
      <c r="U969" s="1"/>
      <c r="V969" s="1" t="s">
        <v>261</v>
      </c>
      <c r="W969" s="2"/>
      <c r="X969" s="2"/>
    </row>
    <row r="970" spans="11:24" ht="15" hidden="1" customHeight="1">
      <c r="K970" s="5">
        <v>46111</v>
      </c>
      <c r="L970" s="8" t="s">
        <v>95</v>
      </c>
      <c r="M970" s="9" t="str">
        <f>IF(Tabela1[[#This Row],[Motorista]]="","",IFERROR(_xlfn.XLOOKUP(Tabela1[[#This Row],[Motorista]],Base!A:A,Base!B:B),""))</f>
        <v>FOB</v>
      </c>
      <c r="N970" s="20" t="str">
        <f t="shared" si="39"/>
        <v>Finalizado</v>
      </c>
      <c r="O9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0" s="4">
        <v>0.25972222222222224</v>
      </c>
      <c r="Q970" s="4">
        <v>0.29444444444444445</v>
      </c>
      <c r="R970" s="23">
        <v>0.3263888888888889</v>
      </c>
      <c r="S970" s="67"/>
      <c r="T970" s="14">
        <f>IF(OR(Tabela1[[#This Row],[Entrada]]="",Tabela1[[#This Row],[Saída]]=""), "", Tabela1[[#This Row],[Saída]]-Tabela1[[#This Row],[Entrada]])</f>
        <v>3.1944444444444442E-2</v>
      </c>
      <c r="U970" s="1"/>
      <c r="V970" s="1"/>
      <c r="W970" s="2"/>
      <c r="X970" s="2"/>
    </row>
    <row r="971" spans="11:24" ht="15" hidden="1" customHeight="1">
      <c r="K971" s="5">
        <v>46111</v>
      </c>
      <c r="L971" s="8" t="s">
        <v>114</v>
      </c>
      <c r="M971" s="9" t="str">
        <f>IF(Tabela1[[#This Row],[Motorista]]="","",IFERROR(_xlfn.XLOOKUP(Tabela1[[#This Row],[Motorista]],Base!A:A,Base!B:B),""))</f>
        <v>FOB</v>
      </c>
      <c r="N971" s="20" t="str">
        <f t="shared" si="39"/>
        <v>Fila de Carregamento</v>
      </c>
      <c r="O9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1" s="4">
        <v>0.26666666666666666</v>
      </c>
      <c r="Q971" s="4">
        <v>0.54166666666666663</v>
      </c>
      <c r="R971" s="23"/>
      <c r="S971" s="67"/>
      <c r="T971" s="14" t="str">
        <f>IF(OR(Tabela1[[#This Row],[Entrada]]="",Tabela1[[#This Row],[Saída]]=""), "", Tabela1[[#This Row],[Saída]]-Tabela1[[#This Row],[Entrada]])</f>
        <v/>
      </c>
      <c r="U971" s="1"/>
      <c r="V971" s="1" t="s">
        <v>262</v>
      </c>
      <c r="W971" s="2"/>
      <c r="X971" s="2"/>
    </row>
    <row r="972" spans="11:24" ht="15" hidden="1" customHeight="1">
      <c r="K972" s="5">
        <v>46111</v>
      </c>
      <c r="L972" s="8" t="s">
        <v>53</v>
      </c>
      <c r="M972" s="9" t="str">
        <f>IF(Tabela1[[#This Row],[Motorista]]="","",IFERROR(_xlfn.XLOOKUP(Tabela1[[#This Row],[Motorista]],Base!A:A,Base!B:B),""))</f>
        <v>CIF</v>
      </c>
      <c r="N972" s="20" t="str">
        <f t="shared" si="39"/>
        <v>Aguardando Entrada</v>
      </c>
      <c r="O9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2" s="4">
        <v>0.28541666666666665</v>
      </c>
      <c r="Q972" s="4"/>
      <c r="R972" s="23"/>
      <c r="S972" s="67"/>
      <c r="T972" s="14" t="str">
        <f>IF(OR(Tabela1[[#This Row],[Entrada]]="",Tabela1[[#This Row],[Saída]]=""), "", Tabela1[[#This Row],[Saída]]-Tabela1[[#This Row],[Entrada]])</f>
        <v/>
      </c>
      <c r="U972" s="1"/>
      <c r="V972" s="1"/>
      <c r="W972" s="2"/>
      <c r="X972" s="2"/>
    </row>
    <row r="973" spans="11:24" ht="15" hidden="1" customHeight="1">
      <c r="K973" s="5">
        <v>46111</v>
      </c>
      <c r="L973" s="8" t="s">
        <v>187</v>
      </c>
      <c r="M973" s="9" t="str">
        <f>IF(Tabela1[[#This Row],[Motorista]]="","",IFERROR(_xlfn.XLOOKUP(Tabela1[[#This Row],[Motorista]],Base!A:A,Base!B:B),""))</f>
        <v>Transferência</v>
      </c>
      <c r="N973" s="20" t="str">
        <f t="shared" si="39"/>
        <v>Aguardando Entrada</v>
      </c>
      <c r="O9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3" s="4">
        <v>0.28611111111111109</v>
      </c>
      <c r="Q973" s="4"/>
      <c r="R973" s="23"/>
      <c r="S973" s="67"/>
      <c r="T973" s="14" t="str">
        <f>IF(OR(Tabela1[[#This Row],[Entrada]]="",Tabela1[[#This Row],[Saída]]=""), "", Tabela1[[#This Row],[Saída]]-Tabela1[[#This Row],[Entrada]])</f>
        <v/>
      </c>
      <c r="U973" s="1"/>
      <c r="V973" s="1" t="s">
        <v>263</v>
      </c>
      <c r="W973" s="2"/>
      <c r="X973" s="2"/>
    </row>
    <row r="974" spans="11:24" ht="15" hidden="1" customHeight="1">
      <c r="K974" s="5">
        <v>46111</v>
      </c>
      <c r="L974" s="8" t="s">
        <v>104</v>
      </c>
      <c r="M974" s="9" t="str">
        <f>IF(Tabela1[[#This Row],[Motorista]]="","",IFERROR(_xlfn.XLOOKUP(Tabela1[[#This Row],[Motorista]],Base!A:A,Base!B:B),""))</f>
        <v>RZD</v>
      </c>
      <c r="N974" s="20" t="str">
        <f t="shared" si="39"/>
        <v>Aguardando Entrada</v>
      </c>
      <c r="O9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4" s="4">
        <v>0.29722222222222222</v>
      </c>
      <c r="Q974" s="4"/>
      <c r="R974" s="23"/>
      <c r="S974" s="67"/>
      <c r="T974" s="14" t="str">
        <f>IF(OR(Tabela1[[#This Row],[Entrada]]="",Tabela1[[#This Row],[Saída]]=""), "", Tabela1[[#This Row],[Saída]]-Tabela1[[#This Row],[Entrada]])</f>
        <v/>
      </c>
      <c r="U974" s="1"/>
      <c r="V974" s="1"/>
      <c r="W974" s="2"/>
      <c r="X974" s="2"/>
    </row>
    <row r="975" spans="11:24" ht="15" hidden="1" customHeight="1">
      <c r="K975" s="5">
        <v>46111</v>
      </c>
      <c r="L975" s="8" t="s">
        <v>89</v>
      </c>
      <c r="M975" s="9" t="str">
        <f>IF(Tabela1[[#This Row],[Motorista]]="","",IFERROR(_xlfn.XLOOKUP(Tabela1[[#This Row],[Motorista]],Base!A:A,Base!B:B),""))</f>
        <v>FOB</v>
      </c>
      <c r="N975" s="20" t="str">
        <f t="shared" si="39"/>
        <v>Finalizado</v>
      </c>
      <c r="O9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5" s="4">
        <v>0.30138888888888887</v>
      </c>
      <c r="Q975" s="4">
        <v>0.34375</v>
      </c>
      <c r="R975" s="23">
        <v>0.38750000000000001</v>
      </c>
      <c r="S975" s="67"/>
      <c r="T975" s="14">
        <f>IF(OR(Tabela1[[#This Row],[Entrada]]="",Tabela1[[#This Row],[Saída]]=""), "", Tabela1[[#This Row],[Saída]]-Tabela1[[#This Row],[Entrada]])</f>
        <v>4.3750000000000011E-2</v>
      </c>
      <c r="U975" s="1"/>
      <c r="V975" s="1"/>
      <c r="W975" s="2"/>
      <c r="X975" s="2"/>
    </row>
    <row r="976" spans="11:24" ht="15" hidden="1" customHeight="1">
      <c r="K976" s="5">
        <v>46111</v>
      </c>
      <c r="L976" s="8" t="s">
        <v>225</v>
      </c>
      <c r="M976" s="9" t="str">
        <f>IF(Tabela1[[#This Row],[Motorista]]="","",IFERROR(_xlfn.XLOOKUP(Tabela1[[#This Row],[Motorista]],Base!A:A,Base!B:B),""))</f>
        <v>FOB</v>
      </c>
      <c r="N976" s="20" t="str">
        <f t="shared" si="39"/>
        <v>Aguardando Entrada</v>
      </c>
      <c r="O9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6" s="4">
        <v>0.3215277777777778</v>
      </c>
      <c r="Q976" s="4"/>
      <c r="R976" s="23"/>
      <c r="S976" s="67"/>
      <c r="T976" s="14" t="str">
        <f>IF(OR(Tabela1[[#This Row],[Entrada]]="",Tabela1[[#This Row],[Saída]]=""), "", Tabela1[[#This Row],[Saída]]-Tabela1[[#This Row],[Entrada]])</f>
        <v/>
      </c>
      <c r="U976" s="1"/>
      <c r="V976" s="1"/>
      <c r="W976" s="2"/>
      <c r="X976" s="2"/>
    </row>
    <row r="977" spans="11:24" ht="15" hidden="1" customHeight="1">
      <c r="K977" s="5">
        <v>46111</v>
      </c>
      <c r="L977" s="8" t="s">
        <v>92</v>
      </c>
      <c r="M977" s="9" t="str">
        <f>IF(Tabela1[[#This Row],[Motorista]]="","",IFERROR(_xlfn.XLOOKUP(Tabela1[[#This Row],[Motorista]],Base!A:A,Base!B:B),""))</f>
        <v>FOB</v>
      </c>
      <c r="N977" s="20" t="str">
        <f t="shared" si="39"/>
        <v>Finalizado</v>
      </c>
      <c r="O9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77" s="4">
        <v>0.28472222222222221</v>
      </c>
      <c r="Q977" s="4">
        <v>0.36805555555555558</v>
      </c>
      <c r="R977" s="23">
        <v>0.39791666666666664</v>
      </c>
      <c r="S977" s="67"/>
      <c r="T977" s="14">
        <f>IF(OR(Tabela1[[#This Row],[Entrada]]="",Tabela1[[#This Row],[Saída]]=""), "", Tabela1[[#This Row],[Saída]]-Tabela1[[#This Row],[Entrada]])</f>
        <v>2.9861111111111061E-2</v>
      </c>
      <c r="U977" s="1"/>
      <c r="V977" s="1"/>
      <c r="W977" s="2"/>
      <c r="X977" s="2"/>
    </row>
    <row r="978" spans="11:24" ht="15" hidden="1" customHeight="1">
      <c r="K978" s="5">
        <v>46111</v>
      </c>
      <c r="L978" s="8" t="s">
        <v>121</v>
      </c>
      <c r="M978" s="9" t="str">
        <f>IF(Tabela1[[#This Row],[Motorista]]="","",IFERROR(_xlfn.XLOOKUP(Tabela1[[#This Row],[Motorista]],Base!A:A,Base!B:B),""))</f>
        <v>CIF</v>
      </c>
      <c r="N978" s="20" t="str">
        <f t="shared" si="39"/>
        <v>Fila de Carregamento</v>
      </c>
      <c r="O9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8" s="4">
        <v>0.36527777777777776</v>
      </c>
      <c r="Q978" s="4">
        <v>0.51388888888888884</v>
      </c>
      <c r="R978" s="23"/>
      <c r="S978" s="67"/>
      <c r="T978" s="14" t="str">
        <f>IF(OR(Tabela1[[#This Row],[Entrada]]="",Tabela1[[#This Row],[Saída]]=""), "", Tabela1[[#This Row],[Saída]]-Tabela1[[#This Row],[Entrada]])</f>
        <v/>
      </c>
      <c r="U978" s="1"/>
      <c r="V978" s="1"/>
      <c r="W978" s="2"/>
      <c r="X978" s="2"/>
    </row>
    <row r="979" spans="11:24" ht="15" hidden="1" customHeight="1">
      <c r="K979" s="5">
        <v>46111</v>
      </c>
      <c r="L979" s="8" t="s">
        <v>86</v>
      </c>
      <c r="M979" s="9" t="str">
        <f>IF(Tabela1[[#This Row],[Motorista]]="","",IFERROR(_xlfn.XLOOKUP(Tabela1[[#This Row],[Motorista]],Base!A:A,Base!B:B),""))</f>
        <v>FOB</v>
      </c>
      <c r="N979" s="20" t="str">
        <f t="shared" si="39"/>
        <v>Finalizado</v>
      </c>
      <c r="O9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79" s="4">
        <v>0.37361111111111112</v>
      </c>
      <c r="Q979" s="4">
        <v>0.41319444444444442</v>
      </c>
      <c r="R979" s="23">
        <v>0.46875</v>
      </c>
      <c r="S979" s="67"/>
      <c r="T979" s="14">
        <f>IF(OR(Tabela1[[#This Row],[Entrada]]="",Tabela1[[#This Row],[Saída]]=""), "", Tabela1[[#This Row],[Saída]]-Tabela1[[#This Row],[Entrada]])</f>
        <v>5.555555555555558E-2</v>
      </c>
      <c r="U979" s="1"/>
      <c r="V979" s="1"/>
      <c r="W979" s="2"/>
      <c r="X979" s="2"/>
    </row>
    <row r="980" spans="11:24" ht="15" hidden="1" customHeight="1">
      <c r="K980" s="5">
        <v>46111</v>
      </c>
      <c r="L980" s="8" t="s">
        <v>90</v>
      </c>
      <c r="M980" s="9" t="str">
        <f>IF(Tabela1[[#This Row],[Motorista]]="","",IFERROR(_xlfn.XLOOKUP(Tabela1[[#This Row],[Motorista]],Base!A:A,Base!B:B),""))</f>
        <v>FOB</v>
      </c>
      <c r="N980" s="20" t="str">
        <f t="shared" si="39"/>
        <v>Finalizado</v>
      </c>
      <c r="O9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0" s="4">
        <v>0.3840277777777778</v>
      </c>
      <c r="Q980" s="4">
        <v>0.40972222222222221</v>
      </c>
      <c r="R980" s="23">
        <v>0.41805555555555557</v>
      </c>
      <c r="S980" s="67"/>
      <c r="T980" s="14">
        <f>IF(OR(Tabela1[[#This Row],[Entrada]]="",Tabela1[[#This Row],[Saída]]=""), "", Tabela1[[#This Row],[Saída]]-Tabela1[[#This Row],[Entrada]])</f>
        <v>8.3333333333333592E-3</v>
      </c>
      <c r="U980" s="1"/>
      <c r="V980" s="1"/>
      <c r="W980" s="2"/>
      <c r="X980" s="2"/>
    </row>
    <row r="981" spans="11:24" ht="15" hidden="1" customHeight="1">
      <c r="K981" s="5">
        <v>46111</v>
      </c>
      <c r="L981" s="8" t="s">
        <v>87</v>
      </c>
      <c r="M981" s="9" t="str">
        <f>IF(Tabela1[[#This Row],[Motorista]]="","",IFERROR(_xlfn.XLOOKUP(Tabela1[[#This Row],[Motorista]],Base!A:A,Base!B:B),""))</f>
        <v>FOB</v>
      </c>
      <c r="N981" s="20" t="str">
        <f t="shared" si="39"/>
        <v>Finalizado</v>
      </c>
      <c r="O9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1" s="4">
        <v>0.3840277777777778</v>
      </c>
      <c r="Q981" s="4">
        <v>0.41319444444444442</v>
      </c>
      <c r="R981" s="23">
        <v>0.43472222222222223</v>
      </c>
      <c r="S981" s="67"/>
      <c r="T981" s="14">
        <f>IF(OR(Tabela1[[#This Row],[Entrada]]="",Tabela1[[#This Row],[Saída]]=""), "", Tabela1[[#This Row],[Saída]]-Tabela1[[#This Row],[Entrada]])</f>
        <v>2.1527777777777812E-2</v>
      </c>
      <c r="U981" s="1"/>
      <c r="V981" s="1"/>
      <c r="W981" s="2"/>
      <c r="X981" s="2"/>
    </row>
    <row r="982" spans="11:24" ht="15" hidden="1" customHeight="1">
      <c r="K982" s="5">
        <v>46111</v>
      </c>
      <c r="L982" s="8" t="s">
        <v>116</v>
      </c>
      <c r="M982" s="9" t="str">
        <f>IF(Tabela1[[#This Row],[Motorista]]="","",IFERROR(_xlfn.XLOOKUP(Tabela1[[#This Row],[Motorista]],Base!A:A,Base!B:B),""))</f>
        <v xml:space="preserve">CIF </v>
      </c>
      <c r="N982" s="20" t="str">
        <f t="shared" si="39"/>
        <v>Finalizado</v>
      </c>
      <c r="O9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2" s="4">
        <v>0.43055555555555558</v>
      </c>
      <c r="Q982" s="4">
        <v>0.52916666666666667</v>
      </c>
      <c r="R982" s="23">
        <v>0.5625</v>
      </c>
      <c r="S982" s="67"/>
      <c r="T982" s="14">
        <f>IF(OR(Tabela1[[#This Row],[Entrada]]="",Tabela1[[#This Row],[Saída]]=""), "", Tabela1[[#This Row],[Saída]]-Tabela1[[#This Row],[Entrada]])</f>
        <v>3.3333333333333326E-2</v>
      </c>
      <c r="U982" s="1"/>
      <c r="V982" s="1"/>
      <c r="W982" s="2"/>
      <c r="X982" s="2"/>
    </row>
    <row r="983" spans="11:24" ht="15" hidden="1" customHeight="1">
      <c r="K983" s="5">
        <v>46111</v>
      </c>
      <c r="L983" s="8" t="s">
        <v>42</v>
      </c>
      <c r="M983" s="9" t="str">
        <f>IF(Tabela1[[#This Row],[Motorista]]="","",IFERROR(_xlfn.XLOOKUP(Tabela1[[#This Row],[Motorista]],Base!A:A,Base!B:B),""))</f>
        <v>CIF</v>
      </c>
      <c r="N983" s="20" t="str">
        <f t="shared" si="39"/>
        <v>Finalizado</v>
      </c>
      <c r="O9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3" s="4">
        <v>0.44166666666666665</v>
      </c>
      <c r="Q983" s="4">
        <v>0.46041666666666664</v>
      </c>
      <c r="R983" s="23">
        <v>0.49305555555555558</v>
      </c>
      <c r="S983" s="67"/>
      <c r="T983" s="14">
        <f>IF(OR(Tabela1[[#This Row],[Entrada]]="",Tabela1[[#This Row],[Saída]]=""), "", Tabela1[[#This Row],[Saída]]-Tabela1[[#This Row],[Entrada]])</f>
        <v>3.2638888888888939E-2</v>
      </c>
      <c r="U983" s="1"/>
      <c r="V983" s="1"/>
      <c r="W983" s="2"/>
      <c r="X983" s="2"/>
    </row>
    <row r="984" spans="11:24" ht="15" hidden="1" customHeight="1">
      <c r="K984" s="5">
        <v>46111</v>
      </c>
      <c r="L984" s="8" t="s">
        <v>49</v>
      </c>
      <c r="M984" s="9" t="str">
        <f>IF(Tabela1[[#This Row],[Motorista]]="","",IFERROR(_xlfn.XLOOKUP(Tabela1[[#This Row],[Motorista]],Base!A:A,Base!B:B),""))</f>
        <v>CIF</v>
      </c>
      <c r="N984" s="20" t="str">
        <f t="shared" si="39"/>
        <v>Finalizado</v>
      </c>
      <c r="O9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84" s="4">
        <v>0.47222222222222221</v>
      </c>
      <c r="Q984" s="4"/>
      <c r="R984" s="23">
        <v>0.52083333333333337</v>
      </c>
      <c r="S984" s="67"/>
      <c r="T984" s="14" t="str">
        <f>IF(OR(Tabela1[[#This Row],[Entrada]]="",Tabela1[[#This Row],[Saída]]=""), "", Tabela1[[#This Row],[Saída]]-Tabela1[[#This Row],[Entrada]])</f>
        <v/>
      </c>
      <c r="U984" s="1"/>
      <c r="V984" s="1"/>
      <c r="W984" s="2"/>
      <c r="X984" s="2"/>
    </row>
    <row r="985" spans="11:24" ht="15" hidden="1" customHeight="1">
      <c r="K985" s="5">
        <v>46111</v>
      </c>
      <c r="L985" s="8" t="s">
        <v>52</v>
      </c>
      <c r="M985" s="9" t="str">
        <f>IF(Tabela1[[#This Row],[Motorista]]="","",IFERROR(_xlfn.XLOOKUP(Tabela1[[#This Row],[Motorista]],Base!A:A,Base!B:B),""))</f>
        <v>CIF</v>
      </c>
      <c r="N985" s="20" t="str">
        <f t="shared" si="39"/>
        <v>Finalizado</v>
      </c>
      <c r="O9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5" s="4">
        <v>0.45833333333333331</v>
      </c>
      <c r="Q985" s="4">
        <v>0.47499999999999998</v>
      </c>
      <c r="R985" s="23">
        <v>0.50555555555555554</v>
      </c>
      <c r="S985" s="67"/>
      <c r="T985" s="14">
        <f>IF(OR(Tabela1[[#This Row],[Entrada]]="",Tabela1[[#This Row],[Saída]]=""), "", Tabela1[[#This Row],[Saída]]-Tabela1[[#This Row],[Entrada]])</f>
        <v>3.0555555555555558E-2</v>
      </c>
      <c r="U985" s="1"/>
      <c r="V985" s="1"/>
      <c r="W985" s="2"/>
      <c r="X985" s="2"/>
    </row>
    <row r="986" spans="11:24" ht="15" hidden="1" customHeight="1">
      <c r="K986" s="5">
        <v>46111</v>
      </c>
      <c r="L986" s="8" t="s">
        <v>55</v>
      </c>
      <c r="M986" s="9" t="str">
        <f>IF(Tabela1[[#This Row],[Motorista]]="","",IFERROR(_xlfn.XLOOKUP(Tabela1[[#This Row],[Motorista]],Base!A:A,Base!B:B),""))</f>
        <v>CIF</v>
      </c>
      <c r="N986" s="20" t="str">
        <f t="shared" si="39"/>
        <v>Finalizado</v>
      </c>
      <c r="O9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6" s="4">
        <v>0.4777777777777778</v>
      </c>
      <c r="Q986" s="4">
        <v>0.49444444444444446</v>
      </c>
      <c r="R986" s="23">
        <v>0.53819444444444442</v>
      </c>
      <c r="S986" s="67"/>
      <c r="T986" s="14">
        <f>IF(OR(Tabela1[[#This Row],[Entrada]]="",Tabela1[[#This Row],[Saída]]=""), "", Tabela1[[#This Row],[Saída]]-Tabela1[[#This Row],[Entrada]])</f>
        <v>4.3749999999999956E-2</v>
      </c>
      <c r="U986" s="1"/>
      <c r="V986" s="1"/>
      <c r="W986" s="2"/>
      <c r="X986" s="2"/>
    </row>
    <row r="987" spans="11:24" ht="15" hidden="1" customHeight="1">
      <c r="K987" s="5">
        <v>46111</v>
      </c>
      <c r="L987" s="8" t="s">
        <v>264</v>
      </c>
      <c r="M987" s="9" t="s">
        <v>265</v>
      </c>
      <c r="N987" s="20" t="str">
        <f>IF(R987&lt;&gt;"","Finalizado", IF(Q987&lt;&gt;"","Fila de Carregamento", IF(P987&lt;&gt;"","Aguardando Entrada","")))</f>
        <v>Finalizado</v>
      </c>
      <c r="O9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87" s="4">
        <v>0.51597222222222228</v>
      </c>
      <c r="Q987" s="4">
        <v>0.54236111111111107</v>
      </c>
      <c r="R987" s="23">
        <v>0.58263888888888893</v>
      </c>
      <c r="S987" s="16"/>
      <c r="T987" s="14">
        <f>IF(OR(Tabela1[[#This Row],[Entrada]]="",Tabela1[[#This Row],[Saída]]=""), "", Tabela1[[#This Row],[Saída]]-Tabela1[[#This Row],[Entrada]])</f>
        <v>4.0277777777777857E-2</v>
      </c>
      <c r="U987" s="15">
        <f>IF(OR('Controle de CT'!$R987= "", 'Controle de CT'!$P987= ""), "", 'Controle de CT'!$R987-'Controle de CT'!$P987)</f>
        <v>6.6666666666666652E-2</v>
      </c>
      <c r="V987" s="1"/>
      <c r="W987" s="2"/>
      <c r="X987" s="2"/>
    </row>
    <row r="988" spans="11:24" ht="15" hidden="1" customHeight="1">
      <c r="K988" s="5">
        <v>46111</v>
      </c>
      <c r="L988" s="8" t="s">
        <v>57</v>
      </c>
      <c r="M988" s="9" t="str">
        <f>IF(Tabela1[[#This Row],[Motorista]]="","",IFERROR(_xlfn.XLOOKUP(Tabela1[[#This Row],[Motorista]],Base!A:A,Base!B:B),""))</f>
        <v>CIF</v>
      </c>
      <c r="N988" s="20" t="str">
        <f t="shared" ref="N988:N995" si="40">IF(R988&lt;&gt;"","Finalizado", IF(Q988&lt;&gt;"","Fila de Carregamento", IF(P988&lt;&gt;"","Aguardando Entrada","")))</f>
        <v>Finalizado</v>
      </c>
      <c r="O9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8" s="4">
        <v>0.57777777777777772</v>
      </c>
      <c r="Q988" s="4">
        <v>0.60069444444444442</v>
      </c>
      <c r="R988" s="23">
        <v>0.63888888888888884</v>
      </c>
      <c r="S988" s="16"/>
      <c r="T988" s="14">
        <f>IF(OR(Tabela1[[#This Row],[Entrada]]="",Tabela1[[#This Row],[Saída]]=""), "", Tabela1[[#This Row],[Saída]]-Tabela1[[#This Row],[Entrada]])</f>
        <v>3.819444444444442E-2</v>
      </c>
      <c r="U988" s="15">
        <f>IF(OR('Controle de CT'!$R988= "", 'Controle de CT'!$P988= ""), "", 'Controle de CT'!$R988-'Controle de CT'!$P988)</f>
        <v>6.1111111111111116E-2</v>
      </c>
      <c r="V988" s="1"/>
      <c r="W988" s="2"/>
      <c r="X988" s="2"/>
    </row>
    <row r="989" spans="11:24" ht="15" hidden="1" customHeight="1">
      <c r="K989" s="5">
        <v>46111</v>
      </c>
      <c r="L989" s="8" t="s">
        <v>90</v>
      </c>
      <c r="M989" s="22" t="str">
        <f>IF(Tabela1[[#This Row],[Motorista]]="","",IFERROR(_xlfn.XLOOKUP(Tabela1[[#This Row],[Motorista]],Base!A:A,Base!B:B),""))</f>
        <v>FOB</v>
      </c>
      <c r="N989" s="20" t="str">
        <f t="shared" si="40"/>
        <v>Finalizado</v>
      </c>
      <c r="O9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89" s="2">
        <v>0.57222222222222219</v>
      </c>
      <c r="Q989" s="2">
        <v>0.61875000000000002</v>
      </c>
      <c r="R989" s="16">
        <v>0.67083333333333328</v>
      </c>
      <c r="S989" s="16"/>
      <c r="T989" s="14">
        <f>IF(OR(Tabela1[[#This Row],[Entrada]]="",Tabela1[[#This Row],[Saída]]=""), "", Tabela1[[#This Row],[Saída]]-Tabela1[[#This Row],[Entrada]])</f>
        <v>5.2083333333333259E-2</v>
      </c>
      <c r="U989" s="15">
        <f>IF(OR('Controle de CT'!$R989= "", 'Controle de CT'!$P989= ""), "", 'Controle de CT'!$R989-'Controle de CT'!$P989)</f>
        <v>9.8611111111111094E-2</v>
      </c>
      <c r="V989" s="1"/>
      <c r="W989" s="2"/>
      <c r="X989" s="2"/>
    </row>
    <row r="990" spans="11:24" ht="15" hidden="1" customHeight="1">
      <c r="K990" s="5">
        <v>46111</v>
      </c>
      <c r="L990" s="8" t="s">
        <v>87</v>
      </c>
      <c r="M990" s="22" t="str">
        <f>IF(Tabela1[[#This Row],[Motorista]]="","",IFERROR(_xlfn.XLOOKUP(Tabela1[[#This Row],[Motorista]],Base!A:A,Base!B:B),""))</f>
        <v>FOB</v>
      </c>
      <c r="N990" s="20" t="str">
        <f t="shared" si="40"/>
        <v>Finalizado</v>
      </c>
      <c r="O9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90" s="2">
        <v>0.56736111111111109</v>
      </c>
      <c r="Q990" s="2">
        <v>0.61250000000000004</v>
      </c>
      <c r="R990" s="16">
        <v>0.63402777777777775</v>
      </c>
      <c r="S990" s="16"/>
      <c r="T990" s="14">
        <f>IF(OR(Tabela1[[#This Row],[Entrada]]="",Tabela1[[#This Row],[Saída]]=""), "", Tabela1[[#This Row],[Saída]]-Tabela1[[#This Row],[Entrada]])</f>
        <v>2.1527777777777701E-2</v>
      </c>
      <c r="U990" s="15">
        <f>IF(OR('Controle de CT'!$R990= "", 'Controle de CT'!$P990= ""), "", 'Controle de CT'!$R990-'Controle de CT'!$P990)</f>
        <v>6.6666666666666652E-2</v>
      </c>
      <c r="V990" s="1" t="s">
        <v>266</v>
      </c>
      <c r="W990" s="2"/>
      <c r="X990" s="2"/>
    </row>
    <row r="991" spans="11:24" ht="15" hidden="1" customHeight="1">
      <c r="K991" s="5">
        <v>46111</v>
      </c>
      <c r="L991" s="8" t="s">
        <v>92</v>
      </c>
      <c r="M991" s="22" t="str">
        <f>IF(Tabela1[[#This Row],[Motorista]]="","",IFERROR(_xlfn.XLOOKUP(Tabela1[[#This Row],[Motorista]],Base!A:A,Base!B:B),""))</f>
        <v>FOB</v>
      </c>
      <c r="N991" s="20" t="str">
        <f t="shared" si="40"/>
        <v>Finalizado</v>
      </c>
      <c r="O9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91" s="2">
        <v>0.56111111111111112</v>
      </c>
      <c r="Q991" s="2">
        <v>0.5756944444444444</v>
      </c>
      <c r="R991" s="16">
        <v>0.60347222222222219</v>
      </c>
      <c r="S991" s="16"/>
      <c r="T991" s="14">
        <f>IF(OR(Tabela1[[#This Row],[Entrada]]="",Tabela1[[#This Row],[Saída]]=""), "", Tabela1[[#This Row],[Saída]]-Tabela1[[#This Row],[Entrada]])</f>
        <v>2.777777777777779E-2</v>
      </c>
      <c r="U991" s="15">
        <f>IF(OR('Controle de CT'!$R991= "", 'Controle de CT'!$P991= ""), "", 'Controle de CT'!$R991-'Controle de CT'!$P991)</f>
        <v>4.2361111111111072E-2</v>
      </c>
      <c r="V991" s="1"/>
      <c r="W991" s="2"/>
      <c r="X991" s="2"/>
    </row>
    <row r="992" spans="11:24" ht="15" hidden="1" customHeight="1">
      <c r="K992" s="5">
        <v>46111</v>
      </c>
      <c r="L992" s="8" t="s">
        <v>127</v>
      </c>
      <c r="M992" s="22" t="str">
        <f>IF(Tabela1[[#This Row],[Motorista]]="","",IFERROR(_xlfn.XLOOKUP(Tabela1[[#This Row],[Motorista]],Base!A:A,Base!B:B),""))</f>
        <v>Transferência</v>
      </c>
      <c r="N992" s="20" t="str">
        <f t="shared" si="40"/>
        <v>Finalizado</v>
      </c>
      <c r="O9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2" s="2">
        <v>0.61805555555555558</v>
      </c>
      <c r="Q992" s="2">
        <v>0.65</v>
      </c>
      <c r="R992" s="16">
        <v>0.79305555555555551</v>
      </c>
      <c r="S992" s="16"/>
      <c r="T992" s="14">
        <f>IF(OR(Tabela1[[#This Row],[Entrada]]="",Tabela1[[#This Row],[Saída]]=""), "", Tabela1[[#This Row],[Saída]]-Tabela1[[#This Row],[Entrada]])</f>
        <v>0.14305555555555549</v>
      </c>
      <c r="U992" s="15">
        <f>IF(OR('Controle de CT'!$R992= "", 'Controle de CT'!$P992= ""), "", 'Controle de CT'!$R992-'Controle de CT'!$P992)</f>
        <v>0.17499999999999993</v>
      </c>
      <c r="V992" s="1"/>
      <c r="W992" s="2"/>
      <c r="X992" s="2"/>
    </row>
    <row r="993" spans="11:24" ht="15" hidden="1" customHeight="1">
      <c r="K993" s="5">
        <v>46111</v>
      </c>
      <c r="L993" s="8" t="s">
        <v>267</v>
      </c>
      <c r="M993" s="22" t="str">
        <f>IF(Tabela1[[#This Row],[Motorista]]="","",IFERROR(_xlfn.XLOOKUP(Tabela1[[#This Row],[Motorista]],Base!A:A,Base!B:B),""))</f>
        <v/>
      </c>
      <c r="N993" s="20" t="str">
        <f t="shared" si="40"/>
        <v>Finalizado</v>
      </c>
      <c r="O9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3" s="2">
        <v>0.61805555555555558</v>
      </c>
      <c r="Q993" s="2">
        <v>0.66388888888888886</v>
      </c>
      <c r="R993" s="16">
        <v>0.69652777777777775</v>
      </c>
      <c r="S993" s="16"/>
      <c r="T993" s="14">
        <f>IF(OR(Tabela1[[#This Row],[Entrada]]="",Tabela1[[#This Row],[Saída]]=""), "", Tabela1[[#This Row],[Saída]]-Tabela1[[#This Row],[Entrada]])</f>
        <v>3.2638888888888884E-2</v>
      </c>
      <c r="U993" s="15">
        <f>IF(OR('Controle de CT'!$R993= "", 'Controle de CT'!$P993= ""), "", 'Controle de CT'!$R993-'Controle de CT'!$P993)</f>
        <v>7.8472222222222165E-2</v>
      </c>
      <c r="V993" s="1"/>
      <c r="W993" s="2"/>
      <c r="X993" s="2"/>
    </row>
    <row r="994" spans="11:24" ht="15" hidden="1" customHeight="1">
      <c r="K994" s="5">
        <v>46111</v>
      </c>
      <c r="L994" s="8" t="s">
        <v>46</v>
      </c>
      <c r="M994" s="22" t="str">
        <f>IF(Tabela1[[#This Row],[Motorista]]="","",IFERROR(_xlfn.XLOOKUP(Tabela1[[#This Row],[Motorista]],Base!A:A,Base!B:B),""))</f>
        <v>CIF</v>
      </c>
      <c r="N994" s="20" t="str">
        <f t="shared" si="40"/>
        <v>Finalizado</v>
      </c>
      <c r="O9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94" s="2">
        <v>0.65</v>
      </c>
      <c r="Q994" s="2">
        <v>0.66319444444444442</v>
      </c>
      <c r="R994" s="16">
        <v>0.70416666666666672</v>
      </c>
      <c r="S994" s="16"/>
      <c r="T994" s="14">
        <f>IF(OR(Tabela1[[#This Row],[Entrada]]="",Tabela1[[#This Row],[Saída]]=""), "", Tabela1[[#This Row],[Saída]]-Tabela1[[#This Row],[Entrada]])</f>
        <v>4.0972222222222299E-2</v>
      </c>
      <c r="U994" s="15">
        <f>IF(OR('Controle de CT'!$R994= "", 'Controle de CT'!$P994= ""), "", 'Controle de CT'!$R994-'Controle de CT'!$P994)</f>
        <v>5.4166666666666696E-2</v>
      </c>
      <c r="V994" s="1"/>
      <c r="W994" s="2"/>
      <c r="X994" s="2"/>
    </row>
    <row r="995" spans="11:24" ht="15" hidden="1" customHeight="1">
      <c r="K995" s="5">
        <v>46111</v>
      </c>
      <c r="L995" s="8" t="s">
        <v>91</v>
      </c>
      <c r="M995" s="9" t="str">
        <f>IF(Tabela1[[#This Row],[Motorista]]="","",IFERROR(_xlfn.XLOOKUP(Tabela1[[#This Row],[Motorista]],Base!A:A,Base!B:B),""))</f>
        <v>FOB</v>
      </c>
      <c r="N995" s="20" t="str">
        <f t="shared" si="40"/>
        <v>Finalizado</v>
      </c>
      <c r="O9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5" s="4">
        <v>0.69166666666666665</v>
      </c>
      <c r="Q995" s="4">
        <v>0.71180555555555558</v>
      </c>
      <c r="R995" s="23">
        <v>0.78194444444444444</v>
      </c>
      <c r="S995" s="67"/>
      <c r="T995" s="14">
        <f>IF(OR(Tabela1[[#This Row],[Entrada]]="",Tabela1[[#This Row],[Saída]]=""), "", Tabela1[[#This Row],[Saída]]-Tabela1[[#This Row],[Entrada]])</f>
        <v>7.0138888888888862E-2</v>
      </c>
      <c r="U995" s="1" t="s">
        <v>262</v>
      </c>
      <c r="V995" s="1"/>
      <c r="W995" s="2"/>
      <c r="X995" s="2"/>
    </row>
    <row r="996" spans="11:24" ht="15" hidden="1" customHeight="1">
      <c r="K996" s="5">
        <v>46112</v>
      </c>
      <c r="L996" s="8" t="s">
        <v>54</v>
      </c>
      <c r="M996" s="9" t="str">
        <f>IF(Tabela1[[#This Row],[Motorista]]="","",IFERROR(_xlfn.XLOOKUP(Tabela1[[#This Row],[Motorista]],Base!A:A,Base!B:B),""))</f>
        <v>CIF</v>
      </c>
      <c r="N996" s="20" t="str">
        <f t="shared" ref="N996" si="41">IF(R996&lt;&gt;"","Finalizado", IF(Q996&lt;&gt;"","Fila de Carregamento", IF(P996&lt;&gt;"","Aguardando Entrada","")))</f>
        <v>Finalizado</v>
      </c>
      <c r="O9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6" s="4">
        <v>0.23680555555555555</v>
      </c>
      <c r="Q996" s="4">
        <v>0.24097222222222223</v>
      </c>
      <c r="R996" s="23">
        <v>0.29375000000000001</v>
      </c>
      <c r="S996" s="67"/>
      <c r="T996" s="14">
        <f>IF(OR(Tabela1[[#This Row],[Entrada]]="",Tabela1[[#This Row],[Saída]]=""), "", Tabela1[[#This Row],[Saída]]-Tabela1[[#This Row],[Entrada]])</f>
        <v>5.2777777777777785E-2</v>
      </c>
      <c r="U996" s="15">
        <f>IF(OR('Controle de CT'!$R996= "", 'Controle de CT'!$P996= ""), "", 'Controle de CT'!$R996-'Controle de CT'!$P996)</f>
        <v>5.6944444444444464E-2</v>
      </c>
      <c r="V996" s="1" t="s">
        <v>268</v>
      </c>
      <c r="W996" s="2"/>
      <c r="X996" s="2"/>
    </row>
    <row r="997" spans="11:24" ht="15" hidden="1" customHeight="1">
      <c r="K997" s="5">
        <v>46112</v>
      </c>
      <c r="L997" s="8" t="s">
        <v>57</v>
      </c>
      <c r="M997" s="9" t="str">
        <f>IF(Tabela1[[#This Row],[Motorista]]="","",IFERROR(_xlfn.XLOOKUP(Tabela1[[#This Row],[Motorista]],Base!A:A,Base!B:B),""))</f>
        <v>CIF</v>
      </c>
      <c r="N997" s="20" t="str">
        <f t="shared" ref="N997:N1004" si="42">IF(R997&lt;&gt;"","Finalizado", IF(Q997&lt;&gt;"","Fila de Carregamento", IF(P997&lt;&gt;"","Aguardando Entrada","")))</f>
        <v>Finalizado</v>
      </c>
      <c r="O9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7" s="4">
        <v>0.24791666666666667</v>
      </c>
      <c r="Q997" s="4">
        <v>0.35</v>
      </c>
      <c r="R997" s="23">
        <v>0.38680555555555557</v>
      </c>
      <c r="S997" s="67"/>
      <c r="T997" s="14">
        <f>IF(OR(Tabela1[[#This Row],[Entrada]]="",Tabela1[[#This Row],[Saída]]=""), "", Tabela1[[#This Row],[Saída]]-Tabela1[[#This Row],[Entrada]])</f>
        <v>3.6805555555555591E-2</v>
      </c>
      <c r="U997" s="1"/>
      <c r="V997" s="1" t="s">
        <v>269</v>
      </c>
      <c r="W997" s="2"/>
      <c r="X997" s="2"/>
    </row>
    <row r="998" spans="11:24" ht="15" hidden="1" customHeight="1">
      <c r="K998" s="5">
        <v>46112</v>
      </c>
      <c r="L998" s="8" t="s">
        <v>55</v>
      </c>
      <c r="M998" s="9" t="str">
        <f>IF(Tabela1[[#This Row],[Motorista]]="","",IFERROR(_xlfn.XLOOKUP(Tabela1[[#This Row],[Motorista]],Base!A:A,Base!B:B),""))</f>
        <v>CIF</v>
      </c>
      <c r="N998" s="20" t="str">
        <f t="shared" si="42"/>
        <v>Finalizado</v>
      </c>
      <c r="O9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998" s="4">
        <v>0.20833333333333334</v>
      </c>
      <c r="Q998" s="4">
        <v>0.22013888888888888</v>
      </c>
      <c r="R998" s="23">
        <v>0.2638888888888889</v>
      </c>
      <c r="S998" s="67"/>
      <c r="T998" s="14">
        <f>IF(OR(Tabela1[[#This Row],[Entrada]]="",Tabela1[[#This Row],[Saída]]=""), "", Tabela1[[#This Row],[Saída]]-Tabela1[[#This Row],[Entrada]])</f>
        <v>4.3750000000000011E-2</v>
      </c>
      <c r="U998" s="1"/>
      <c r="V998" s="1"/>
      <c r="W998" s="2"/>
      <c r="X998" s="2"/>
    </row>
    <row r="999" spans="11:24" ht="15" hidden="1" customHeight="1">
      <c r="K999" s="5">
        <v>46112</v>
      </c>
      <c r="L999" t="s">
        <v>198</v>
      </c>
      <c r="M999" s="1" t="s">
        <v>62</v>
      </c>
      <c r="N999" s="20" t="str">
        <f t="shared" si="42"/>
        <v>Finalizado</v>
      </c>
      <c r="O9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999" s="4">
        <v>0.24861111111111112</v>
      </c>
      <c r="Q999" s="4">
        <v>0.26805555555555555</v>
      </c>
      <c r="R999" s="23">
        <v>0.30069444444444443</v>
      </c>
      <c r="S999" s="67"/>
      <c r="T999" s="14">
        <f>IF(OR(Tabela1[[#This Row],[Entrada]]="",Tabela1[[#This Row],[Saída]]=""), "", Tabela1[[#This Row],[Saída]]-Tabela1[[#This Row],[Entrada]])</f>
        <v>3.2638888888888884E-2</v>
      </c>
      <c r="U999" s="1"/>
      <c r="V999" s="1" t="s">
        <v>268</v>
      </c>
      <c r="W999" s="2"/>
      <c r="X999" s="2"/>
    </row>
    <row r="1000" spans="11:24" ht="15" hidden="1" customHeight="1">
      <c r="K1000" s="5">
        <v>46112</v>
      </c>
      <c r="L1000" s="8" t="s">
        <v>116</v>
      </c>
      <c r="M1000" s="9" t="str">
        <f>IF(Tabela1[[#This Row],[Motorista]]="","",IFERROR(_xlfn.XLOOKUP(Tabela1[[#This Row],[Motorista]],Base!A:A,Base!B:B),""))</f>
        <v xml:space="preserve">CIF </v>
      </c>
      <c r="N1000" s="20" t="str">
        <f t="shared" si="42"/>
        <v>Fila de Carregamento</v>
      </c>
      <c r="O10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00" s="4">
        <v>0.21319444444444444</v>
      </c>
      <c r="Q1000" s="4">
        <v>0.28472222222222221</v>
      </c>
      <c r="R1000" s="23"/>
      <c r="S1000" s="67"/>
      <c r="T1000" s="14" t="str">
        <f>IF(OR(Tabela1[[#This Row],[Entrada]]="",Tabela1[[#This Row],[Saída]]=""), "", Tabela1[[#This Row],[Saída]]-Tabela1[[#This Row],[Entrada]])</f>
        <v/>
      </c>
      <c r="U1000" s="1"/>
      <c r="V1000" s="1"/>
      <c r="W1000" s="2"/>
      <c r="X1000" s="2"/>
    </row>
    <row r="1001" spans="11:24" ht="15" hidden="1" customHeight="1">
      <c r="K1001" s="5">
        <v>46112</v>
      </c>
      <c r="L1001" s="8" t="s">
        <v>86</v>
      </c>
      <c r="M1001" s="9" t="str">
        <f>IF(Tabela1[[#This Row],[Motorista]]="","",IFERROR(_xlfn.XLOOKUP(Tabela1[[#This Row],[Motorista]],Base!A:A,Base!B:B),""))</f>
        <v>FOB</v>
      </c>
      <c r="N1001" s="20" t="str">
        <f t="shared" si="42"/>
        <v>Finalizado</v>
      </c>
      <c r="O10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1" s="4">
        <v>0.26944444444444443</v>
      </c>
      <c r="Q1001" s="4">
        <v>0.27083333333333331</v>
      </c>
      <c r="R1001" s="23">
        <v>0.37291666666666667</v>
      </c>
      <c r="S1001" s="67"/>
      <c r="T1001" s="14">
        <f>IF(OR(Tabela1[[#This Row],[Entrada]]="",Tabela1[[#This Row],[Saída]]=""), "", Tabela1[[#This Row],[Saída]]-Tabela1[[#This Row],[Entrada]])</f>
        <v>0.10208333333333336</v>
      </c>
      <c r="U1001" s="1"/>
      <c r="V1001" s="1"/>
      <c r="W1001" s="2"/>
      <c r="X1001" s="2"/>
    </row>
    <row r="1002" spans="11:24" ht="15" hidden="1" customHeight="1">
      <c r="K1002" s="5">
        <v>46112</v>
      </c>
      <c r="L1002" s="8" t="s">
        <v>90</v>
      </c>
      <c r="M1002" s="9" t="str">
        <f>IF(Tabela1[[#This Row],[Motorista]]="","",IFERROR(_xlfn.XLOOKUP(Tabela1[[#This Row],[Motorista]],Base!A:A,Base!B:B),""))</f>
        <v>FOB</v>
      </c>
      <c r="N1002" s="20" t="str">
        <f t="shared" si="42"/>
        <v>Fila de Carregamento</v>
      </c>
      <c r="O10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2" s="4">
        <v>0.24444444444444444</v>
      </c>
      <c r="Q1002" s="4">
        <v>0.29166666666666669</v>
      </c>
      <c r="R1002" s="23"/>
      <c r="S1002" s="67"/>
      <c r="T1002" s="14" t="str">
        <f>IF(OR(Tabela1[[#This Row],[Entrada]]="",Tabela1[[#This Row],[Saída]]=""), "", Tabela1[[#This Row],[Saída]]-Tabela1[[#This Row],[Entrada]])</f>
        <v/>
      </c>
      <c r="U1002" s="1"/>
      <c r="V1002" s="1"/>
      <c r="W1002" s="2"/>
      <c r="X1002" s="2"/>
    </row>
    <row r="1003" spans="11:24" ht="15" hidden="1" customHeight="1">
      <c r="K1003" s="5">
        <v>46112</v>
      </c>
      <c r="L1003" s="8" t="s">
        <v>87</v>
      </c>
      <c r="M1003" s="9" t="str">
        <f>IF(Tabela1[[#This Row],[Motorista]]="","",IFERROR(_xlfn.XLOOKUP(Tabela1[[#This Row],[Motorista]],Base!A:A,Base!B:B),""))</f>
        <v>FOB</v>
      </c>
      <c r="N1003" s="20" t="str">
        <f t="shared" si="42"/>
        <v>Fila de Carregamento</v>
      </c>
      <c r="O10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3" s="4">
        <v>0.24930555555555556</v>
      </c>
      <c r="Q1003" s="4">
        <v>0.30138888888888887</v>
      </c>
      <c r="R1003" s="23"/>
      <c r="S1003" s="67"/>
      <c r="T1003" s="14" t="str">
        <f>IF(OR(Tabela1[[#This Row],[Entrada]]="",Tabela1[[#This Row],[Saída]]=""), "", Tabela1[[#This Row],[Saída]]-Tabela1[[#This Row],[Entrada]])</f>
        <v/>
      </c>
      <c r="U1003" s="1"/>
      <c r="V1003" s="1"/>
      <c r="W1003" s="2"/>
      <c r="X1003" s="2"/>
    </row>
    <row r="1004" spans="11:24" ht="15" hidden="1" customHeight="1">
      <c r="K1004" s="5">
        <v>46112</v>
      </c>
      <c r="L1004" s="8" t="s">
        <v>52</v>
      </c>
      <c r="M1004" s="9" t="str">
        <f>IF(Tabela1[[#This Row],[Motorista]]="","",IFERROR(_xlfn.XLOOKUP(Tabela1[[#This Row],[Motorista]],Base!A:A,Base!B:B),""))</f>
        <v>CIF</v>
      </c>
      <c r="N1004" s="20" t="str">
        <f t="shared" si="42"/>
        <v>Fila de Carregamento</v>
      </c>
      <c r="O10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04" s="4">
        <v>0.33263888888888887</v>
      </c>
      <c r="Q1004" s="4">
        <v>0.38958333333333334</v>
      </c>
      <c r="R1004" s="23"/>
      <c r="S1004" s="67"/>
      <c r="T1004" s="14" t="str">
        <f>IF(OR(Tabela1[[#This Row],[Entrada]]="",Tabela1[[#This Row],[Saída]]=""), "", Tabela1[[#This Row],[Saída]]-Tabela1[[#This Row],[Entrada]])</f>
        <v/>
      </c>
      <c r="U1004" s="15" t="str">
        <f>IF(OR('Controle de CT'!$R1004= "", 'Controle de CT'!$P1004= ""), "", 'Controle de CT'!$R1004-'Controle de CT'!$P1004)</f>
        <v/>
      </c>
      <c r="V1004" s="1"/>
      <c r="W1004" s="2"/>
      <c r="X1004" s="2"/>
    </row>
    <row r="1005" spans="11:24" ht="15" hidden="1" customHeight="1">
      <c r="K1005" s="5">
        <v>46112</v>
      </c>
      <c r="L1005" s="8" t="s">
        <v>225</v>
      </c>
      <c r="M1005" s="9" t="str">
        <f>IF(Tabela1[[#This Row],[Motorista]]="","",IFERROR(_xlfn.XLOOKUP(Tabela1[[#This Row],[Motorista]],Base!A:A,Base!B:B),""))</f>
        <v>FOB</v>
      </c>
      <c r="N1005" s="20" t="str">
        <f t="shared" ref="N1005" si="43">IF(R1005&lt;&gt;"","Finalizado", IF(Q1005&lt;&gt;"","Fila de Carregamento", IF(P1005&lt;&gt;"","Aguardando Entrada","")))</f>
        <v>Aguardando Entrada</v>
      </c>
      <c r="O10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5" s="4">
        <v>0.29930555555555555</v>
      </c>
      <c r="Q1005" s="4"/>
      <c r="R1005" s="23"/>
      <c r="S1005" s="67"/>
      <c r="T1005" s="14" t="str">
        <f>IF(OR(Tabela1[[#This Row],[Entrada]]="",Tabela1[[#This Row],[Saída]]=""), "", Tabela1[[#This Row],[Saída]]-Tabela1[[#This Row],[Entrada]])</f>
        <v/>
      </c>
      <c r="U1005" s="15" t="str">
        <f>IF(OR('Controle de CT'!$R1005= "", 'Controle de CT'!$P1005= ""), "", 'Controle de CT'!$R1005-'Controle de CT'!$P1005)</f>
        <v/>
      </c>
      <c r="V1005" s="1"/>
      <c r="W1005" s="2"/>
      <c r="X1005" s="2"/>
    </row>
    <row r="1006" spans="11:24" ht="15" hidden="1" customHeight="1">
      <c r="K1006" s="5">
        <v>46112</v>
      </c>
      <c r="L1006" s="8" t="s">
        <v>121</v>
      </c>
      <c r="M1006" s="9" t="str">
        <f>IF(Tabela1[[#This Row],[Motorista]]="","",IFERROR(_xlfn.XLOOKUP(Tabela1[[#This Row],[Motorista]],Base!A:A,Base!B:B),""))</f>
        <v>CIF</v>
      </c>
      <c r="N1006" s="20" t="str">
        <f t="shared" ref="N1006:N1037" si="44">IF(R1006&lt;&gt;"","Finalizado", IF(Q1006&lt;&gt;"","Fila de Carregamento", IF(P1006&lt;&gt;"","Aguardando Entrada","")))</f>
        <v>Aguardando Entrada</v>
      </c>
      <c r="O10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06" s="4">
        <v>0.35416666666666669</v>
      </c>
      <c r="Q1006" s="4"/>
      <c r="R1006" s="23"/>
      <c r="S1006" s="67"/>
      <c r="T1006" s="14" t="str">
        <f>IF(OR(Tabela1[[#This Row],[Entrada]]="",Tabela1[[#This Row],[Saída]]=""), "", Tabela1[[#This Row],[Saída]]-Tabela1[[#This Row],[Entrada]])</f>
        <v/>
      </c>
      <c r="U1006" s="1"/>
      <c r="V1006" s="1"/>
      <c r="W1006" s="2"/>
      <c r="X1006" s="2"/>
    </row>
    <row r="1007" spans="11:24" ht="15" hidden="1" customHeight="1">
      <c r="K1007" s="5">
        <v>46112</v>
      </c>
      <c r="L1007" s="8" t="s">
        <v>55</v>
      </c>
      <c r="M1007" s="9" t="str">
        <f>IF(Tabela1[[#This Row],[Motorista]]="","",IFERROR(_xlfn.XLOOKUP(Tabela1[[#This Row],[Motorista]],Base!A:A,Base!B:B),""))</f>
        <v>CIF</v>
      </c>
      <c r="N1007" s="20" t="str">
        <f t="shared" si="44"/>
        <v>Aguardando Entrada</v>
      </c>
      <c r="O10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7" s="4">
        <v>0.40208333333333335</v>
      </c>
      <c r="Q1007" s="4"/>
      <c r="R1007" s="23"/>
      <c r="S1007" s="67"/>
      <c r="T1007" s="14" t="str">
        <f>IF(OR(Tabela1[[#This Row],[Entrada]]="",Tabela1[[#This Row],[Saída]]=""), "", Tabela1[[#This Row],[Saída]]-Tabela1[[#This Row],[Entrada]])</f>
        <v/>
      </c>
      <c r="U1007" s="1"/>
      <c r="V1007" s="1"/>
      <c r="W1007" s="2"/>
      <c r="X1007" s="2"/>
    </row>
    <row r="1008" spans="11:24" ht="15" hidden="1" customHeight="1">
      <c r="K1008" s="5">
        <v>46112</v>
      </c>
      <c r="L1008" s="8" t="s">
        <v>89</v>
      </c>
      <c r="M1008" s="9" t="str">
        <f>IF(Tabela1[[#This Row],[Motorista]]="","",IFERROR(_xlfn.XLOOKUP(Tabela1[[#This Row],[Motorista]],Base!A:A,Base!B:B),""))</f>
        <v>FOB</v>
      </c>
      <c r="N1008" s="20" t="str">
        <f t="shared" si="44"/>
        <v>Finalizado</v>
      </c>
      <c r="O10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08" s="4">
        <v>0.3840277777777778</v>
      </c>
      <c r="Q1008" s="4">
        <v>0.43402777777777779</v>
      </c>
      <c r="R1008" s="23">
        <v>0.49444444444444446</v>
      </c>
      <c r="S1008" s="67" t="s">
        <v>254</v>
      </c>
      <c r="T1008" s="14">
        <f>IF(OR(Tabela1[[#This Row],[Entrada]]="",Tabela1[[#This Row],[Saída]]=""), "", Tabela1[[#This Row],[Saída]]-Tabela1[[#This Row],[Entrada]])</f>
        <v>6.0416666666666674E-2</v>
      </c>
      <c r="U1008" s="1"/>
      <c r="V1008" s="1"/>
      <c r="W1008" s="2"/>
      <c r="X1008" s="2"/>
    </row>
    <row r="1009" spans="11:24" ht="15" hidden="1" customHeight="1">
      <c r="K1009" s="5">
        <v>46112</v>
      </c>
      <c r="L1009" s="8" t="s">
        <v>90</v>
      </c>
      <c r="M1009" s="9" t="str">
        <f>IF(Tabela1[[#This Row],[Motorista]]="","",IFERROR(_xlfn.XLOOKUP(Tabela1[[#This Row],[Motorista]],Base!A:A,Base!B:B),""))</f>
        <v>FOB</v>
      </c>
      <c r="N1009" s="20" t="str">
        <f t="shared" si="44"/>
        <v>Aguardando Entrada</v>
      </c>
      <c r="O10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09" s="4">
        <v>0.39791666666666664</v>
      </c>
      <c r="Q1009" s="4"/>
      <c r="R1009" s="23"/>
      <c r="S1009" s="67"/>
      <c r="T1009" s="14" t="str">
        <f>IF(OR(Tabela1[[#This Row],[Entrada]]="",Tabela1[[#This Row],[Saída]]=""), "", Tabela1[[#This Row],[Saída]]-Tabela1[[#This Row],[Entrada]])</f>
        <v/>
      </c>
      <c r="U1009" s="1"/>
      <c r="V1009" s="1"/>
      <c r="W1009" s="2"/>
      <c r="X1009" s="2"/>
    </row>
    <row r="1010" spans="11:24" ht="15" hidden="1" customHeight="1">
      <c r="K1010" s="5">
        <v>46112</v>
      </c>
      <c r="L1010" s="8" t="s">
        <v>91</v>
      </c>
      <c r="M1010" s="9" t="str">
        <f>IF(Tabela1[[#This Row],[Motorista]]="","",IFERROR(_xlfn.XLOOKUP(Tabela1[[#This Row],[Motorista]],Base!A:A,Base!B:B),""))</f>
        <v>FOB</v>
      </c>
      <c r="N1010" s="20" t="str">
        <f t="shared" si="44"/>
        <v>Aguardando Entrada</v>
      </c>
      <c r="O10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0" s="4">
        <v>0.40138888888888891</v>
      </c>
      <c r="Q1010" s="4"/>
      <c r="R1010" s="23"/>
      <c r="S1010" s="67"/>
      <c r="T1010" s="14" t="str">
        <f>IF(OR(Tabela1[[#This Row],[Entrada]]="",Tabela1[[#This Row],[Saída]]=""), "", Tabela1[[#This Row],[Saída]]-Tabela1[[#This Row],[Entrada]])</f>
        <v/>
      </c>
      <c r="U1010" s="1"/>
      <c r="V1010" s="1"/>
      <c r="W1010" s="2"/>
      <c r="X1010" s="2"/>
    </row>
    <row r="1011" spans="11:24" ht="15" hidden="1" customHeight="1">
      <c r="K1011" s="5">
        <v>46112</v>
      </c>
      <c r="L1011" s="8" t="s">
        <v>225</v>
      </c>
      <c r="M1011" s="9" t="str">
        <f>IF(Tabela1[[#This Row],[Motorista]]="","",IFERROR(_xlfn.XLOOKUP(Tabela1[[#This Row],[Motorista]],Base!A:A,Base!B:B),""))</f>
        <v>FOB</v>
      </c>
      <c r="N1011" s="20" t="str">
        <f t="shared" si="44"/>
        <v>Aguardando Entrada</v>
      </c>
      <c r="O10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11" s="4">
        <v>0.29375000000000001</v>
      </c>
      <c r="Q1011" s="4"/>
      <c r="R1011" s="23"/>
      <c r="S1011" s="67"/>
      <c r="T1011" s="14" t="str">
        <f>IF(OR(Tabela1[[#This Row],[Entrada]]="",Tabela1[[#This Row],[Saída]]=""), "", Tabela1[[#This Row],[Saída]]-Tabela1[[#This Row],[Entrada]])</f>
        <v/>
      </c>
      <c r="U1011" s="1"/>
      <c r="V1011" s="1" t="s">
        <v>226</v>
      </c>
      <c r="W1011" s="2"/>
      <c r="X1011" s="2"/>
    </row>
    <row r="1012" spans="11:24" ht="15" hidden="1" customHeight="1">
      <c r="K1012" s="5">
        <v>46112</v>
      </c>
      <c r="L1012" s="8" t="s">
        <v>86</v>
      </c>
      <c r="M1012" s="9" t="str">
        <f>IF(Tabela1[[#This Row],[Motorista]]="","",IFERROR(_xlfn.XLOOKUP(Tabela1[[#This Row],[Motorista]],Base!A:A,Base!B:B),""))</f>
        <v>FOB</v>
      </c>
      <c r="N1012" s="20" t="str">
        <f t="shared" si="44"/>
        <v>Aguardando Entrada</v>
      </c>
      <c r="O10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12" s="4">
        <v>0.41319444444444442</v>
      </c>
      <c r="Q1012" s="4"/>
      <c r="R1012" s="23"/>
      <c r="S1012" s="67"/>
      <c r="T1012" s="14" t="str">
        <f>IF(OR(Tabela1[[#This Row],[Entrada]]="",Tabela1[[#This Row],[Saída]]=""), "", Tabela1[[#This Row],[Saída]]-Tabela1[[#This Row],[Entrada]])</f>
        <v/>
      </c>
      <c r="U1012" s="1"/>
      <c r="V1012" s="1" t="s">
        <v>226</v>
      </c>
      <c r="W1012" s="2"/>
      <c r="X1012" s="2"/>
    </row>
    <row r="1013" spans="11:24" ht="15" hidden="1" customHeight="1">
      <c r="K1013" s="5">
        <v>46112</v>
      </c>
      <c r="L1013" s="8" t="s">
        <v>101</v>
      </c>
      <c r="M1013" s="9" t="str">
        <f>IF(Tabela1[[#This Row],[Motorista]]="","",IFERROR(_xlfn.XLOOKUP(Tabela1[[#This Row],[Motorista]],Base!A:A,Base!B:B),""))</f>
        <v>FOB</v>
      </c>
      <c r="N1013" s="20" t="str">
        <f t="shared" si="44"/>
        <v>Aguardando Entrada</v>
      </c>
      <c r="O10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3" s="4">
        <v>0.41666666666666669</v>
      </c>
      <c r="Q1013" s="4"/>
      <c r="R1013" s="23"/>
      <c r="S1013" s="67"/>
      <c r="T1013" s="14" t="str">
        <f>IF(OR(Tabela1[[#This Row],[Entrada]]="",Tabela1[[#This Row],[Saída]]=""), "", Tabela1[[#This Row],[Saída]]-Tabela1[[#This Row],[Entrada]])</f>
        <v/>
      </c>
      <c r="U1013" s="1"/>
      <c r="V1013" s="1" t="s">
        <v>226</v>
      </c>
      <c r="W1013" s="2"/>
      <c r="X1013" s="2"/>
    </row>
    <row r="1014" spans="11:24" ht="15" hidden="1" customHeight="1">
      <c r="K1014" s="5">
        <v>46112</v>
      </c>
      <c r="L1014" s="8" t="s">
        <v>87</v>
      </c>
      <c r="M1014" s="9" t="str">
        <f>IF(Tabela1[[#This Row],[Motorista]]="","",IFERROR(_xlfn.XLOOKUP(Tabela1[[#This Row],[Motorista]],Base!A:A,Base!B:B),""))</f>
        <v>FOB</v>
      </c>
      <c r="N1014" s="20" t="str">
        <f t="shared" si="44"/>
        <v>Aguardando Entrada</v>
      </c>
      <c r="O10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14" s="4">
        <v>0.42916666666666664</v>
      </c>
      <c r="Q1014" s="4"/>
      <c r="R1014" s="23"/>
      <c r="S1014" s="67"/>
      <c r="T1014" s="14" t="str">
        <f>IF(OR(Tabela1[[#This Row],[Entrada]]="",Tabela1[[#This Row],[Saída]]=""), "", Tabela1[[#This Row],[Saída]]-Tabela1[[#This Row],[Entrada]])</f>
        <v/>
      </c>
      <c r="U1014" s="1"/>
      <c r="V1014" s="1"/>
      <c r="W1014" s="2"/>
      <c r="X1014" s="2"/>
    </row>
    <row r="1015" spans="11:24" ht="15" hidden="1" customHeight="1">
      <c r="K1015" s="5">
        <v>46112</v>
      </c>
      <c r="L1015" s="8" t="s">
        <v>95</v>
      </c>
      <c r="M1015" s="9" t="str">
        <f>IF(Tabela1[[#This Row],[Motorista]]="","",IFERROR(_xlfn.XLOOKUP(Tabela1[[#This Row],[Motorista]],Base!A:A,Base!B:B),""))</f>
        <v>FOB</v>
      </c>
      <c r="N1015" s="20" t="str">
        <f t="shared" si="44"/>
        <v/>
      </c>
      <c r="O10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5" s="4"/>
      <c r="Q1015" s="4"/>
      <c r="R1015" s="23"/>
      <c r="S1015" s="67"/>
      <c r="T1015" s="14" t="str">
        <f>IF(OR(Tabela1[[#This Row],[Entrada]]="",Tabela1[[#This Row],[Saída]]=""), "", Tabela1[[#This Row],[Saída]]-Tabela1[[#This Row],[Entrada]])</f>
        <v/>
      </c>
      <c r="U1015" s="1"/>
      <c r="V1015" s="1"/>
      <c r="W1015" s="2"/>
      <c r="X1015" s="2"/>
    </row>
    <row r="1016" spans="11:24" ht="15" hidden="1" customHeight="1">
      <c r="K1016" s="5">
        <v>46112</v>
      </c>
      <c r="L1016" s="8" t="s">
        <v>270</v>
      </c>
      <c r="M1016" s="9">
        <f>IF(Tabela1[[#This Row],[Motorista]]="","",IFERROR(_xlfn.XLOOKUP(Tabela1[[#This Row],[Motorista]],Base!A:A,Base!B:B),""))</f>
        <v>0</v>
      </c>
      <c r="N1016" s="20" t="str">
        <f t="shared" si="44"/>
        <v/>
      </c>
      <c r="O10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6" s="4"/>
      <c r="Q1016" s="4"/>
      <c r="R1016" s="23"/>
      <c r="S1016" s="16"/>
      <c r="T1016" s="14" t="str">
        <f>IF(OR(Tabela1[[#This Row],[Entrada]]="",Tabela1[[#This Row],[Saída]]=""), "", Tabela1[[#This Row],[Saída]]-Tabela1[[#This Row],[Entrada]])</f>
        <v/>
      </c>
      <c r="U1016" s="15" t="str">
        <f>IF(OR('Controle de CT'!$R1016= "", 'Controle de CT'!$P1016= ""), "", 'Controle de CT'!$R1016-'Controle de CT'!$P1016)</f>
        <v/>
      </c>
      <c r="V1016" s="1"/>
      <c r="W1016" s="2"/>
      <c r="X1016" s="2"/>
    </row>
    <row r="1017" spans="11:24" ht="15" hidden="1" customHeight="1">
      <c r="K1017" s="5">
        <v>46053</v>
      </c>
      <c r="L1017" s="8" t="s">
        <v>46</v>
      </c>
      <c r="M1017" s="9" t="str">
        <f>IF(Tabela1[[#This Row],[Motorista]]="","",IFERROR(_xlfn.XLOOKUP(Tabela1[[#This Row],[Motorista]],Base!A:A,Base!B:B),""))</f>
        <v>CIF</v>
      </c>
      <c r="N1017" s="20" t="str">
        <f t="shared" si="44"/>
        <v/>
      </c>
      <c r="O10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7" s="4"/>
      <c r="Q1017" s="4"/>
      <c r="R1017" s="23"/>
      <c r="S1017" s="16"/>
      <c r="T1017" s="14" t="str">
        <f>IF(OR(Tabela1[[#This Row],[Entrada]]="",Tabela1[[#This Row],[Saída]]=""), "", Tabela1[[#This Row],[Saída]]-Tabela1[[#This Row],[Entrada]])</f>
        <v/>
      </c>
      <c r="U1017" s="15" t="str">
        <f>IF(OR('Controle de CT'!$R1017= "", 'Controle de CT'!$P1017= ""), "", 'Controle de CT'!$R1017-'Controle de CT'!$P1017)</f>
        <v/>
      </c>
      <c r="V1017" s="1"/>
      <c r="W1017" s="2"/>
      <c r="X1017" s="2"/>
    </row>
    <row r="1018" spans="11:24" ht="15" hidden="1" customHeight="1">
      <c r="K1018" s="5">
        <v>46113</v>
      </c>
      <c r="L1018" s="8" t="s">
        <v>58</v>
      </c>
      <c r="M1018" s="9" t="str">
        <f>IF(Tabela1[[#This Row],[Motorista]]="","",IFERROR(_xlfn.XLOOKUP(Tabela1[[#This Row],[Motorista]],Base!A:A,Base!B:B),""))</f>
        <v xml:space="preserve">CIF </v>
      </c>
      <c r="N1018" s="20" t="str">
        <f t="shared" si="44"/>
        <v>Aguardando Entrada</v>
      </c>
      <c r="O10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8" s="4">
        <v>0.2361111111111111</v>
      </c>
      <c r="Q1018" s="4"/>
      <c r="R1018" s="23"/>
      <c r="S1018" s="16"/>
      <c r="T1018" s="14" t="str">
        <f>IF(OR(Tabela1[[#This Row],[Entrada]]="",Tabela1[[#This Row],[Saída]]=""), "", Tabela1[[#This Row],[Saída]]-Tabela1[[#This Row],[Entrada]])</f>
        <v/>
      </c>
      <c r="U1018" s="15" t="str">
        <f>IF(OR('Controle de CT'!$R1018= "", 'Controle de CT'!$P1018= ""), "", 'Controle de CT'!$R1018-'Controle de CT'!$P1018)</f>
        <v/>
      </c>
      <c r="V1018" s="1"/>
      <c r="W1018" s="2"/>
      <c r="X1018" s="2"/>
    </row>
    <row r="1019" spans="11:24" ht="15" hidden="1" customHeight="1">
      <c r="K1019" s="5">
        <v>46113</v>
      </c>
      <c r="L1019" s="8" t="s">
        <v>54</v>
      </c>
      <c r="M1019" s="22" t="str">
        <f>IF(Tabela1[[#This Row],[Motorista]]="","",IFERROR(_xlfn.XLOOKUP(Tabela1[[#This Row],[Motorista]],Base!A:A,Base!B:B),""))</f>
        <v>CIF</v>
      </c>
      <c r="N1019" s="20" t="str">
        <f t="shared" si="44"/>
        <v>Aguardando Entrada</v>
      </c>
      <c r="O10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19" s="2">
        <v>0.23819444444444443</v>
      </c>
      <c r="R1019" s="16"/>
      <c r="S1019" s="16"/>
      <c r="T1019" s="14" t="str">
        <f>IF(OR(Tabela1[[#This Row],[Entrada]]="",Tabela1[[#This Row],[Saída]]=""), "", Tabela1[[#This Row],[Saída]]-Tabela1[[#This Row],[Entrada]])</f>
        <v/>
      </c>
      <c r="U1019" s="15" t="str">
        <f>IF(OR('Controle de CT'!$R1019= "", 'Controle de CT'!$P1019= ""), "", 'Controle de CT'!$R1019-'Controle de CT'!$P1019)</f>
        <v/>
      </c>
      <c r="V1019" s="1"/>
      <c r="W1019" s="2"/>
      <c r="X1019" s="2"/>
    </row>
    <row r="1020" spans="11:24" ht="15" hidden="1" customHeight="1">
      <c r="K1020" s="5">
        <v>46113</v>
      </c>
      <c r="L1020" s="8" t="s">
        <v>47</v>
      </c>
      <c r="M1020" s="22" t="str">
        <f>IF(Tabela1[[#This Row],[Motorista]]="","",IFERROR(_xlfn.XLOOKUP(Tabela1[[#This Row],[Motorista]],Base!A:A,Base!B:B),""))</f>
        <v>CIF</v>
      </c>
      <c r="N1020" s="20" t="str">
        <f t="shared" si="44"/>
        <v>Aguardando Entrada</v>
      </c>
      <c r="O10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0" s="2">
        <v>0.23958333333333334</v>
      </c>
      <c r="R1020" s="16"/>
      <c r="S1020" s="16"/>
      <c r="T1020" s="14" t="str">
        <f>IF(OR(Tabela1[[#This Row],[Entrada]]="",Tabela1[[#This Row],[Saída]]=""), "", Tabela1[[#This Row],[Saída]]-Tabela1[[#This Row],[Entrada]])</f>
        <v/>
      </c>
      <c r="U1020" s="15" t="str">
        <f>IF(OR('Controle de CT'!$R1020= "", 'Controle de CT'!$P1020= ""), "", 'Controle de CT'!$R1020-'Controle de CT'!$P1020)</f>
        <v/>
      </c>
      <c r="V1020" s="1"/>
      <c r="W1020" s="2"/>
      <c r="X1020" s="2"/>
    </row>
    <row r="1021" spans="11:24" ht="15" hidden="1" customHeight="1">
      <c r="K1021" s="5">
        <v>46113</v>
      </c>
      <c r="L1021" s="8" t="s">
        <v>46</v>
      </c>
      <c r="M1021" s="22" t="str">
        <f>IF(Tabela1[[#This Row],[Motorista]]="","",IFERROR(_xlfn.XLOOKUP(Tabela1[[#This Row],[Motorista]],Base!A:A,Base!B:B),""))</f>
        <v>CIF</v>
      </c>
      <c r="N1021" s="20" t="str">
        <f t="shared" si="44"/>
        <v>Fila de Carregamento</v>
      </c>
      <c r="O10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1" s="2">
        <v>0.25277777777777777</v>
      </c>
      <c r="Q1021" s="2">
        <v>0.28888888888888886</v>
      </c>
      <c r="R1021" s="16"/>
      <c r="S1021" s="16"/>
      <c r="T1021" s="14" t="str">
        <f>IF(OR(Tabela1[[#This Row],[Entrada]]="",Tabela1[[#This Row],[Saída]]=""), "", Tabela1[[#This Row],[Saída]]-Tabela1[[#This Row],[Entrada]])</f>
        <v/>
      </c>
      <c r="U1021" s="15" t="str">
        <f>IF(OR('Controle de CT'!$R1021= "", 'Controle de CT'!$P1021= ""), "", 'Controle de CT'!$R1021-'Controle de CT'!$P1021)</f>
        <v/>
      </c>
      <c r="V1021" s="1"/>
      <c r="W1021" s="2"/>
      <c r="X1021" s="2"/>
    </row>
    <row r="1022" spans="11:24" ht="15" hidden="1" customHeight="1">
      <c r="K1022" s="5">
        <v>46113</v>
      </c>
      <c r="L1022" s="8" t="s">
        <v>53</v>
      </c>
      <c r="M1022" s="9" t="str">
        <f>IF(Tabela1[[#This Row],[Motorista]]="","",IFERROR(_xlfn.XLOOKUP(Tabela1[[#This Row],[Motorista]],Base!A:A,Base!B:B),""))</f>
        <v>CIF</v>
      </c>
      <c r="N1022" s="20" t="str">
        <f t="shared" si="44"/>
        <v>Aguardando Entrada</v>
      </c>
      <c r="O10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2" s="4">
        <v>0.2638888888888889</v>
      </c>
      <c r="Q1022" s="4"/>
      <c r="R1022" s="23"/>
      <c r="S1022" s="16"/>
      <c r="T1022" s="14" t="str">
        <f>IF(OR(Tabela1[[#This Row],[Entrada]]="",Tabela1[[#This Row],[Saída]]=""), "", Tabela1[[#This Row],[Saída]]-Tabela1[[#This Row],[Entrada]])</f>
        <v/>
      </c>
      <c r="U1022" s="1"/>
      <c r="V1022" s="1"/>
      <c r="W1022" s="2"/>
      <c r="X1022" s="2"/>
    </row>
    <row r="1023" spans="11:24" ht="15" hidden="1" customHeight="1">
      <c r="K1023" s="5">
        <v>46113</v>
      </c>
      <c r="L1023" s="8" t="s">
        <v>126</v>
      </c>
      <c r="M1023" s="9" t="str">
        <f>IF(Tabela1[[#This Row],[Motorista]]="","",IFERROR(_xlfn.XLOOKUP(Tabela1[[#This Row],[Motorista]],Base!A:A,Base!B:B),""))</f>
        <v>Transferência</v>
      </c>
      <c r="N1023" s="20" t="str">
        <f t="shared" si="44"/>
        <v>Aguardando Entrada</v>
      </c>
      <c r="O10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3" s="4">
        <v>0.27013888888888887</v>
      </c>
      <c r="Q1023" s="4"/>
      <c r="R1023" s="23"/>
      <c r="S1023" s="16"/>
      <c r="T1023" s="14" t="str">
        <f>IF(OR(Tabela1[[#This Row],[Entrada]]="",Tabela1[[#This Row],[Saída]]=""), "", Tabela1[[#This Row],[Saída]]-Tabela1[[#This Row],[Entrada]])</f>
        <v/>
      </c>
      <c r="U1023" s="1"/>
      <c r="V1023" s="1"/>
      <c r="W1023" s="2"/>
      <c r="X1023" s="2"/>
    </row>
    <row r="1024" spans="11:24" ht="15" hidden="1" customHeight="1">
      <c r="K1024" s="5">
        <v>46113</v>
      </c>
      <c r="L1024" s="8" t="s">
        <v>116</v>
      </c>
      <c r="M1024" s="9" t="str">
        <f>IF(Tabela1[[#This Row],[Motorista]]="","",IFERROR(_xlfn.XLOOKUP(Tabela1[[#This Row],[Motorista]],Base!A:A,Base!B:B),""))</f>
        <v xml:space="preserve">CIF </v>
      </c>
      <c r="N1024" s="20" t="str">
        <f t="shared" si="44"/>
        <v>Aguardando Entrada</v>
      </c>
      <c r="O10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4" s="4">
        <v>0.24861111111111112</v>
      </c>
      <c r="Q1024" s="4"/>
      <c r="R1024" s="23"/>
      <c r="S1024" s="16"/>
      <c r="T1024" s="14" t="str">
        <f>IF(OR(Tabela1[[#This Row],[Entrada]]="",Tabela1[[#This Row],[Saída]]=""), "", Tabela1[[#This Row],[Saída]]-Tabela1[[#This Row],[Entrada]])</f>
        <v/>
      </c>
      <c r="U1024" s="1"/>
      <c r="V1024" s="1"/>
      <c r="W1024" s="2"/>
      <c r="X1024" s="2"/>
    </row>
    <row r="1025" spans="11:24" ht="15" hidden="1" customHeight="1">
      <c r="K1025" s="5">
        <v>46113</v>
      </c>
      <c r="L1025" s="8" t="s">
        <v>45</v>
      </c>
      <c r="M1025" s="9" t="str">
        <f>IF(Tabela1[[#This Row],[Motorista]]="","",IFERROR(_xlfn.XLOOKUP(Tabela1[[#This Row],[Motorista]],Base!A:A,Base!B:B),""))</f>
        <v>CIF</v>
      </c>
      <c r="N1025" s="20" t="str">
        <f t="shared" si="44"/>
        <v>Fila de Carregamento</v>
      </c>
      <c r="O10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5" s="4">
        <v>0.22152777777777777</v>
      </c>
      <c r="Q1025" s="4">
        <v>0.26944444444444443</v>
      </c>
      <c r="R1025" s="23"/>
      <c r="S1025" s="60" t="s">
        <v>254</v>
      </c>
      <c r="T1025" s="14" t="str">
        <f>IF(OR(Tabela1[[#This Row],[Entrada]]="",Tabela1[[#This Row],[Saída]]=""), "", Tabela1[[#This Row],[Saída]]-Tabela1[[#This Row],[Entrada]])</f>
        <v/>
      </c>
      <c r="U1025" s="1"/>
      <c r="V1025" s="1"/>
      <c r="W1025" s="2"/>
      <c r="X1025" s="2"/>
    </row>
    <row r="1026" spans="11:24" ht="15" hidden="1" customHeight="1">
      <c r="K1026" s="5">
        <v>46113</v>
      </c>
      <c r="L1026" s="8" t="s">
        <v>162</v>
      </c>
      <c r="M1026" s="9" t="str">
        <f>IF(Tabela1[[#This Row],[Motorista]]="","",IFERROR(_xlfn.XLOOKUP(Tabela1[[#This Row],[Motorista]],Base!A:A,Base!B:B),""))</f>
        <v>FOB</v>
      </c>
      <c r="N1026" s="20" t="str">
        <f t="shared" si="44"/>
        <v>Finalizado</v>
      </c>
      <c r="O10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6" s="4">
        <v>0.24791666666666667</v>
      </c>
      <c r="Q1026" s="4">
        <v>0.34375</v>
      </c>
      <c r="R1026" s="23">
        <v>0.34375</v>
      </c>
      <c r="S1026" s="60" t="s">
        <v>254</v>
      </c>
      <c r="T1026" s="14">
        <f>IF(OR(Tabela1[[#This Row],[Entrada]]="",Tabela1[[#This Row],[Saída]]=""), "", Tabela1[[#This Row],[Saída]]-Tabela1[[#This Row],[Entrada]])</f>
        <v>0</v>
      </c>
      <c r="U1026" s="15">
        <f>IF(OR('Controle de CT'!$R1026= "", 'Controle de CT'!$P1026= ""), "", 'Controle de CT'!$R1026-'Controle de CT'!$P1026)</f>
        <v>9.5833333333333326E-2</v>
      </c>
      <c r="V1026" s="1"/>
      <c r="W1026" s="2"/>
      <c r="X1026" s="2"/>
    </row>
    <row r="1027" spans="11:24" ht="15" hidden="1" customHeight="1">
      <c r="K1027" s="5">
        <v>46113</v>
      </c>
      <c r="L1027" s="8" t="s">
        <v>86</v>
      </c>
      <c r="M1027" s="9" t="str">
        <f>IF(Tabela1[[#This Row],[Motorista]]="","",IFERROR(_xlfn.XLOOKUP(Tabela1[[#This Row],[Motorista]],Base!A:A,Base!B:B),""))</f>
        <v>FOB</v>
      </c>
      <c r="N1027" s="20" t="str">
        <f t="shared" si="44"/>
        <v>Finalizado</v>
      </c>
      <c r="O10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7" s="4">
        <v>0.28819444444444442</v>
      </c>
      <c r="Q1027" s="4">
        <v>0.34236111111111112</v>
      </c>
      <c r="R1027" s="4">
        <v>0.34236111111111112</v>
      </c>
      <c r="S1027" s="60" t="s">
        <v>254</v>
      </c>
      <c r="T1027" s="14">
        <f>IF(OR(Tabela1[[#This Row],[Entrada]]="",Tabela1[[#This Row],[Saída]]=""), "", Tabela1[[#This Row],[Saída]]-Tabela1[[#This Row],[Entrada]])</f>
        <v>0</v>
      </c>
      <c r="U1027" s="1"/>
      <c r="V1027" s="1" t="s">
        <v>226</v>
      </c>
      <c r="W1027" s="2"/>
      <c r="X1027" s="2"/>
    </row>
    <row r="1028" spans="11:24" ht="15" hidden="1" customHeight="1">
      <c r="K1028" s="5">
        <v>46113</v>
      </c>
      <c r="L1028" s="8" t="s">
        <v>89</v>
      </c>
      <c r="M1028" s="9" t="str">
        <f>IF(Tabela1[[#This Row],[Motorista]]="","",IFERROR(_xlfn.XLOOKUP(Tabela1[[#This Row],[Motorista]],Base!A:A,Base!B:B),""))</f>
        <v>FOB</v>
      </c>
      <c r="N1028" s="20" t="str">
        <f t="shared" si="44"/>
        <v>Aguardando Entrada</v>
      </c>
      <c r="O10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8" s="4">
        <v>0.25694444444444442</v>
      </c>
      <c r="Q1028" s="4"/>
      <c r="R1028" s="23"/>
      <c r="S1028" s="16"/>
      <c r="T1028" s="14" t="str">
        <f>IF(OR(Tabela1[[#This Row],[Entrada]]="",Tabela1[[#This Row],[Saída]]=""), "", Tabela1[[#This Row],[Saída]]-Tabela1[[#This Row],[Entrada]])</f>
        <v/>
      </c>
      <c r="U1028" s="15" t="str">
        <f>IF(OR('Controle de CT'!$R1028= "", 'Controle de CT'!$P1028= ""), "", 'Controle de CT'!$R1028-'Controle de CT'!$P1028)</f>
        <v/>
      </c>
      <c r="V1028" s="1" t="s">
        <v>271</v>
      </c>
      <c r="W1028" s="2"/>
      <c r="X1028" s="2"/>
    </row>
    <row r="1029" spans="11:24" ht="15" hidden="1" customHeight="1">
      <c r="K1029" s="5">
        <v>46113</v>
      </c>
      <c r="L1029" s="8" t="s">
        <v>87</v>
      </c>
      <c r="M1029" s="9" t="str">
        <f>IF(Tabela1[[#This Row],[Motorista]]="","",IFERROR(_xlfn.XLOOKUP(Tabela1[[#This Row],[Motorista]],Base!A:A,Base!B:B),""))</f>
        <v>FOB</v>
      </c>
      <c r="N1029" s="20" t="str">
        <f t="shared" si="44"/>
        <v>Aguardando Entrada</v>
      </c>
      <c r="O10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29" s="4">
        <v>0.26180555555555557</v>
      </c>
      <c r="Q1029" s="4"/>
      <c r="R1029" s="23"/>
      <c r="S1029" s="16"/>
      <c r="T1029" s="14" t="str">
        <f>IF(OR(Tabela1[[#This Row],[Entrada]]="",Tabela1[[#This Row],[Saída]]=""), "", Tabela1[[#This Row],[Saída]]-Tabela1[[#This Row],[Entrada]])</f>
        <v/>
      </c>
      <c r="U1029" s="1"/>
      <c r="V1029" s="1"/>
      <c r="W1029" s="2"/>
      <c r="X1029" s="2"/>
    </row>
    <row r="1030" spans="11:24" ht="15" hidden="1" customHeight="1">
      <c r="K1030" s="5">
        <v>46113</v>
      </c>
      <c r="L1030" s="8" t="s">
        <v>90</v>
      </c>
      <c r="M1030" s="9" t="str">
        <f>IF(Tabela1[[#This Row],[Motorista]]="","",IFERROR(_xlfn.XLOOKUP(Tabela1[[#This Row],[Motorista]],Base!A:A,Base!B:B),""))</f>
        <v>FOB</v>
      </c>
      <c r="N1030" s="20" t="str">
        <f t="shared" si="44"/>
        <v>Aguardando Entrada</v>
      </c>
      <c r="O10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0" s="4">
        <v>0.28541666666666665</v>
      </c>
      <c r="Q1030" s="4"/>
      <c r="R1030" s="23"/>
      <c r="S1030" s="16"/>
      <c r="T1030" s="14" t="str">
        <f>IF(OR(Tabela1[[#This Row],[Entrada]]="",Tabela1[[#This Row],[Saída]]=""), "", Tabela1[[#This Row],[Saída]]-Tabela1[[#This Row],[Entrada]])</f>
        <v/>
      </c>
      <c r="U1030" s="1"/>
      <c r="V1030" s="1"/>
      <c r="W1030" s="2"/>
      <c r="X1030" s="2"/>
    </row>
    <row r="1031" spans="11:24" ht="15" hidden="1" customHeight="1">
      <c r="K1031" s="5">
        <v>46113</v>
      </c>
      <c r="L1031" s="8" t="s">
        <v>92</v>
      </c>
      <c r="M1031" s="9" t="str">
        <f>IF(Tabela1[[#This Row],[Motorista]]="","",IFERROR(_xlfn.XLOOKUP(Tabela1[[#This Row],[Motorista]],Base!A:A,Base!B:B),""))</f>
        <v>FOB</v>
      </c>
      <c r="N1031" s="20" t="str">
        <f t="shared" si="44"/>
        <v>Aguardando Entrada</v>
      </c>
      <c r="O10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1" s="4">
        <v>0.29722222222222222</v>
      </c>
      <c r="Q1031" s="4"/>
      <c r="R1031" s="23"/>
      <c r="S1031" s="16"/>
      <c r="T1031" s="14" t="str">
        <f>IF(OR(Tabela1[[#This Row],[Entrada]]="",Tabela1[[#This Row],[Saída]]=""), "", Tabela1[[#This Row],[Saída]]-Tabela1[[#This Row],[Entrada]])</f>
        <v/>
      </c>
      <c r="U1031" s="1"/>
      <c r="V1031" s="1"/>
      <c r="W1031" s="2"/>
      <c r="X1031" s="2"/>
    </row>
    <row r="1032" spans="11:24" ht="15" hidden="1" customHeight="1">
      <c r="K1032" s="5">
        <v>46113</v>
      </c>
      <c r="L1032" s="8" t="s">
        <v>152</v>
      </c>
      <c r="M1032" s="9" t="str">
        <f>IF(Tabela1[[#This Row],[Motorista]]="","",IFERROR(_xlfn.XLOOKUP(Tabela1[[#This Row],[Motorista]],Base!A:A,Base!B:B),""))</f>
        <v>RZD</v>
      </c>
      <c r="N1032" s="20" t="str">
        <f t="shared" si="44"/>
        <v>Aguardando Entrada</v>
      </c>
      <c r="O10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2" s="4">
        <v>0.48055555555555557</v>
      </c>
      <c r="Q1032" s="4"/>
      <c r="R1032" s="23"/>
      <c r="S1032" s="16"/>
      <c r="T1032" s="14" t="str">
        <f>IF(OR(Tabela1[[#This Row],[Entrada]]="",Tabela1[[#This Row],[Saída]]=""), "", Tabela1[[#This Row],[Saída]]-Tabela1[[#This Row],[Entrada]])</f>
        <v/>
      </c>
      <c r="U1032" s="1"/>
      <c r="V1032" s="1"/>
      <c r="W1032" s="2"/>
      <c r="X1032" s="2"/>
    </row>
    <row r="1033" spans="11:24" ht="15" hidden="1" customHeight="1">
      <c r="K1033" s="5">
        <v>46113</v>
      </c>
      <c r="L1033" s="8" t="s">
        <v>168</v>
      </c>
      <c r="M1033" s="9" t="str">
        <f>IF(Tabela1[[#This Row],[Motorista]]="","",IFERROR(_xlfn.XLOOKUP(Tabela1[[#This Row],[Motorista]],Base!A:A,Base!B:B),""))</f>
        <v>FOB</v>
      </c>
      <c r="N1033" s="20" t="str">
        <f t="shared" si="44"/>
        <v/>
      </c>
      <c r="O10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3" s="4"/>
      <c r="Q1033" s="4"/>
      <c r="R1033" s="23"/>
      <c r="S1033" s="16"/>
      <c r="T1033" s="14" t="str">
        <f>IF(OR(Tabela1[[#This Row],[Entrada]]="",Tabela1[[#This Row],[Saída]]=""), "", Tabela1[[#This Row],[Saída]]-Tabela1[[#This Row],[Entrada]])</f>
        <v/>
      </c>
      <c r="U1033" s="1"/>
      <c r="V1033" s="1"/>
      <c r="W1033" s="2"/>
      <c r="X1033" s="2"/>
    </row>
    <row r="1034" spans="11:24" ht="15" hidden="1" customHeight="1">
      <c r="K1034" s="5">
        <v>46113</v>
      </c>
      <c r="L1034" s="8" t="s">
        <v>42</v>
      </c>
      <c r="M1034" s="9" t="str">
        <f>IF(Tabela1[[#This Row],[Motorista]]="","",IFERROR(_xlfn.XLOOKUP(Tabela1[[#This Row],[Motorista]],Base!A:A,Base!B:B),""))</f>
        <v>CIF</v>
      </c>
      <c r="N1034" s="20" t="str">
        <f t="shared" si="44"/>
        <v>Finalizado</v>
      </c>
      <c r="O10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4" s="4">
        <v>0.59583333333333333</v>
      </c>
      <c r="Q1034" s="4">
        <v>0.6118055555555556</v>
      </c>
      <c r="R1034" s="23">
        <v>0.65763888888888888</v>
      </c>
      <c r="S1034" s="16"/>
      <c r="T1034" s="14">
        <f>IF(OR(Tabela1[[#This Row],[Entrada]]="",Tabela1[[#This Row],[Saída]]=""), "", Tabela1[[#This Row],[Saída]]-Tabela1[[#This Row],[Entrada]])</f>
        <v>4.5833333333333282E-2</v>
      </c>
      <c r="U1034" s="1"/>
      <c r="V1034" s="1"/>
      <c r="W1034" s="2"/>
      <c r="X1034" s="2"/>
    </row>
    <row r="1035" spans="11:24" ht="15" hidden="1" customHeight="1">
      <c r="K1035" s="5">
        <v>46113</v>
      </c>
      <c r="L1035" s="8" t="s">
        <v>183</v>
      </c>
      <c r="M1035" s="9" t="str">
        <f>IF(Tabela1[[#This Row],[Motorista]]="","",IFERROR(_xlfn.XLOOKUP(Tabela1[[#This Row],[Motorista]],Base!A:A,Base!B:B),""))</f>
        <v>FOB</v>
      </c>
      <c r="N1035" s="20" t="str">
        <f t="shared" si="44"/>
        <v>Fila de Carregamento</v>
      </c>
      <c r="O10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5" s="4">
        <v>0.63472222222222219</v>
      </c>
      <c r="Q1035" s="4">
        <v>0.66388888888888886</v>
      </c>
      <c r="R1035" s="23"/>
      <c r="S1035" s="16"/>
      <c r="T1035" s="14" t="str">
        <f>IF(OR(Tabela1[[#This Row],[Entrada]]="",Tabela1[[#This Row],[Saída]]=""), "", Tabela1[[#This Row],[Saída]]-Tabela1[[#This Row],[Entrada]])</f>
        <v/>
      </c>
      <c r="U1035" s="1"/>
      <c r="V1035" s="1"/>
      <c r="W1035" s="2"/>
      <c r="X1035" s="2"/>
    </row>
    <row r="1036" spans="11:24" ht="15" hidden="1" customHeight="1">
      <c r="K1036" s="5">
        <v>46113</v>
      </c>
      <c r="L1036" s="8" t="s">
        <v>111</v>
      </c>
      <c r="M1036" s="9" t="str">
        <f>IF(Tabela1[[#This Row],[Motorista]]="","",IFERROR(_xlfn.XLOOKUP(Tabela1[[#This Row],[Motorista]],Base!A:A,Base!B:B),""))</f>
        <v>FOB</v>
      </c>
      <c r="N1036" s="20" t="str">
        <f t="shared" si="44"/>
        <v>Aguardando Entrada</v>
      </c>
      <c r="O10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6" s="4">
        <v>0.47847222222222224</v>
      </c>
      <c r="Q1036" s="4"/>
      <c r="R1036" s="23"/>
      <c r="S1036" s="16"/>
      <c r="T1036" s="14" t="str">
        <f>IF(OR(Tabela1[[#This Row],[Entrada]]="",Tabela1[[#This Row],[Saída]]=""), "", Tabela1[[#This Row],[Saída]]-Tabela1[[#This Row],[Entrada]])</f>
        <v/>
      </c>
      <c r="U1036" s="1"/>
      <c r="V1036" s="1" t="s">
        <v>272</v>
      </c>
      <c r="W1036" s="2"/>
      <c r="X1036" s="2"/>
    </row>
    <row r="1037" spans="11:24" ht="15" hidden="1" customHeight="1">
      <c r="K1037" s="5">
        <v>46114</v>
      </c>
      <c r="L1037" s="8" t="s">
        <v>116</v>
      </c>
      <c r="M1037" s="9" t="str">
        <f>IF(Tabela1[[#This Row],[Motorista]]="","",IFERROR(_xlfn.XLOOKUP(Tabela1[[#This Row],[Motorista]],Base!A:A,Base!B:B),""))</f>
        <v xml:space="preserve">CIF </v>
      </c>
      <c r="N1037" s="20" t="str">
        <f t="shared" si="44"/>
        <v>Fila de Carregamento</v>
      </c>
      <c r="O10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7" s="4">
        <v>0.20833333333333334</v>
      </c>
      <c r="Q1037" s="4">
        <v>0.27777777777777779</v>
      </c>
      <c r="R1037" s="23"/>
      <c r="S1037" s="16"/>
      <c r="T1037" s="14" t="str">
        <f>IF(OR(Tabela1[[#This Row],[Entrada]]="",Tabela1[[#This Row],[Saída]]=""), "", Tabela1[[#This Row],[Saída]]-Tabela1[[#This Row],[Entrada]])</f>
        <v/>
      </c>
      <c r="U1037" s="1"/>
      <c r="V1037" s="1" t="s">
        <v>273</v>
      </c>
      <c r="W1037" s="2"/>
      <c r="X1037" s="2"/>
    </row>
    <row r="1038" spans="11:24" ht="15" hidden="1" customHeight="1">
      <c r="K1038" s="5">
        <v>46114</v>
      </c>
      <c r="L1038" s="8" t="s">
        <v>45</v>
      </c>
      <c r="M1038" s="9" t="str">
        <f>IF(Tabela1[[#This Row],[Motorista]]="","",IFERROR(_xlfn.XLOOKUP(Tabela1[[#This Row],[Motorista]],Base!A:A,Base!B:B),""))</f>
        <v>CIF</v>
      </c>
      <c r="N1038" s="20" t="str">
        <f t="shared" ref="N1038:N1069" si="45">IF(R1038&lt;&gt;"","Finalizado", IF(Q1038&lt;&gt;"","Fila de Carregamento", IF(P1038&lt;&gt;"","Aguardando Entrada","")))</f>
        <v>Finalizado</v>
      </c>
      <c r="O10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8" s="4">
        <v>0.20972222222222223</v>
      </c>
      <c r="Q1038" s="4">
        <v>0.2722222222222222</v>
      </c>
      <c r="R1038" s="23">
        <v>0.32222222222222224</v>
      </c>
      <c r="S1038" s="16"/>
      <c r="T1038" s="14">
        <f>IF(OR(Tabela1[[#This Row],[Entrada]]="",Tabela1[[#This Row],[Saída]]=""), "", Tabela1[[#This Row],[Saída]]-Tabela1[[#This Row],[Entrada]])</f>
        <v>5.0000000000000044E-2</v>
      </c>
      <c r="U1038" s="1"/>
      <c r="V1038" s="1"/>
      <c r="W1038" s="2"/>
      <c r="X1038" s="2"/>
    </row>
    <row r="1039" spans="11:24" ht="15" hidden="1" customHeight="1">
      <c r="K1039" s="5">
        <v>46114</v>
      </c>
      <c r="L1039" s="8" t="s">
        <v>54</v>
      </c>
      <c r="M1039" s="9" t="str">
        <f>IF(Tabela1[[#This Row],[Motorista]]="","",IFERROR(_xlfn.XLOOKUP(Tabela1[[#This Row],[Motorista]],Base!A:A,Base!B:B),""))</f>
        <v>CIF</v>
      </c>
      <c r="N1039" s="20" t="str">
        <f t="shared" si="45"/>
        <v>Fila de Carregamento</v>
      </c>
      <c r="O10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39" s="4">
        <v>0.24027777777777778</v>
      </c>
      <c r="Q1039" s="4">
        <v>0.4152777777777778</v>
      </c>
      <c r="R1039" s="4"/>
      <c r="S1039" s="16"/>
      <c r="T1039" s="14" t="str">
        <f>IF(OR(Tabela1[[#This Row],[Entrada]]="",Tabela1[[#This Row],[Saída]]=""), "", Tabela1[[#This Row],[Saída]]-Tabela1[[#This Row],[Entrada]])</f>
        <v/>
      </c>
      <c r="U1039" s="1"/>
      <c r="V1039" s="1" t="s">
        <v>273</v>
      </c>
      <c r="W1039" s="2"/>
      <c r="X1039" s="2"/>
    </row>
    <row r="1040" spans="11:24" ht="15" hidden="1" customHeight="1">
      <c r="K1040" s="5">
        <v>46114</v>
      </c>
      <c r="L1040" s="8" t="s">
        <v>255</v>
      </c>
      <c r="M1040" s="9">
        <f>IF(Tabela1[[#This Row],[Motorista]]="","",IFERROR(_xlfn.XLOOKUP(Tabela1[[#This Row],[Motorista]],Base!A:A,Base!B:B),""))</f>
        <v>0</v>
      </c>
      <c r="N1040" s="20" t="str">
        <f t="shared" si="45"/>
        <v>Finalizado</v>
      </c>
      <c r="O10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40" s="4">
        <v>0.24097222222222223</v>
      </c>
      <c r="Q1040" s="4">
        <v>0.29930555555555555</v>
      </c>
      <c r="R1040" s="23">
        <v>0.35416666666666669</v>
      </c>
      <c r="S1040" s="16"/>
      <c r="T1040" s="14">
        <f>IF(OR(Tabela1[[#This Row],[Entrada]]="",Tabela1[[#This Row],[Saída]]=""), "", Tabela1[[#This Row],[Saída]]-Tabela1[[#This Row],[Entrada]])</f>
        <v>5.4861111111111138E-2</v>
      </c>
      <c r="U1040" s="1"/>
      <c r="V1040" s="1"/>
      <c r="W1040" s="2"/>
      <c r="X1040" s="2"/>
    </row>
    <row r="1041" spans="11:24" ht="15" hidden="1" customHeight="1">
      <c r="K1041" s="5">
        <v>46114</v>
      </c>
      <c r="L1041" s="8" t="s">
        <v>126</v>
      </c>
      <c r="M1041" s="9" t="str">
        <f>IF(Tabela1[[#This Row],[Motorista]]="","",IFERROR(_xlfn.XLOOKUP(Tabela1[[#This Row],[Motorista]],Base!A:A,Base!B:B),""))</f>
        <v>Transferência</v>
      </c>
      <c r="N1041" s="20" t="str">
        <f t="shared" si="45"/>
        <v>Aguardando Entrada</v>
      </c>
      <c r="O10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1" s="4">
        <v>0.26805555555555555</v>
      </c>
      <c r="Q1041" s="4"/>
      <c r="R1041" s="23"/>
      <c r="S1041" s="16"/>
      <c r="T1041" s="14" t="str">
        <f>IF(OR(Tabela1[[#This Row],[Entrada]]="",Tabela1[[#This Row],[Saída]]=""), "", Tabela1[[#This Row],[Saída]]-Tabela1[[#This Row],[Entrada]])</f>
        <v/>
      </c>
      <c r="U1041" s="1"/>
      <c r="V1041" s="1" t="s">
        <v>274</v>
      </c>
      <c r="W1041" s="2"/>
      <c r="X1041" s="2"/>
    </row>
    <row r="1042" spans="11:24" ht="15" hidden="1" customHeight="1">
      <c r="K1042" s="5">
        <v>46114</v>
      </c>
      <c r="L1042" s="8" t="s">
        <v>90</v>
      </c>
      <c r="M1042" s="9" t="str">
        <f>IF(Tabela1[[#This Row],[Motorista]]="","",IFERROR(_xlfn.XLOOKUP(Tabela1[[#This Row],[Motorista]],Base!A:A,Base!B:B),""))</f>
        <v>FOB</v>
      </c>
      <c r="N1042" s="20" t="str">
        <f t="shared" si="45"/>
        <v>Finalizado</v>
      </c>
      <c r="O10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2" s="4">
        <v>0.2986111111111111</v>
      </c>
      <c r="Q1042" s="4">
        <v>0.46875</v>
      </c>
      <c r="R1042" s="23">
        <v>0.46875</v>
      </c>
      <c r="S1042" s="16"/>
      <c r="T1042" s="14">
        <f>IF(OR(Tabela1[[#This Row],[Entrada]]="",Tabela1[[#This Row],[Saída]]=""), "", Tabela1[[#This Row],[Saída]]-Tabela1[[#This Row],[Entrada]])</f>
        <v>0</v>
      </c>
      <c r="U1042" s="1"/>
      <c r="V1042" s="1" t="s">
        <v>275</v>
      </c>
      <c r="W1042" s="2"/>
      <c r="X1042" s="2"/>
    </row>
    <row r="1043" spans="11:24" ht="15" hidden="1" customHeight="1">
      <c r="K1043" s="5">
        <v>46114</v>
      </c>
      <c r="L1043" s="8" t="s">
        <v>92</v>
      </c>
      <c r="M1043" s="9" t="str">
        <f>IF(Tabela1[[#This Row],[Motorista]]="","",IFERROR(_xlfn.XLOOKUP(Tabela1[[#This Row],[Motorista]],Base!A:A,Base!B:B),""))</f>
        <v>FOB</v>
      </c>
      <c r="N1043" s="20" t="str">
        <f t="shared" si="45"/>
        <v>Finalizado</v>
      </c>
      <c r="O10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3" s="4">
        <v>0.2986111111111111</v>
      </c>
      <c r="Q1043" s="4">
        <v>0.46180555555555558</v>
      </c>
      <c r="R1043" s="23">
        <v>0.46180555555555558</v>
      </c>
      <c r="S1043" s="16"/>
      <c r="T1043" s="14">
        <f>IF(OR(Tabela1[[#This Row],[Entrada]]="",Tabela1[[#This Row],[Saída]]=""), "", Tabela1[[#This Row],[Saída]]-Tabela1[[#This Row],[Entrada]])</f>
        <v>0</v>
      </c>
      <c r="U1043" s="1"/>
      <c r="V1043" s="1" t="s">
        <v>275</v>
      </c>
      <c r="W1043" s="2"/>
      <c r="X1043" s="2"/>
    </row>
    <row r="1044" spans="11:24" ht="15" hidden="1" customHeight="1">
      <c r="K1044" s="5">
        <v>46114</v>
      </c>
      <c r="L1044" s="8" t="s">
        <v>87</v>
      </c>
      <c r="M1044" s="9" t="str">
        <f>IF(Tabela1[[#This Row],[Motorista]]="","",IFERROR(_xlfn.XLOOKUP(Tabela1[[#This Row],[Motorista]],Base!A:A,Base!B:B),""))</f>
        <v>FOB</v>
      </c>
      <c r="N1044" s="20" t="str">
        <f t="shared" si="45"/>
        <v>Fila de Carregamento</v>
      </c>
      <c r="O10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4" s="4">
        <v>0.30138888888888887</v>
      </c>
      <c r="Q1044" s="4">
        <v>0.48749999999999999</v>
      </c>
      <c r="R1044" s="23"/>
      <c r="S1044" s="16"/>
      <c r="T1044" s="14" t="str">
        <f>IF(OR(Tabela1[[#This Row],[Entrada]]="",Tabela1[[#This Row],[Saída]]=""), "", Tabela1[[#This Row],[Saída]]-Tabela1[[#This Row],[Entrada]])</f>
        <v/>
      </c>
      <c r="U1044" s="1"/>
      <c r="V1044" s="1" t="s">
        <v>276</v>
      </c>
      <c r="W1044" s="2"/>
      <c r="X1044" s="2"/>
    </row>
    <row r="1045" spans="11:24" ht="15" hidden="1" customHeight="1">
      <c r="K1045" s="5">
        <v>46114</v>
      </c>
      <c r="L1045" s="8" t="s">
        <v>86</v>
      </c>
      <c r="M1045" s="9" t="str">
        <f>IF(Tabela1[[#This Row],[Motorista]]="","",IFERROR(_xlfn.XLOOKUP(Tabela1[[#This Row],[Motorista]],Base!A:A,Base!B:B),""))</f>
        <v>FOB</v>
      </c>
      <c r="N1045" s="20" t="str">
        <f t="shared" si="45"/>
        <v>Finalizado</v>
      </c>
      <c r="O10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5" s="4">
        <v>0.30208333333333331</v>
      </c>
      <c r="Q1045" s="4">
        <v>0.43402777777777779</v>
      </c>
      <c r="R1045" s="23">
        <v>0.43402777777777779</v>
      </c>
      <c r="S1045" s="16"/>
      <c r="T1045" s="14">
        <f>IF(OR(Tabela1[[#This Row],[Entrada]]="",Tabela1[[#This Row],[Saída]]=""), "", Tabela1[[#This Row],[Saída]]-Tabela1[[#This Row],[Entrada]])</f>
        <v>0</v>
      </c>
      <c r="U1045" s="1"/>
      <c r="V1045" s="1" t="s">
        <v>275</v>
      </c>
      <c r="W1045" s="2"/>
      <c r="X1045" s="2"/>
    </row>
    <row r="1046" spans="11:24" ht="15" hidden="1" customHeight="1">
      <c r="K1046" s="5">
        <v>46114</v>
      </c>
      <c r="L1046" s="8" t="s">
        <v>277</v>
      </c>
      <c r="M1046" s="9" t="str">
        <f>IF(Tabela1[[#This Row],[Motorista]]="","",IFERROR(_xlfn.XLOOKUP(Tabela1[[#This Row],[Motorista]],Base!A:A,Base!B:B),""))</f>
        <v/>
      </c>
      <c r="N1046" s="20" t="str">
        <f t="shared" si="45"/>
        <v>Aguardando Entrada</v>
      </c>
      <c r="O10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6" s="4">
        <v>0.31666666666666665</v>
      </c>
      <c r="Q1046" s="4"/>
      <c r="R1046" s="23"/>
      <c r="S1046" s="16"/>
      <c r="T1046" s="14" t="str">
        <f>IF(OR(Tabela1[[#This Row],[Entrada]]="",Tabela1[[#This Row],[Saída]]=""), "", Tabela1[[#This Row],[Saída]]-Tabela1[[#This Row],[Entrada]])</f>
        <v/>
      </c>
      <c r="U1046" s="1"/>
      <c r="V1046" s="1" t="s">
        <v>273</v>
      </c>
      <c r="W1046" s="2"/>
      <c r="X1046" s="2"/>
    </row>
    <row r="1047" spans="11:24" ht="15" hidden="1" customHeight="1">
      <c r="K1047" s="5">
        <v>46114</v>
      </c>
      <c r="L1047" s="8" t="s">
        <v>199</v>
      </c>
      <c r="M1047" s="9" t="str">
        <f>IF(Tabela1[[#This Row],[Motorista]]="","",IFERROR(_xlfn.XLOOKUP(Tabela1[[#This Row],[Motorista]],Base!A:A,Base!B:B),""))</f>
        <v>FOB</v>
      </c>
      <c r="N1047" s="20" t="str">
        <f t="shared" si="45"/>
        <v>Aguardando Entrada</v>
      </c>
      <c r="O10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7" s="4">
        <v>0.31736111111111109</v>
      </c>
      <c r="Q1047" s="4"/>
      <c r="R1047" s="23"/>
      <c r="S1047" s="16"/>
      <c r="T1047" s="14" t="str">
        <f>IF(OR(Tabela1[[#This Row],[Entrada]]="",Tabela1[[#This Row],[Saída]]=""), "", Tabela1[[#This Row],[Saída]]-Tabela1[[#This Row],[Entrada]])</f>
        <v/>
      </c>
      <c r="U1047" s="1"/>
      <c r="V1047" s="1" t="s">
        <v>273</v>
      </c>
      <c r="W1047" s="2"/>
      <c r="X1047" s="2"/>
    </row>
    <row r="1048" spans="11:24" ht="15" hidden="1" customHeight="1">
      <c r="K1048" s="5">
        <v>46114</v>
      </c>
      <c r="L1048" s="8" t="s">
        <v>111</v>
      </c>
      <c r="M1048" s="9" t="str">
        <f>IF(Tabela1[[#This Row],[Motorista]]="","",IFERROR(_xlfn.XLOOKUP(Tabela1[[#This Row],[Motorista]],Base!A:A,Base!B:B),""))</f>
        <v>FOB</v>
      </c>
      <c r="N1048" s="20" t="str">
        <f t="shared" si="45"/>
        <v>Aguardando Entrada</v>
      </c>
      <c r="O10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8" s="4">
        <v>0.3347222222222222</v>
      </c>
      <c r="Q1048" s="4"/>
      <c r="R1048" s="23"/>
      <c r="S1048" s="16"/>
      <c r="T1048" s="14" t="str">
        <f>IF(OR(Tabela1[[#This Row],[Entrada]]="",Tabela1[[#This Row],[Saída]]=""), "", Tabela1[[#This Row],[Saída]]-Tabela1[[#This Row],[Entrada]])</f>
        <v/>
      </c>
      <c r="U1048" s="1"/>
      <c r="V1048" s="1" t="s">
        <v>273</v>
      </c>
      <c r="W1048" s="2"/>
      <c r="X1048" s="2"/>
    </row>
    <row r="1049" spans="11:24" ht="15" hidden="1" customHeight="1">
      <c r="K1049" s="5">
        <v>46114</v>
      </c>
      <c r="L1049" s="8" t="s">
        <v>168</v>
      </c>
      <c r="M1049" s="9" t="str">
        <f>IF(Tabela1[[#This Row],[Motorista]]="","",IFERROR(_xlfn.XLOOKUP(Tabela1[[#This Row],[Motorista]],Base!A:A,Base!B:B),""))</f>
        <v>FOB</v>
      </c>
      <c r="N1049" s="20" t="str">
        <f t="shared" si="45"/>
        <v>Aguardando Entrada</v>
      </c>
      <c r="O10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49" s="4">
        <v>0.33750000000000002</v>
      </c>
      <c r="Q1049" s="4"/>
      <c r="R1049" s="23"/>
      <c r="S1049" s="16"/>
      <c r="T1049" s="14" t="str">
        <f>IF(OR(Tabela1[[#This Row],[Entrada]]="",Tabela1[[#This Row],[Saída]]=""), "", Tabela1[[#This Row],[Saída]]-Tabela1[[#This Row],[Entrada]])</f>
        <v/>
      </c>
      <c r="U1049" s="1"/>
      <c r="V1049" s="1" t="s">
        <v>273</v>
      </c>
      <c r="W1049" s="2"/>
      <c r="X1049" s="2"/>
    </row>
    <row r="1050" spans="11:24" ht="15" hidden="1" customHeight="1">
      <c r="K1050" s="5">
        <v>46114</v>
      </c>
      <c r="L1050" t="s">
        <v>278</v>
      </c>
      <c r="M1050" s="24" t="s">
        <v>63</v>
      </c>
      <c r="N1050" s="20" t="str">
        <f t="shared" si="45"/>
        <v>Fila de Carregamento</v>
      </c>
      <c r="O10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0" s="4">
        <v>0.34722222222222221</v>
      </c>
      <c r="Q1050" s="4">
        <v>0.50763888888888886</v>
      </c>
      <c r="R1050" s="23"/>
      <c r="S1050" s="16"/>
      <c r="T1050" s="14" t="str">
        <f>IF(OR(Tabela1[[#This Row],[Entrada]]="",Tabela1[[#This Row],[Saída]]=""), "", Tabela1[[#This Row],[Saída]]-Tabela1[[#This Row],[Entrada]])</f>
        <v/>
      </c>
      <c r="U1050" s="1"/>
      <c r="V1050" s="1" t="s">
        <v>273</v>
      </c>
      <c r="W1050" s="2"/>
      <c r="X1050" s="2"/>
    </row>
    <row r="1051" spans="11:24" ht="15" hidden="1" customHeight="1">
      <c r="K1051" s="5">
        <v>46114</v>
      </c>
      <c r="L1051" s="8" t="s">
        <v>98</v>
      </c>
      <c r="M1051" s="9" t="str">
        <f>IF(Tabela1[[#This Row],[Motorista]]="","",IFERROR(_xlfn.XLOOKUP(Tabela1[[#This Row],[Motorista]],Base!A:A,Base!B:B),""))</f>
        <v>FOB</v>
      </c>
      <c r="N1051" s="20" t="str">
        <f t="shared" si="45"/>
        <v>Aguardando Entrada</v>
      </c>
      <c r="O10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1" s="4">
        <v>0.35138888888888886</v>
      </c>
      <c r="Q1051" s="4"/>
      <c r="R1051" s="23"/>
      <c r="S1051" s="16"/>
      <c r="T1051" s="14" t="str">
        <f>IF(OR(Tabela1[[#This Row],[Entrada]]="",Tabela1[[#This Row],[Saída]]=""), "", Tabela1[[#This Row],[Saída]]-Tabela1[[#This Row],[Entrada]])</f>
        <v/>
      </c>
      <c r="U1051" s="1"/>
      <c r="V1051" s="1" t="s">
        <v>273</v>
      </c>
      <c r="W1051" s="2"/>
      <c r="X1051" s="2"/>
    </row>
    <row r="1052" spans="11:24" ht="15" hidden="1" customHeight="1">
      <c r="K1052" s="5">
        <v>46114</v>
      </c>
      <c r="L1052" s="8" t="s">
        <v>89</v>
      </c>
      <c r="M1052" s="9" t="str">
        <f>IF(Tabela1[[#This Row],[Motorista]]="","",IFERROR(_xlfn.XLOOKUP(Tabela1[[#This Row],[Motorista]],Base!A:A,Base!B:B),""))</f>
        <v>FOB</v>
      </c>
      <c r="N1052" s="20" t="str">
        <f t="shared" si="45"/>
        <v>Aguardando Entrada</v>
      </c>
      <c r="O10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2" s="4">
        <v>0.36041666666666666</v>
      </c>
      <c r="Q1052" s="4"/>
      <c r="R1052" s="23"/>
      <c r="S1052" s="16"/>
      <c r="T1052" s="14" t="str">
        <f>IF(OR(Tabela1[[#This Row],[Entrada]]="",Tabela1[[#This Row],[Saída]]=""), "", Tabela1[[#This Row],[Saída]]-Tabela1[[#This Row],[Entrada]])</f>
        <v/>
      </c>
      <c r="U1052" s="1"/>
      <c r="V1052" s="1" t="s">
        <v>273</v>
      </c>
      <c r="W1052" s="2"/>
      <c r="X1052" s="2"/>
    </row>
    <row r="1053" spans="11:24" ht="15" hidden="1" customHeight="1">
      <c r="K1053" s="5">
        <v>46114</v>
      </c>
      <c r="L1053" t="s">
        <v>279</v>
      </c>
      <c r="M1053" s="1" t="s">
        <v>63</v>
      </c>
      <c r="N1053" s="20" t="str">
        <f t="shared" si="45"/>
        <v>Aguardando Entrada</v>
      </c>
      <c r="O10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3" s="4">
        <v>0.43125000000000002</v>
      </c>
      <c r="Q1053" s="4"/>
      <c r="R1053" s="23"/>
      <c r="S1053" s="16"/>
      <c r="T1053" s="14" t="str">
        <f>IF(OR(Tabela1[[#This Row],[Entrada]]="",Tabela1[[#This Row],[Saída]]=""), "", Tabela1[[#This Row],[Saída]]-Tabela1[[#This Row],[Entrada]])</f>
        <v/>
      </c>
      <c r="U1053" s="15" t="str">
        <f>IF(OR('Controle de CT'!$R1053= "", 'Controle de CT'!$P1053= ""), "", 'Controle de CT'!$R1053-'Controle de CT'!$P1053)</f>
        <v/>
      </c>
      <c r="V1053" s="1"/>
      <c r="W1053" s="2"/>
      <c r="X1053" s="2"/>
    </row>
    <row r="1054" spans="11:24" ht="15" hidden="1" customHeight="1">
      <c r="K1054" s="5">
        <v>46114</v>
      </c>
      <c r="L1054" s="8" t="s">
        <v>52</v>
      </c>
      <c r="M1054" s="9" t="str">
        <f>IF(Tabela1[[#This Row],[Motorista]]="","",IFERROR(_xlfn.XLOOKUP(Tabela1[[#This Row],[Motorista]],Base!A:A,Base!B:B),""))</f>
        <v>CIF</v>
      </c>
      <c r="N1054" s="20" t="str">
        <f t="shared" si="45"/>
        <v>Finalizado</v>
      </c>
      <c r="O10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4" s="4">
        <v>0.43194444444444446</v>
      </c>
      <c r="Q1054" s="4">
        <v>0.43194444444444446</v>
      </c>
      <c r="R1054" s="23">
        <v>0.65277777777777779</v>
      </c>
      <c r="S1054" s="16"/>
      <c r="T1054" s="14">
        <f>IF(OR(Tabela1[[#This Row],[Entrada]]="",Tabela1[[#This Row],[Saída]]=""), "", Tabela1[[#This Row],[Saída]]-Tabela1[[#This Row],[Entrada]])</f>
        <v>0.22083333333333333</v>
      </c>
      <c r="U1054" s="1"/>
      <c r="V1054" s="1"/>
      <c r="W1054" s="2"/>
      <c r="X1054" s="2"/>
    </row>
    <row r="1055" spans="11:24" ht="15" hidden="1" customHeight="1">
      <c r="K1055" s="5">
        <v>46114</v>
      </c>
      <c r="L1055" s="8" t="s">
        <v>57</v>
      </c>
      <c r="M1055" s="9" t="str">
        <f>IF(Tabela1[[#This Row],[Motorista]]="","",IFERROR(_xlfn.XLOOKUP(Tabela1[[#This Row],[Motorista]],Base!A:A,Base!B:B),""))</f>
        <v>CIF</v>
      </c>
      <c r="N1055" s="20" t="str">
        <f t="shared" si="45"/>
        <v>Fila de Carregamento</v>
      </c>
      <c r="O10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5" s="4">
        <v>0.43611111111111112</v>
      </c>
      <c r="Q1055" s="4">
        <v>0.43611111111111112</v>
      </c>
      <c r="R1055" s="23"/>
      <c r="S1055" s="16"/>
      <c r="T1055" s="14" t="str">
        <f>IF(OR(Tabela1[[#This Row],[Entrada]]="",Tabela1[[#This Row],[Saída]]=""), "", Tabela1[[#This Row],[Saída]]-Tabela1[[#This Row],[Entrada]])</f>
        <v/>
      </c>
      <c r="U1055" s="1"/>
      <c r="V1055" s="1"/>
      <c r="W1055" s="2"/>
      <c r="X1055" s="2"/>
    </row>
    <row r="1056" spans="11:24" ht="15" hidden="1" customHeight="1">
      <c r="K1056" s="5">
        <v>46114</v>
      </c>
      <c r="L1056" s="8" t="s">
        <v>47</v>
      </c>
      <c r="M1056" s="9" t="str">
        <f>IF(Tabela1[[#This Row],[Motorista]]="","",IFERROR(_xlfn.XLOOKUP(Tabela1[[#This Row],[Motorista]],Base!A:A,Base!B:B),""))</f>
        <v>CIF</v>
      </c>
      <c r="N1056" s="20" t="str">
        <f t="shared" si="45"/>
        <v>Fila de Carregamento</v>
      </c>
      <c r="O10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6" s="4">
        <v>0.4513888888888889</v>
      </c>
      <c r="Q1056" s="4">
        <v>0.4513888888888889</v>
      </c>
      <c r="R1056" s="23"/>
      <c r="S1056" s="16"/>
      <c r="T1056" s="14" t="str">
        <f>IF(OR(Tabela1[[#This Row],[Entrada]]="",Tabela1[[#This Row],[Saída]]=""), "", Tabela1[[#This Row],[Saída]]-Tabela1[[#This Row],[Entrada]])</f>
        <v/>
      </c>
      <c r="U1056" s="1"/>
      <c r="V1056" s="1" t="s">
        <v>275</v>
      </c>
      <c r="W1056" s="2"/>
      <c r="X1056" s="2"/>
    </row>
    <row r="1057" spans="11:24" ht="15" hidden="1" customHeight="1">
      <c r="K1057" s="5">
        <v>46114</v>
      </c>
      <c r="L1057" s="8" t="s">
        <v>112</v>
      </c>
      <c r="M1057" s="9" t="str">
        <f>IF(Tabela1[[#This Row],[Motorista]]="","",IFERROR(_xlfn.XLOOKUP(Tabela1[[#This Row],[Motorista]],Base!A:A,Base!B:B),""))</f>
        <v>FOB</v>
      </c>
      <c r="N1057" s="20" t="str">
        <f t="shared" si="45"/>
        <v/>
      </c>
      <c r="O10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7" s="4"/>
      <c r="Q1057" s="4"/>
      <c r="R1057" s="23"/>
      <c r="S1057" s="16"/>
      <c r="T1057" s="14" t="str">
        <f>IF(OR(Tabela1[[#This Row],[Entrada]]="",Tabela1[[#This Row],[Saída]]=""), "", Tabela1[[#This Row],[Saída]]-Tabela1[[#This Row],[Entrada]])</f>
        <v/>
      </c>
      <c r="U1057" s="1"/>
      <c r="V1057" s="1"/>
      <c r="W1057" s="2"/>
      <c r="X1057" s="2"/>
    </row>
    <row r="1058" spans="11:24" ht="15" hidden="1" customHeight="1">
      <c r="K1058" s="5">
        <v>46114</v>
      </c>
      <c r="L1058" s="8" t="s">
        <v>102</v>
      </c>
      <c r="M1058" s="9" t="str">
        <f>IF(Tabela1[[#This Row],[Motorista]]="","",IFERROR(_xlfn.XLOOKUP(Tabela1[[#This Row],[Motorista]],Base!A:A,Base!B:B),""))</f>
        <v>Transferência</v>
      </c>
      <c r="N1058" s="20" t="str">
        <f t="shared" si="45"/>
        <v/>
      </c>
      <c r="O10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58" s="4"/>
      <c r="Q1058" s="4"/>
      <c r="R1058" s="23"/>
      <c r="S1058" s="16"/>
      <c r="T1058" s="14" t="str">
        <f>IF(OR(Tabela1[[#This Row],[Entrada]]="",Tabela1[[#This Row],[Saída]]=""), "", Tabela1[[#This Row],[Saída]]-Tabela1[[#This Row],[Entrada]])</f>
        <v/>
      </c>
      <c r="U1058" s="1"/>
      <c r="V1058" s="1"/>
      <c r="W1058" s="2"/>
      <c r="X1058" s="2"/>
    </row>
    <row r="1059" spans="11:24" ht="15" hidden="1" customHeight="1">
      <c r="K1059" s="5">
        <v>46114</v>
      </c>
      <c r="L1059" s="8" t="s">
        <v>255</v>
      </c>
      <c r="M1059" s="9">
        <f>IF(Tabela1[[#This Row],[Motorista]]="","",IFERROR(_xlfn.XLOOKUP(Tabela1[[#This Row],[Motorista]],Base!A:A,Base!B:B),""))</f>
        <v>0</v>
      </c>
      <c r="N1059" s="20" t="str">
        <f t="shared" si="45"/>
        <v>Aguardando Entrada</v>
      </c>
      <c r="O10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59" s="4">
        <v>0.4826388888888889</v>
      </c>
      <c r="Q1059" s="4"/>
      <c r="R1059" s="23"/>
      <c r="S1059" s="16"/>
      <c r="T1059" s="14" t="str">
        <f>IF(OR(Tabela1[[#This Row],[Entrada]]="",Tabela1[[#This Row],[Saída]]=""), "", Tabela1[[#This Row],[Saída]]-Tabela1[[#This Row],[Entrada]])</f>
        <v/>
      </c>
      <c r="U1059" s="1"/>
      <c r="V1059" s="1"/>
      <c r="W1059" s="2"/>
      <c r="X1059" s="2"/>
    </row>
    <row r="1060" spans="11:24" ht="15" hidden="1" customHeight="1">
      <c r="K1060" s="5">
        <v>46114</v>
      </c>
      <c r="L1060" t="s">
        <v>280</v>
      </c>
      <c r="M1060" s="24" t="s">
        <v>173</v>
      </c>
      <c r="N1060" s="20" t="str">
        <f t="shared" si="45"/>
        <v>Aguardando Entrada</v>
      </c>
      <c r="O10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0" s="4">
        <v>0.49930555555555556</v>
      </c>
      <c r="Q1060" s="4"/>
      <c r="R1060" s="23"/>
      <c r="S1060" s="16"/>
      <c r="T1060" s="14" t="str">
        <f>IF(OR(Tabela1[[#This Row],[Entrada]]="",Tabela1[[#This Row],[Saída]]=""), "", Tabela1[[#This Row],[Saída]]-Tabela1[[#This Row],[Entrada]])</f>
        <v/>
      </c>
      <c r="U1060" s="15" t="str">
        <f>IF(OR('Controle de CT'!$R1060= "", 'Controle de CT'!$P1060= ""), "", 'Controle de CT'!$R1060-'Controle de CT'!$P1060)</f>
        <v/>
      </c>
      <c r="V1060" s="1"/>
      <c r="W1060" s="2"/>
      <c r="X1060" s="2"/>
    </row>
    <row r="1061" spans="11:24" ht="15" hidden="1" customHeight="1">
      <c r="K1061" s="5">
        <v>46114</v>
      </c>
      <c r="L1061" s="8" t="s">
        <v>55</v>
      </c>
      <c r="M1061" s="9" t="str">
        <f>IF(Tabela1[[#This Row],[Motorista]]="","",IFERROR(_xlfn.XLOOKUP(Tabela1[[#This Row],[Motorista]],Base!A:A,Base!B:B),""))</f>
        <v>CIF</v>
      </c>
      <c r="N1061" s="20" t="str">
        <f t="shared" si="45"/>
        <v>Aguardando Entrada</v>
      </c>
      <c r="O10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1" s="4">
        <v>0.50902777777777775</v>
      </c>
      <c r="Q1061" s="4"/>
      <c r="R1061" s="23"/>
      <c r="S1061" s="16"/>
      <c r="T1061" s="14" t="str">
        <f>IF(OR(Tabela1[[#This Row],[Entrada]]="",Tabela1[[#This Row],[Saída]]=""), "", Tabela1[[#This Row],[Saída]]-Tabela1[[#This Row],[Entrada]])</f>
        <v/>
      </c>
      <c r="U1061" s="15" t="str">
        <f>IF(OR('Controle de CT'!$R1061= "", 'Controle de CT'!$P1061= ""), "", 'Controle de CT'!$R1061-'Controle de CT'!$P1061)</f>
        <v/>
      </c>
      <c r="V1061" s="1"/>
      <c r="W1061" s="2"/>
      <c r="X1061" s="2"/>
    </row>
    <row r="1062" spans="11:24" ht="15" hidden="1" customHeight="1">
      <c r="K1062" s="5">
        <v>46115</v>
      </c>
      <c r="L1062" s="8" t="s">
        <v>55</v>
      </c>
      <c r="M1062" s="9" t="str">
        <f>IF(Tabela1[[#This Row],[Motorista]]="","",IFERROR(_xlfn.XLOOKUP(Tabela1[[#This Row],[Motorista]],Base!A:A,Base!B:B),""))</f>
        <v>CIF</v>
      </c>
      <c r="N1062" s="20" t="str">
        <f t="shared" si="45"/>
        <v>Finalizado</v>
      </c>
      <c r="O10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62" s="4">
        <v>0.23333333333333334</v>
      </c>
      <c r="Q1062" s="4">
        <v>0.2673611111111111</v>
      </c>
      <c r="R1062" s="23">
        <v>0.31041666666666667</v>
      </c>
      <c r="S1062" s="70" t="s">
        <v>254</v>
      </c>
      <c r="T1062" s="14">
        <f>IF(OR(Tabela1[[#This Row],[Entrada]]="",Tabela1[[#This Row],[Saída]]=""), "", Tabela1[[#This Row],[Saída]]-Tabela1[[#This Row],[Entrada]])</f>
        <v>4.3055555555555569E-2</v>
      </c>
      <c r="U1062" s="1"/>
      <c r="V1062" s="1"/>
      <c r="W1062" s="2"/>
      <c r="X1062" s="2"/>
    </row>
    <row r="1063" spans="11:24" ht="15" hidden="1" customHeight="1">
      <c r="K1063" s="5">
        <v>46115</v>
      </c>
      <c r="L1063" s="8" t="s">
        <v>54</v>
      </c>
      <c r="M1063" s="9" t="str">
        <f>IF(Tabela1[[#This Row],[Motorista]]="","",IFERROR(_xlfn.XLOOKUP(Tabela1[[#This Row],[Motorista]],Base!A:A,Base!B:B),""))</f>
        <v>CIF</v>
      </c>
      <c r="N1063" s="20" t="str">
        <f t="shared" si="45"/>
        <v>Finalizado</v>
      </c>
      <c r="O10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3" s="4">
        <v>0.24305555555555555</v>
      </c>
      <c r="Q1063" s="4">
        <v>0.27291666666666664</v>
      </c>
      <c r="R1063" s="23">
        <v>0.37222222222222223</v>
      </c>
      <c r="S1063" s="70" t="s">
        <v>254</v>
      </c>
      <c r="T1063" s="14">
        <f>IF(OR(Tabela1[[#This Row],[Entrada]]="",Tabela1[[#This Row],[Saída]]=""), "", Tabela1[[#This Row],[Saída]]-Tabela1[[#This Row],[Entrada]])</f>
        <v>9.9305555555555591E-2</v>
      </c>
      <c r="U1063" s="1"/>
      <c r="V1063" s="1" t="s">
        <v>281</v>
      </c>
      <c r="W1063" s="2"/>
      <c r="X1063" s="2"/>
    </row>
    <row r="1064" spans="11:24" ht="15" hidden="1" customHeight="1">
      <c r="K1064" s="5">
        <v>46115</v>
      </c>
      <c r="L1064" s="8" t="s">
        <v>42</v>
      </c>
      <c r="M1064" s="9" t="str">
        <f>IF(Tabela1[[#This Row],[Motorista]]="","",IFERROR(_xlfn.XLOOKUP(Tabela1[[#This Row],[Motorista]],Base!A:A,Base!B:B),""))</f>
        <v>CIF</v>
      </c>
      <c r="N1064" s="20" t="str">
        <f t="shared" si="45"/>
        <v>Finalizado</v>
      </c>
      <c r="O10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4" s="4">
        <v>0.24930555555555556</v>
      </c>
      <c r="Q1064" s="4">
        <v>0.28055555555555556</v>
      </c>
      <c r="R1064" s="23">
        <v>0.33611111111111114</v>
      </c>
      <c r="S1064" s="70" t="s">
        <v>254</v>
      </c>
      <c r="T1064" s="14">
        <f>IF(OR(Tabela1[[#This Row],[Entrada]]="",Tabela1[[#This Row],[Saída]]=""), "", Tabela1[[#This Row],[Saída]]-Tabela1[[#This Row],[Entrada]])</f>
        <v>5.555555555555558E-2</v>
      </c>
      <c r="U1064" s="1"/>
      <c r="V1064" s="1"/>
      <c r="W1064" s="2"/>
      <c r="X1064" s="2"/>
    </row>
    <row r="1065" spans="11:24" ht="15" hidden="1" customHeight="1">
      <c r="K1065" s="5">
        <v>46115</v>
      </c>
      <c r="L1065" s="8" t="s">
        <v>57</v>
      </c>
      <c r="M1065" s="9" t="str">
        <f>IF(Tabela1[[#This Row],[Motorista]]="","",IFERROR(_xlfn.XLOOKUP(Tabela1[[#This Row],[Motorista]],Base!A:A,Base!B:B),""))</f>
        <v>CIF</v>
      </c>
      <c r="N1065" s="20" t="str">
        <f t="shared" si="45"/>
        <v>Finalizado</v>
      </c>
      <c r="O10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5" s="4">
        <v>0.24930555555555556</v>
      </c>
      <c r="Q1065" s="4">
        <v>0.28819444444444442</v>
      </c>
      <c r="R1065" s="23">
        <v>0.45069444444444445</v>
      </c>
      <c r="S1065" s="70" t="s">
        <v>254</v>
      </c>
      <c r="T1065" s="14">
        <f>IF(OR(Tabela1[[#This Row],[Entrada]]="",Tabela1[[#This Row],[Saída]]=""), "", Tabela1[[#This Row],[Saída]]-Tabela1[[#This Row],[Entrada]])</f>
        <v>0.16250000000000003</v>
      </c>
      <c r="U1065" s="1"/>
      <c r="V1065" s="1" t="s">
        <v>281</v>
      </c>
      <c r="W1065" s="2"/>
      <c r="X1065" s="2"/>
    </row>
    <row r="1066" spans="11:24" ht="15" hidden="1" customHeight="1">
      <c r="K1066" s="5">
        <v>46115</v>
      </c>
      <c r="L1066" s="8" t="s">
        <v>46</v>
      </c>
      <c r="M1066" s="9" t="str">
        <f>IF(Tabela1[[#This Row],[Motorista]]="","",IFERROR(_xlfn.XLOOKUP(Tabela1[[#This Row],[Motorista]],Base!A:A,Base!B:B),""))</f>
        <v>CIF</v>
      </c>
      <c r="N1066" s="20" t="str">
        <f t="shared" si="45"/>
        <v>Finalizado</v>
      </c>
      <c r="O10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6" s="4">
        <v>0.25138888888888888</v>
      </c>
      <c r="Q1066" s="4">
        <v>0.28888888888888886</v>
      </c>
      <c r="R1066" s="23">
        <v>0.46111111111111114</v>
      </c>
      <c r="S1066" s="70" t="s">
        <v>254</v>
      </c>
      <c r="T1066" s="14">
        <f>IF(OR(Tabela1[[#This Row],[Entrada]]="",Tabela1[[#This Row],[Saída]]=""), "", Tabela1[[#This Row],[Saída]]-Tabela1[[#This Row],[Entrada]])</f>
        <v>0.17222222222222228</v>
      </c>
      <c r="U1066" s="1"/>
      <c r="V1066" s="1" t="s">
        <v>281</v>
      </c>
      <c r="W1066" s="2"/>
      <c r="X1066" s="2"/>
    </row>
    <row r="1067" spans="11:24" ht="15" hidden="1" customHeight="1">
      <c r="K1067" s="5">
        <v>46115</v>
      </c>
      <c r="L1067" s="8" t="s">
        <v>58</v>
      </c>
      <c r="M1067" s="9" t="str">
        <f>IF(Tabela1[[#This Row],[Motorista]]="","",IFERROR(_xlfn.XLOOKUP(Tabela1[[#This Row],[Motorista]],Base!A:A,Base!B:B),""))</f>
        <v xml:space="preserve">CIF </v>
      </c>
      <c r="N1067" s="20" t="str">
        <f t="shared" si="45"/>
        <v>Fila de Carregamento</v>
      </c>
      <c r="O10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7" s="4">
        <v>0.25138888888888888</v>
      </c>
      <c r="Q1067" s="4">
        <v>0.29791666666666666</v>
      </c>
      <c r="R1067" s="23"/>
      <c r="S1067" s="16"/>
      <c r="T1067" s="14" t="str">
        <f>IF(OR(Tabela1[[#This Row],[Entrada]]="",Tabela1[[#This Row],[Saída]]=""), "", Tabela1[[#This Row],[Saída]]-Tabela1[[#This Row],[Entrada]])</f>
        <v/>
      </c>
      <c r="U1067" s="1"/>
      <c r="V1067" s="1" t="s">
        <v>281</v>
      </c>
      <c r="W1067" s="2"/>
      <c r="X1067" s="2"/>
    </row>
    <row r="1068" spans="11:24" ht="15" hidden="1" customHeight="1">
      <c r="K1068" s="5">
        <v>46115</v>
      </c>
      <c r="L1068" s="8" t="s">
        <v>116</v>
      </c>
      <c r="M1068" s="9" t="str">
        <f>IF(Tabela1[[#This Row],[Motorista]]="","",IFERROR(_xlfn.XLOOKUP(Tabela1[[#This Row],[Motorista]],Base!A:A,Base!B:B),""))</f>
        <v xml:space="preserve">CIF </v>
      </c>
      <c r="N1068" s="20" t="str">
        <f t="shared" si="45"/>
        <v>Finalizado</v>
      </c>
      <c r="O10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68" s="4">
        <v>0.21249999999999999</v>
      </c>
      <c r="Q1068" s="4">
        <v>0.2638888888888889</v>
      </c>
      <c r="R1068" s="23">
        <v>0.30486111111111114</v>
      </c>
      <c r="S1068" s="70" t="s">
        <v>254</v>
      </c>
      <c r="T1068" s="14">
        <f>IF(OR(Tabela1[[#This Row],[Entrada]]="",Tabela1[[#This Row],[Saída]]=""), "", Tabela1[[#This Row],[Saída]]-Tabela1[[#This Row],[Entrada]])</f>
        <v>4.0972222222222243E-2</v>
      </c>
      <c r="U1068" s="1"/>
      <c r="V1068" s="1"/>
      <c r="W1068" s="2"/>
      <c r="X1068" s="2"/>
    </row>
    <row r="1069" spans="11:24" ht="15" hidden="1" customHeight="1">
      <c r="K1069" s="5">
        <v>46115</v>
      </c>
      <c r="L1069" t="s">
        <v>279</v>
      </c>
      <c r="M1069" s="24" t="s">
        <v>63</v>
      </c>
      <c r="N1069" s="20" t="str">
        <f t="shared" si="45"/>
        <v>Finalizado</v>
      </c>
      <c r="O10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69" s="4">
        <v>0.20833333333333334</v>
      </c>
      <c r="Q1069" s="4">
        <v>0.27083333333333331</v>
      </c>
      <c r="R1069" s="23">
        <v>0.32430555555555557</v>
      </c>
      <c r="S1069" s="70" t="s">
        <v>254</v>
      </c>
      <c r="T1069" s="14">
        <f>IF(OR(Tabela1[[#This Row],[Entrada]]="",Tabela1[[#This Row],[Saída]]=""), "", Tabela1[[#This Row],[Saída]]-Tabela1[[#This Row],[Entrada]])</f>
        <v>5.3472222222222254E-2</v>
      </c>
      <c r="U1069" s="1"/>
      <c r="V1069" s="1" t="s">
        <v>282</v>
      </c>
      <c r="W1069" s="2"/>
      <c r="X1069" s="2"/>
    </row>
    <row r="1070" spans="11:24" ht="15" hidden="1" customHeight="1">
      <c r="K1070" s="5">
        <v>46115</v>
      </c>
      <c r="L1070" s="8" t="s">
        <v>257</v>
      </c>
      <c r="M1070" s="9" t="str">
        <f>IF(Tabela1[[#This Row],[Motorista]]="","",IFERROR(_xlfn.XLOOKUP(Tabela1[[#This Row],[Motorista]],Base!A:A,Base!B:B),""))</f>
        <v>FOB</v>
      </c>
      <c r="N1070" s="20" t="str">
        <f t="shared" ref="N1070:N1101" si="46">IF(R1070&lt;&gt;"","Finalizado", IF(Q1070&lt;&gt;"","Fila de Carregamento", IF(P1070&lt;&gt;"","Aguardando Entrada","")))</f>
        <v>Finalizado</v>
      </c>
      <c r="O10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70" s="4">
        <v>0.2951388888888889</v>
      </c>
      <c r="Q1070" s="4">
        <v>0.31180555555555556</v>
      </c>
      <c r="R1070" s="23">
        <v>0.3611111111111111</v>
      </c>
      <c r="S1070" s="70" t="s">
        <v>254</v>
      </c>
      <c r="T1070" s="14">
        <f>IF(OR(Tabela1[[#This Row],[Entrada]]="",Tabela1[[#This Row],[Saída]]=""), "", Tabela1[[#This Row],[Saída]]-Tabela1[[#This Row],[Entrada]])</f>
        <v>4.9305555555555547E-2</v>
      </c>
      <c r="U1070" s="15">
        <f>IF(OR('Controle de CT'!$R1070= "", 'Controle de CT'!$P1070= ""), "", 'Controle de CT'!$R1070-'Controle de CT'!$P1070)</f>
        <v>6.597222222222221E-2</v>
      </c>
      <c r="V1070" s="1"/>
      <c r="W1070" s="2"/>
      <c r="X1070" s="2"/>
    </row>
    <row r="1071" spans="11:24" ht="15" hidden="1" customHeight="1">
      <c r="K1071" s="5">
        <v>46115</v>
      </c>
      <c r="L1071" s="8" t="s">
        <v>121</v>
      </c>
      <c r="M1071" s="9" t="str">
        <f>IF(Tabela1[[#This Row],[Motorista]]="","",IFERROR(_xlfn.XLOOKUP(Tabela1[[#This Row],[Motorista]],Base!A:A,Base!B:B),""))</f>
        <v>CIF</v>
      </c>
      <c r="N1071" s="20" t="str">
        <f t="shared" si="46"/>
        <v>Finalizado</v>
      </c>
      <c r="O10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1" s="4">
        <v>0.31597222222222221</v>
      </c>
      <c r="Q1071" s="4">
        <v>0.33194444444444443</v>
      </c>
      <c r="R1071" s="23">
        <v>0.44097222222222221</v>
      </c>
      <c r="S1071" s="70" t="s">
        <v>254</v>
      </c>
      <c r="T1071" s="14">
        <f>IF(OR(Tabela1[[#This Row],[Entrada]]="",Tabela1[[#This Row],[Saída]]=""), "", Tabela1[[#This Row],[Saída]]-Tabela1[[#This Row],[Entrada]])</f>
        <v>0.10902777777777778</v>
      </c>
      <c r="U1071" s="1"/>
      <c r="V1071" s="1" t="s">
        <v>281</v>
      </c>
      <c r="W1071" s="2"/>
      <c r="X1071" s="2"/>
    </row>
    <row r="1072" spans="11:24" ht="15" hidden="1" customHeight="1">
      <c r="K1072" s="5">
        <v>46115</v>
      </c>
      <c r="L1072" s="8" t="s">
        <v>162</v>
      </c>
      <c r="M1072" s="9" t="str">
        <f>IF(Tabela1[[#This Row],[Motorista]]="","",IFERROR(_xlfn.XLOOKUP(Tabela1[[#This Row],[Motorista]],Base!A:A,Base!B:B),""))</f>
        <v>FOB</v>
      </c>
      <c r="N1072" s="20" t="str">
        <f t="shared" si="46"/>
        <v>Finalizado</v>
      </c>
      <c r="O10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2" s="4">
        <v>0.32361111111111113</v>
      </c>
      <c r="Q1072" s="4">
        <v>0.33958333333333335</v>
      </c>
      <c r="R1072" s="23">
        <v>0.38472222222222224</v>
      </c>
      <c r="S1072" s="70" t="s">
        <v>254</v>
      </c>
      <c r="T1072" s="14">
        <f>IF(OR(Tabela1[[#This Row],[Entrada]]="",Tabela1[[#This Row],[Saída]]=""), "", Tabela1[[#This Row],[Saída]]-Tabela1[[#This Row],[Entrada]])</f>
        <v>4.5138888888888895E-2</v>
      </c>
      <c r="U1072" s="1"/>
      <c r="V1072" s="1"/>
      <c r="W1072" s="2"/>
      <c r="X1072" s="2"/>
    </row>
    <row r="1073" spans="11:24" ht="15" hidden="1" customHeight="1">
      <c r="K1073" s="5">
        <v>46115</v>
      </c>
      <c r="L1073" s="8" t="s">
        <v>91</v>
      </c>
      <c r="M1073" s="9" t="str">
        <f>IF(Tabela1[[#This Row],[Motorista]]="","",IFERROR(_xlfn.XLOOKUP(Tabela1[[#This Row],[Motorista]],Base!A:A,Base!B:B),""))</f>
        <v>FOB</v>
      </c>
      <c r="N1073" s="20" t="str">
        <f t="shared" si="46"/>
        <v>Finalizado</v>
      </c>
      <c r="O10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3" s="4">
        <v>0.35416666666666669</v>
      </c>
      <c r="Q1073" s="4">
        <v>0.37777777777777777</v>
      </c>
      <c r="R1073" s="23">
        <v>0.43194444444444446</v>
      </c>
      <c r="S1073" s="70" t="s">
        <v>254</v>
      </c>
      <c r="T1073" s="14">
        <f>IF(OR(Tabela1[[#This Row],[Entrada]]="",Tabela1[[#This Row],[Saída]]=""), "", Tabela1[[#This Row],[Saída]]-Tabela1[[#This Row],[Entrada]])</f>
        <v>5.4166666666666696E-2</v>
      </c>
      <c r="U1073" s="1"/>
      <c r="V1073" s="1"/>
      <c r="W1073" s="2"/>
      <c r="X1073" s="2"/>
    </row>
    <row r="1074" spans="11:24" ht="15" hidden="1" customHeight="1">
      <c r="K1074" s="5">
        <v>46115</v>
      </c>
      <c r="L1074" s="8" t="s">
        <v>45</v>
      </c>
      <c r="M1074" s="9" t="str">
        <f>IF(Tabela1[[#This Row],[Motorista]]="","",IFERROR(_xlfn.XLOOKUP(Tabela1[[#This Row],[Motorista]],Base!A:A,Base!B:B),""))</f>
        <v>CIF</v>
      </c>
      <c r="N1074" s="20" t="str">
        <f t="shared" si="46"/>
        <v>Finalizado</v>
      </c>
      <c r="O10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4" s="4">
        <v>0.34375</v>
      </c>
      <c r="Q1074" s="4">
        <v>0.36527777777777776</v>
      </c>
      <c r="R1074" s="23">
        <v>0.47222222222222221</v>
      </c>
      <c r="S1074" s="70" t="s">
        <v>254</v>
      </c>
      <c r="T1074" s="14">
        <f>IF(OR(Tabela1[[#This Row],[Entrada]]="",Tabela1[[#This Row],[Saída]]=""), "", Tabela1[[#This Row],[Saída]]-Tabela1[[#This Row],[Entrada]])</f>
        <v>0.10694444444444445</v>
      </c>
      <c r="U1074" s="15">
        <f>IF(OR('Controle de CT'!$R1074= "", 'Controle de CT'!$P1074= ""), "", 'Controle de CT'!$R1074-'Controle de CT'!$P1074)</f>
        <v>0.12847222222222221</v>
      </c>
      <c r="V1074" s="1" t="s">
        <v>283</v>
      </c>
      <c r="W1074" s="2"/>
      <c r="X1074" s="2"/>
    </row>
    <row r="1075" spans="11:24" ht="15" hidden="1" customHeight="1">
      <c r="K1075" s="5">
        <v>46115</v>
      </c>
      <c r="L1075" s="8" t="s">
        <v>87</v>
      </c>
      <c r="M1075" s="9" t="str">
        <f>IF(Tabela1[[#This Row],[Motorista]]="","",IFERROR(_xlfn.XLOOKUP(Tabela1[[#This Row],[Motorista]],Base!A:A,Base!B:B),""))</f>
        <v>FOB</v>
      </c>
      <c r="N1075" s="20" t="str">
        <f t="shared" si="46"/>
        <v>Finalizado</v>
      </c>
      <c r="O10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75" s="4">
        <v>0.39444444444444443</v>
      </c>
      <c r="Q1075" s="4">
        <v>0.40555555555555556</v>
      </c>
      <c r="R1075" s="23">
        <v>0.45763888888888887</v>
      </c>
      <c r="S1075" s="70" t="s">
        <v>254</v>
      </c>
      <c r="T1075" s="14">
        <f>IF(OR(Tabela1[[#This Row],[Entrada]]="",Tabela1[[#This Row],[Saída]]=""), "", Tabela1[[#This Row],[Saída]]-Tabela1[[#This Row],[Entrada]])</f>
        <v>5.2083333333333315E-2</v>
      </c>
      <c r="U1075" s="1"/>
      <c r="V1075" s="1"/>
      <c r="W1075" s="2"/>
      <c r="X1075" s="2"/>
    </row>
    <row r="1076" spans="11:24" ht="15" hidden="1" customHeight="1">
      <c r="K1076" s="5">
        <v>46115</v>
      </c>
      <c r="L1076" s="8" t="s">
        <v>116</v>
      </c>
      <c r="M1076" s="9" t="str">
        <f>IF(Tabela1[[#This Row],[Motorista]]="","",IFERROR(_xlfn.XLOOKUP(Tabela1[[#This Row],[Motorista]],Base!A:A,Base!B:B),""))</f>
        <v xml:space="preserve">CIF </v>
      </c>
      <c r="N1076" s="20" t="str">
        <f t="shared" si="46"/>
        <v>Finalizado</v>
      </c>
      <c r="O10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76" s="4">
        <v>0.38194444444444442</v>
      </c>
      <c r="Q1076" s="4">
        <v>0.39930555555555558</v>
      </c>
      <c r="R1076" s="23">
        <v>0.44027777777777777</v>
      </c>
      <c r="S1076" s="70" t="s">
        <v>254</v>
      </c>
      <c r="T1076" s="14">
        <f>IF(OR(Tabela1[[#This Row],[Entrada]]="",Tabela1[[#This Row],[Saída]]=""), "", Tabela1[[#This Row],[Saída]]-Tabela1[[#This Row],[Entrada]])</f>
        <v>4.0972222222222188E-2</v>
      </c>
      <c r="U1076" s="1"/>
      <c r="V1076" s="1"/>
      <c r="W1076" s="2"/>
      <c r="X1076" s="2"/>
    </row>
    <row r="1077" spans="11:24" ht="15" hidden="1" customHeight="1">
      <c r="K1077" s="5">
        <v>46115</v>
      </c>
      <c r="L1077" s="8" t="s">
        <v>55</v>
      </c>
      <c r="M1077" s="9" t="str">
        <f>IF(Tabela1[[#This Row],[Motorista]]="","",IFERROR(_xlfn.XLOOKUP(Tabela1[[#This Row],[Motorista]],Base!A:A,Base!B:B),""))</f>
        <v>CIF</v>
      </c>
      <c r="N1077" s="20" t="str">
        <f t="shared" si="46"/>
        <v>Finalizado</v>
      </c>
      <c r="O10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77" s="4">
        <v>0.43819444444444444</v>
      </c>
      <c r="Q1077" s="4">
        <v>0.4548611111111111</v>
      </c>
      <c r="R1077" s="23">
        <v>0.49444444444444446</v>
      </c>
      <c r="S1077" s="70" t="s">
        <v>254</v>
      </c>
      <c r="T1077" s="14">
        <f>IF(OR(Tabela1[[#This Row],[Entrada]]="",Tabela1[[#This Row],[Saída]]=""), "", Tabela1[[#This Row],[Saída]]-Tabela1[[#This Row],[Entrada]])</f>
        <v>3.9583333333333359E-2</v>
      </c>
      <c r="U1077" s="1"/>
      <c r="V1077" s="1"/>
      <c r="W1077" s="2"/>
      <c r="X1077" s="2"/>
    </row>
    <row r="1078" spans="11:24" ht="15" hidden="1" customHeight="1">
      <c r="K1078" s="5">
        <v>46115</v>
      </c>
      <c r="L1078" s="8" t="s">
        <v>257</v>
      </c>
      <c r="M1078" s="9" t="str">
        <f>IF(Tabela1[[#This Row],[Motorista]]="","",IFERROR(_xlfn.XLOOKUP(Tabela1[[#This Row],[Motorista]],Base!A:A,Base!B:B),""))</f>
        <v>FOB</v>
      </c>
      <c r="N1078" s="20" t="str">
        <f t="shared" si="46"/>
        <v>Finalizado</v>
      </c>
      <c r="O10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78" s="4">
        <v>0.42083333333333334</v>
      </c>
      <c r="Q1078" s="4">
        <v>0.43194444444444446</v>
      </c>
      <c r="R1078" s="23">
        <v>0.48333333333333334</v>
      </c>
      <c r="S1078" s="70" t="s">
        <v>254</v>
      </c>
      <c r="T1078" s="14">
        <f>IF(OR(Tabela1[[#This Row],[Entrada]]="",Tabela1[[#This Row],[Saída]]=""), "", Tabela1[[#This Row],[Saída]]-Tabela1[[#This Row],[Entrada]])</f>
        <v>5.1388888888888873E-2</v>
      </c>
      <c r="U1078" s="15">
        <f>IF(OR('Controle de CT'!$R1078= "", 'Controle de CT'!$P1078= ""), "", 'Controle de CT'!$R1078-'Controle de CT'!$P1078)</f>
        <v>6.25E-2</v>
      </c>
      <c r="V1078" s="1" t="s">
        <v>284</v>
      </c>
      <c r="W1078" s="2"/>
      <c r="X1078" s="2"/>
    </row>
    <row r="1079" spans="11:24" ht="15" hidden="1" customHeight="1">
      <c r="K1079" s="5">
        <v>46116</v>
      </c>
      <c r="L1079" s="8" t="s">
        <v>116</v>
      </c>
      <c r="M1079" s="9" t="str">
        <f>IF(Tabela1[[#This Row],[Motorista]]="","",IFERROR(_xlfn.XLOOKUP(Tabela1[[#This Row],[Motorista]],Base!A:A,Base!B:B),""))</f>
        <v xml:space="preserve">CIF </v>
      </c>
      <c r="N1079" s="20" t="str">
        <f t="shared" si="46"/>
        <v>Finalizado</v>
      </c>
      <c r="O10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79" s="4">
        <v>0.21249999999999999</v>
      </c>
      <c r="Q1079" s="4">
        <v>0.27777777777777779</v>
      </c>
      <c r="R1079" s="23">
        <v>0.3125</v>
      </c>
      <c r="S1079" s="16"/>
      <c r="T1079" s="14">
        <f>IF(OR(Tabela1[[#This Row],[Entrada]]="",Tabela1[[#This Row],[Saída]]=""), "", Tabela1[[#This Row],[Saída]]-Tabela1[[#This Row],[Entrada]])</f>
        <v>3.472222222222221E-2</v>
      </c>
      <c r="U1079" s="1"/>
      <c r="V1079" s="1"/>
      <c r="W1079" s="2"/>
      <c r="X1079" s="2"/>
    </row>
    <row r="1080" spans="11:24" ht="15" hidden="1" customHeight="1">
      <c r="K1080" s="5">
        <v>46116</v>
      </c>
      <c r="L1080" s="8" t="s">
        <v>87</v>
      </c>
      <c r="M1080" s="9" t="str">
        <f>IF(Tabela1[[#This Row],[Motorista]]="","",IFERROR(_xlfn.XLOOKUP(Tabela1[[#This Row],[Motorista]],Base!A:A,Base!B:B),""))</f>
        <v>FOB</v>
      </c>
      <c r="N1080" s="20" t="str">
        <f t="shared" si="46"/>
        <v>Fila de Carregamento</v>
      </c>
      <c r="O10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0" s="4">
        <v>0.2298611111111111</v>
      </c>
      <c r="Q1080" s="4">
        <v>0.4465277777777778</v>
      </c>
      <c r="R1080" s="23"/>
      <c r="S1080" s="16"/>
      <c r="T1080" s="14" t="str">
        <f>IF(OR(Tabela1[[#This Row],[Entrada]]="",Tabela1[[#This Row],[Saída]]=""), "", Tabela1[[#This Row],[Saída]]-Tabela1[[#This Row],[Entrada]])</f>
        <v/>
      </c>
      <c r="U1080" s="1"/>
      <c r="V1080" s="1"/>
      <c r="W1080" s="2"/>
      <c r="X1080" s="2"/>
    </row>
    <row r="1081" spans="11:24" ht="15" hidden="1" customHeight="1">
      <c r="K1081" s="5">
        <v>46116</v>
      </c>
      <c r="L1081" s="8" t="s">
        <v>90</v>
      </c>
      <c r="M1081" s="9" t="str">
        <f>IF(Tabela1[[#This Row],[Motorista]]="","",IFERROR(_xlfn.XLOOKUP(Tabela1[[#This Row],[Motorista]],Base!A:A,Base!B:B),""))</f>
        <v>FOB</v>
      </c>
      <c r="N1081" s="20" t="str">
        <f t="shared" si="46"/>
        <v>Aguardando Entrada</v>
      </c>
      <c r="O10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1" s="4">
        <v>0.23402777777777778</v>
      </c>
      <c r="Q1081" s="4"/>
      <c r="R1081" s="23"/>
      <c r="S1081" s="16"/>
      <c r="T1081" s="14" t="str">
        <f>IF(OR(Tabela1[[#This Row],[Entrada]]="",Tabela1[[#This Row],[Saída]]=""), "", Tabela1[[#This Row],[Saída]]-Tabela1[[#This Row],[Entrada]])</f>
        <v/>
      </c>
      <c r="U1081" s="1"/>
      <c r="V1081" s="1" t="s">
        <v>285</v>
      </c>
      <c r="W1081" s="2"/>
      <c r="X1081" s="2"/>
    </row>
    <row r="1082" spans="11:24" ht="15" hidden="1" customHeight="1">
      <c r="K1082" s="5">
        <v>46116</v>
      </c>
      <c r="L1082" s="8" t="s">
        <v>55</v>
      </c>
      <c r="M1082" s="9" t="str">
        <f>IF(Tabela1[[#This Row],[Motorista]]="","",IFERROR(_xlfn.XLOOKUP(Tabela1[[#This Row],[Motorista]],Base!A:A,Base!B:B),""))</f>
        <v>CIF</v>
      </c>
      <c r="N1082" s="20" t="str">
        <f t="shared" si="46"/>
        <v>Finalizado</v>
      </c>
      <c r="O10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82" s="4">
        <v>0.25</v>
      </c>
      <c r="Q1082" s="4">
        <v>0.27916666666666667</v>
      </c>
      <c r="R1082" s="23">
        <v>0.37430555555555556</v>
      </c>
      <c r="S1082" s="16"/>
      <c r="T1082" s="14">
        <f>IF(OR(Tabela1[[#This Row],[Entrada]]="",Tabela1[[#This Row],[Saída]]=""), "", Tabela1[[#This Row],[Saída]]-Tabela1[[#This Row],[Entrada]])</f>
        <v>9.5138888888888884E-2</v>
      </c>
      <c r="U1082" s="1"/>
      <c r="V1082" s="1"/>
      <c r="W1082" s="2"/>
      <c r="X1082" s="2"/>
    </row>
    <row r="1083" spans="11:24" ht="15" hidden="1" customHeight="1">
      <c r="K1083" s="5">
        <v>46116</v>
      </c>
      <c r="L1083" s="8" t="s">
        <v>58</v>
      </c>
      <c r="M1083" s="9" t="str">
        <f>IF(Tabela1[[#This Row],[Motorista]]="","",IFERROR(_xlfn.XLOOKUP(Tabela1[[#This Row],[Motorista]],Base!A:A,Base!B:B),""))</f>
        <v xml:space="preserve">CIF </v>
      </c>
      <c r="N1083" s="20" t="str">
        <f t="shared" si="46"/>
        <v>Finalizado</v>
      </c>
      <c r="O10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3" s="4">
        <v>0.25</v>
      </c>
      <c r="Q1083" s="2">
        <v>0.37430555555555556</v>
      </c>
      <c r="R1083" s="23">
        <v>0.37430555555555556</v>
      </c>
      <c r="S1083" s="16"/>
      <c r="T1083" s="14">
        <f>IF(OR(Tabela1[[#This Row],[Entrada]]="",Tabela1[[#This Row],[Saída]]=""), "", Tabela1[[#This Row],[Saída]]-Tabela1[[#This Row],[Entrada]])</f>
        <v>0</v>
      </c>
      <c r="U1083" s="1"/>
      <c r="V1083" s="1"/>
      <c r="W1083" s="2"/>
      <c r="X1083" s="2"/>
    </row>
    <row r="1084" spans="11:24" ht="15" hidden="1" customHeight="1">
      <c r="K1084" s="5">
        <v>46116</v>
      </c>
      <c r="L1084" s="8" t="s">
        <v>54</v>
      </c>
      <c r="M1084" s="9" t="str">
        <f>IF(Tabela1[[#This Row],[Motorista]]="","",IFERROR(_xlfn.XLOOKUP(Tabela1[[#This Row],[Motorista]],Base!A:A,Base!B:B),""))</f>
        <v>CIF</v>
      </c>
      <c r="N1084" s="20" t="str">
        <f t="shared" si="46"/>
        <v>Finalizado</v>
      </c>
      <c r="O10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4" s="4">
        <v>0.25</v>
      </c>
      <c r="Q1084" s="2">
        <v>0.39583333333333331</v>
      </c>
      <c r="R1084" s="23">
        <v>0.39583333333333331</v>
      </c>
      <c r="S1084" s="16"/>
      <c r="T1084" s="14">
        <f>IF(OR(Tabela1[[#This Row],[Entrada]]="",Tabela1[[#This Row],[Saída]]=""), "", Tabela1[[#This Row],[Saída]]-Tabela1[[#This Row],[Entrada]])</f>
        <v>0</v>
      </c>
      <c r="U1084" s="1"/>
      <c r="V1084" s="1"/>
      <c r="W1084" s="2"/>
      <c r="X1084" s="2"/>
    </row>
    <row r="1085" spans="11:24" ht="15" hidden="1" customHeight="1">
      <c r="K1085" s="5">
        <v>46116</v>
      </c>
      <c r="L1085" s="8" t="s">
        <v>255</v>
      </c>
      <c r="M1085" s="9">
        <f>IF(Tabela1[[#This Row],[Motorista]]="","",IFERROR(_xlfn.XLOOKUP(Tabela1[[#This Row],[Motorista]],Base!A:A,Base!B:B),""))</f>
        <v>0</v>
      </c>
      <c r="N1085" s="20" t="str">
        <f t="shared" si="46"/>
        <v>Finalizado</v>
      </c>
      <c r="O10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85" s="4">
        <v>0.25</v>
      </c>
      <c r="Q1085" s="2">
        <v>0.39583333333333331</v>
      </c>
      <c r="R1085" s="23">
        <v>0.39583333333333331</v>
      </c>
      <c r="S1085" s="16"/>
      <c r="T1085" s="14">
        <f>IF(OR(Tabela1[[#This Row],[Entrada]]="",Tabela1[[#This Row],[Saída]]=""), "", Tabela1[[#This Row],[Saída]]-Tabela1[[#This Row],[Entrada]])</f>
        <v>0</v>
      </c>
      <c r="U1085" s="1"/>
      <c r="V1085" s="1"/>
      <c r="W1085" s="2"/>
      <c r="X1085" s="2"/>
    </row>
    <row r="1086" spans="11:24" ht="15" hidden="1" customHeight="1">
      <c r="K1086" s="5">
        <v>46116</v>
      </c>
      <c r="L1086" s="8" t="s">
        <v>57</v>
      </c>
      <c r="M1086" s="9" t="str">
        <f>IF(Tabela1[[#This Row],[Motorista]]="","",IFERROR(_xlfn.XLOOKUP(Tabela1[[#This Row],[Motorista]],Base!A:A,Base!B:B),""))</f>
        <v>CIF</v>
      </c>
      <c r="N1086" s="20" t="str">
        <f t="shared" si="46"/>
        <v>Finalizado</v>
      </c>
      <c r="O10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086" s="4">
        <v>0.25</v>
      </c>
      <c r="Q1086" s="2">
        <v>0.41458333333333336</v>
      </c>
      <c r="R1086" s="23">
        <v>0.41458333333333336</v>
      </c>
      <c r="S1086" s="16"/>
      <c r="T1086" s="14">
        <f>IF(OR(Tabela1[[#This Row],[Entrada]]="",Tabela1[[#This Row],[Saída]]=""), "", Tabela1[[#This Row],[Saída]]-Tabela1[[#This Row],[Entrada]])</f>
        <v>0</v>
      </c>
      <c r="U1086" s="1"/>
      <c r="V1086" s="1"/>
      <c r="W1086" s="2"/>
      <c r="X1086" s="2"/>
    </row>
    <row r="1087" spans="11:24" ht="15" hidden="1" customHeight="1">
      <c r="K1087" s="5">
        <v>46116</v>
      </c>
      <c r="L1087" s="8" t="s">
        <v>96</v>
      </c>
      <c r="M1087" s="9" t="str">
        <f>IF(Tabela1[[#This Row],[Motorista]]="","",IFERROR(_xlfn.XLOOKUP(Tabela1[[#This Row],[Motorista]],Base!A:A,Base!B:B),""))</f>
        <v>Transferência</v>
      </c>
      <c r="N1087" s="20" t="str">
        <f t="shared" si="46"/>
        <v>Fila de Carregamento</v>
      </c>
      <c r="O10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7" s="4">
        <v>0.25</v>
      </c>
      <c r="Q1087" s="2">
        <v>0.41666666666666669</v>
      </c>
      <c r="R1087" s="23"/>
      <c r="S1087" s="16"/>
      <c r="T1087" s="14" t="str">
        <f>IF(OR(Tabela1[[#This Row],[Entrada]]="",Tabela1[[#This Row],[Saída]]=""), "", Tabela1[[#This Row],[Saída]]-Tabela1[[#This Row],[Entrada]])</f>
        <v/>
      </c>
      <c r="U1087" s="1"/>
      <c r="V1087" s="1" t="s">
        <v>226</v>
      </c>
      <c r="W1087" s="2"/>
      <c r="X1087" s="2"/>
    </row>
    <row r="1088" spans="11:24" ht="15" hidden="1" customHeight="1">
      <c r="K1088" s="5">
        <v>46116</v>
      </c>
      <c r="L1088" s="8" t="s">
        <v>114</v>
      </c>
      <c r="M1088" s="9" t="str">
        <f>IF(Tabela1[[#This Row],[Motorista]]="","",IFERROR(_xlfn.XLOOKUP(Tabela1[[#This Row],[Motorista]],Base!A:A,Base!B:B),""))</f>
        <v>FOB</v>
      </c>
      <c r="N1088" s="20" t="str">
        <f t="shared" si="46"/>
        <v>Aguardando Entrada</v>
      </c>
      <c r="O10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8" s="4">
        <v>0.25</v>
      </c>
      <c r="Q1088" s="4"/>
      <c r="R1088" s="23"/>
      <c r="S1088" s="16"/>
      <c r="T1088" s="14" t="str">
        <f>IF(OR(Tabela1[[#This Row],[Entrada]]="",Tabela1[[#This Row],[Saída]]=""), "", Tabela1[[#This Row],[Saída]]-Tabela1[[#This Row],[Entrada]])</f>
        <v/>
      </c>
      <c r="U1088" s="1"/>
      <c r="V1088" s="1" t="s">
        <v>286</v>
      </c>
      <c r="W1088" s="2"/>
      <c r="X1088" s="2"/>
    </row>
    <row r="1089" spans="11:24" ht="15" hidden="1" customHeight="1">
      <c r="K1089" s="5">
        <v>46116</v>
      </c>
      <c r="L1089" s="8" t="s">
        <v>49</v>
      </c>
      <c r="M1089" s="9" t="str">
        <f>IF(Tabela1[[#This Row],[Motorista]]="","",IFERROR(_xlfn.XLOOKUP(Tabela1[[#This Row],[Motorista]],Base!A:A,Base!B:B),""))</f>
        <v>CIF</v>
      </c>
      <c r="N1089" s="20" t="str">
        <f t="shared" si="46"/>
        <v>Finalizado</v>
      </c>
      <c r="O10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89" s="4">
        <v>0.25208333333333333</v>
      </c>
      <c r="Q1089" s="4"/>
      <c r="R1089" s="23">
        <v>0.41458333333333336</v>
      </c>
      <c r="S1089" s="16"/>
      <c r="T1089" s="14" t="str">
        <f>IF(OR(Tabela1[[#This Row],[Entrada]]="",Tabela1[[#This Row],[Saída]]=""), "", Tabela1[[#This Row],[Saída]]-Tabela1[[#This Row],[Entrada]])</f>
        <v/>
      </c>
      <c r="U1089" s="71"/>
      <c r="V1089" s="1"/>
      <c r="W1089" s="2"/>
      <c r="X1089" s="2"/>
    </row>
    <row r="1090" spans="11:24" ht="15" hidden="1" customHeight="1">
      <c r="K1090" s="5">
        <v>46116</v>
      </c>
      <c r="L1090" s="8" t="s">
        <v>125</v>
      </c>
      <c r="M1090" s="9" t="str">
        <f>IF(Tabela1[[#This Row],[Motorista]]="","",IFERROR(_xlfn.XLOOKUP(Tabela1[[#This Row],[Motorista]],Base!A:A,Base!B:B),""))</f>
        <v>FOB</v>
      </c>
      <c r="N1090" s="20" t="str">
        <f t="shared" si="46"/>
        <v>Aguardando Entrada</v>
      </c>
      <c r="O10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0" s="4">
        <v>0.25624999999999998</v>
      </c>
      <c r="Q1090" s="4"/>
      <c r="R1090" s="23"/>
      <c r="S1090" s="16"/>
      <c r="T1090" s="14" t="str">
        <f>IF(OR(Tabela1[[#This Row],[Entrada]]="",Tabela1[[#This Row],[Saída]]=""), "", Tabela1[[#This Row],[Saída]]-Tabela1[[#This Row],[Entrada]])</f>
        <v/>
      </c>
      <c r="U1090" s="58">
        <f>IF(OR('Controle de CT'!$R1089= "", 'Controle de CT'!$P1089= ""), "", 'Controle de CT'!$R1089-'Controle de CT'!$P1089)</f>
        <v>0.16250000000000003</v>
      </c>
      <c r="V1090" s="1" t="s">
        <v>287</v>
      </c>
      <c r="W1090" s="2"/>
      <c r="X1090" s="2"/>
    </row>
    <row r="1091" spans="11:24" ht="15" hidden="1" customHeight="1">
      <c r="K1091" s="5">
        <v>46116</v>
      </c>
      <c r="L1091" s="8" t="s">
        <v>288</v>
      </c>
      <c r="M1091" s="9" t="str">
        <f>IF(Tabela1[[#This Row],[Motorista]]="","",IFERROR(_xlfn.XLOOKUP(Tabela1[[#This Row],[Motorista]],Base!A:A,Base!B:B),""))</f>
        <v>FOB</v>
      </c>
      <c r="N1091" s="20" t="str">
        <f t="shared" si="46"/>
        <v>Aguardando Entrada</v>
      </c>
      <c r="O10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1" s="4">
        <v>0.25624999999999998</v>
      </c>
      <c r="Q1091" s="4"/>
      <c r="R1091" s="23"/>
      <c r="S1091" s="16"/>
      <c r="T1091" s="14" t="str">
        <f>IF(OR(Tabela1[[#This Row],[Entrada]]="",Tabela1[[#This Row],[Saída]]=""), "", Tabela1[[#This Row],[Saída]]-Tabela1[[#This Row],[Entrada]])</f>
        <v/>
      </c>
      <c r="U1091" s="1"/>
      <c r="V1091" s="1" t="s">
        <v>289</v>
      </c>
      <c r="W1091" s="2"/>
      <c r="X1091" s="2"/>
    </row>
    <row r="1092" spans="11:24" ht="15" hidden="1" customHeight="1">
      <c r="K1092" s="5">
        <v>46116</v>
      </c>
      <c r="L1092" s="8" t="s">
        <v>46</v>
      </c>
      <c r="M1092" s="9" t="str">
        <f>IF(Tabela1[[#This Row],[Motorista]]="","",IFERROR(_xlfn.XLOOKUP(Tabela1[[#This Row],[Motorista]],Base!A:A,Base!B:B),""))</f>
        <v>CIF</v>
      </c>
      <c r="N1092" s="20" t="str">
        <f t="shared" si="46"/>
        <v>Finalizado</v>
      </c>
      <c r="O10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2" s="4">
        <v>0.25694444444444442</v>
      </c>
      <c r="Q1092" s="4"/>
      <c r="R1092" s="23">
        <v>0.41597222222222224</v>
      </c>
      <c r="S1092" s="16"/>
      <c r="T1092" s="14" t="str">
        <f>IF(OR(Tabela1[[#This Row],[Entrada]]="",Tabela1[[#This Row],[Saída]]=""), "", Tabela1[[#This Row],[Saída]]-Tabela1[[#This Row],[Entrada]])</f>
        <v/>
      </c>
      <c r="U1092" s="1"/>
      <c r="V1092" s="1"/>
      <c r="W1092" s="2"/>
      <c r="X1092" s="2"/>
    </row>
    <row r="1093" spans="11:24" ht="15" hidden="1" customHeight="1">
      <c r="K1093" s="5">
        <v>46116</v>
      </c>
      <c r="L1093" s="8" t="s">
        <v>47</v>
      </c>
      <c r="M1093" s="9" t="str">
        <f>IF(Tabela1[[#This Row],[Motorista]]="","",IFERROR(_xlfn.XLOOKUP(Tabela1[[#This Row],[Motorista]],Base!A:A,Base!B:B),""))</f>
        <v>CIF</v>
      </c>
      <c r="N1093" s="20" t="str">
        <f t="shared" si="46"/>
        <v>Finalizado</v>
      </c>
      <c r="O10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3" s="4">
        <v>0.25694444444444442</v>
      </c>
      <c r="Q1093" s="4">
        <v>0.37222222222222223</v>
      </c>
      <c r="R1093" s="23">
        <v>0.41597222222222224</v>
      </c>
      <c r="S1093" s="16"/>
      <c r="T1093" s="14">
        <f>IF(OR(Tabela1[[#This Row],[Entrada]]="",Tabela1[[#This Row],[Saída]]=""), "", Tabela1[[#This Row],[Saída]]-Tabela1[[#This Row],[Entrada]])</f>
        <v>4.3750000000000011E-2</v>
      </c>
      <c r="U1093" s="1"/>
      <c r="V1093" s="1"/>
      <c r="W1093" s="2"/>
      <c r="X1093" s="2"/>
    </row>
    <row r="1094" spans="11:24" ht="15" hidden="1" customHeight="1">
      <c r="K1094" s="5">
        <v>46116</v>
      </c>
      <c r="L1094" s="8" t="s">
        <v>86</v>
      </c>
      <c r="M1094" s="9" t="str">
        <f>IF(Tabela1[[#This Row],[Motorista]]="","",IFERROR(_xlfn.XLOOKUP(Tabela1[[#This Row],[Motorista]],Base!A:A,Base!B:B),""))</f>
        <v>FOB</v>
      </c>
      <c r="N1094" s="20" t="str">
        <f t="shared" si="46"/>
        <v>Finalizado</v>
      </c>
      <c r="O10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4" s="4">
        <v>0.27083333333333331</v>
      </c>
      <c r="Q1094" s="4">
        <v>0.40625</v>
      </c>
      <c r="R1094" s="23">
        <v>0.5</v>
      </c>
      <c r="S1094" s="16"/>
      <c r="T1094" s="14">
        <f>IF(OR(Tabela1[[#This Row],[Entrada]]="",Tabela1[[#This Row],[Saída]]=""), "", Tabela1[[#This Row],[Saída]]-Tabela1[[#This Row],[Entrada]])</f>
        <v>9.375E-2</v>
      </c>
      <c r="U1094" s="1"/>
      <c r="V1094" s="1"/>
      <c r="W1094" s="2"/>
      <c r="X1094" s="2"/>
    </row>
    <row r="1095" spans="11:24" ht="15" hidden="1" customHeight="1">
      <c r="K1095" s="5">
        <v>46116</v>
      </c>
      <c r="L1095" s="8" t="s">
        <v>92</v>
      </c>
      <c r="M1095" s="9" t="str">
        <f>IF(Tabela1[[#This Row],[Motorista]]="","",IFERROR(_xlfn.XLOOKUP(Tabela1[[#This Row],[Motorista]],Base!A:A,Base!B:B),""))</f>
        <v>FOB</v>
      </c>
      <c r="N1095" s="20" t="str">
        <f t="shared" si="46"/>
        <v>Finalizado</v>
      </c>
      <c r="O10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5" s="4">
        <v>0.27291666666666664</v>
      </c>
      <c r="Q1095" s="4">
        <v>0.40972222222222221</v>
      </c>
      <c r="R1095" s="23">
        <v>0.50902777777777775</v>
      </c>
      <c r="S1095" s="16"/>
      <c r="T1095" s="14">
        <f>IF(OR(Tabela1[[#This Row],[Entrada]]="",Tabela1[[#This Row],[Saída]]=""), "", Tabela1[[#This Row],[Saída]]-Tabela1[[#This Row],[Entrada]])</f>
        <v>9.9305555555555536E-2</v>
      </c>
      <c r="U1095" s="1"/>
      <c r="V1095" s="1"/>
      <c r="W1095" s="2"/>
      <c r="X1095" s="2"/>
    </row>
    <row r="1096" spans="11:24" ht="15" hidden="1" customHeight="1">
      <c r="K1096" s="5">
        <v>46116</v>
      </c>
      <c r="L1096" s="8" t="s">
        <v>126</v>
      </c>
      <c r="M1096" s="9" t="str">
        <f>IF(Tabela1[[#This Row],[Motorista]]="","",IFERROR(_xlfn.XLOOKUP(Tabela1[[#This Row],[Motorista]],Base!A:A,Base!B:B),""))</f>
        <v>Transferência</v>
      </c>
      <c r="N1096" s="20" t="str">
        <f t="shared" si="46"/>
        <v>Aguardando Entrada</v>
      </c>
      <c r="O10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6" s="4">
        <v>0.27638888888888891</v>
      </c>
      <c r="Q1096" s="4"/>
      <c r="R1096" s="23"/>
      <c r="S1096" s="16"/>
      <c r="T1096" s="14" t="str">
        <f>IF(OR(Tabela1[[#This Row],[Entrada]]="",Tabela1[[#This Row],[Saída]]=""), "", Tabela1[[#This Row],[Saída]]-Tabela1[[#This Row],[Entrada]])</f>
        <v/>
      </c>
      <c r="U1096" s="1"/>
      <c r="V1096" s="1"/>
      <c r="W1096" s="2"/>
      <c r="X1096" s="2"/>
    </row>
    <row r="1097" spans="11:24" ht="15" hidden="1" customHeight="1">
      <c r="K1097" s="5">
        <v>46116</v>
      </c>
      <c r="L1097" s="8" t="s">
        <v>152</v>
      </c>
      <c r="M1097" s="9" t="str">
        <f>IF(Tabela1[[#This Row],[Motorista]]="","",IFERROR(_xlfn.XLOOKUP(Tabela1[[#This Row],[Motorista]],Base!A:A,Base!B:B),""))</f>
        <v>RZD</v>
      </c>
      <c r="N1097" s="20" t="str">
        <f t="shared" si="46"/>
        <v>Aguardando Entrada</v>
      </c>
      <c r="O10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7" s="4">
        <v>0.27708333333333335</v>
      </c>
      <c r="Q1097" s="4"/>
      <c r="R1097" s="23"/>
      <c r="S1097" s="16"/>
      <c r="T1097" s="14" t="str">
        <f>IF(OR(Tabela1[[#This Row],[Entrada]]="",Tabela1[[#This Row],[Saída]]=""), "", Tabela1[[#This Row],[Saída]]-Tabela1[[#This Row],[Entrada]])</f>
        <v/>
      </c>
      <c r="U1097" s="1"/>
      <c r="V1097" s="1" t="s">
        <v>226</v>
      </c>
      <c r="W1097" s="2"/>
      <c r="X1097" s="2"/>
    </row>
    <row r="1098" spans="11:24" ht="15" hidden="1" customHeight="1">
      <c r="K1098" s="5">
        <v>46116</v>
      </c>
      <c r="L1098" s="8" t="s">
        <v>147</v>
      </c>
      <c r="M1098" s="9" t="str">
        <f>IF(Tabela1[[#This Row],[Motorista]]="","",IFERROR(_xlfn.XLOOKUP(Tabela1[[#This Row],[Motorista]],Base!A:A,Base!B:B),""))</f>
        <v>Transferência</v>
      </c>
      <c r="N1098" s="20" t="str">
        <f t="shared" si="46"/>
        <v>Aguardando Entrada</v>
      </c>
      <c r="O10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8" s="4">
        <v>0.28958333333333336</v>
      </c>
      <c r="Q1098" s="4"/>
      <c r="R1098" s="23"/>
      <c r="S1098" s="16"/>
      <c r="T1098" s="14" t="str">
        <f>IF(OR(Tabela1[[#This Row],[Entrada]]="",Tabela1[[#This Row],[Saída]]=""), "", Tabela1[[#This Row],[Saída]]-Tabela1[[#This Row],[Entrada]])</f>
        <v/>
      </c>
      <c r="U1098" s="1"/>
      <c r="V1098" s="1" t="s">
        <v>226</v>
      </c>
      <c r="W1098" s="2"/>
      <c r="X1098" s="2"/>
    </row>
    <row r="1099" spans="11:24" ht="15" hidden="1" customHeight="1">
      <c r="K1099" s="5">
        <v>46116</v>
      </c>
      <c r="L1099" s="8" t="s">
        <v>183</v>
      </c>
      <c r="M1099" s="9" t="str">
        <f>IF(Tabela1[[#This Row],[Motorista]]="","",IFERROR(_xlfn.XLOOKUP(Tabela1[[#This Row],[Motorista]],Base!A:A,Base!B:B),""))</f>
        <v>FOB</v>
      </c>
      <c r="N1099" s="20" t="str">
        <f t="shared" si="46"/>
        <v>Fila de Carregamento</v>
      </c>
      <c r="O10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099" s="4">
        <v>0.29722222222222222</v>
      </c>
      <c r="Q1099" s="4">
        <v>0.47291666666666665</v>
      </c>
      <c r="R1099" s="23"/>
      <c r="S1099" s="16"/>
      <c r="T1099" s="14" t="str">
        <f>IF(OR(Tabela1[[#This Row],[Entrada]]="",Tabela1[[#This Row],[Saída]]=""), "", Tabela1[[#This Row],[Saída]]-Tabela1[[#This Row],[Entrada]])</f>
        <v/>
      </c>
      <c r="U1099" s="1"/>
      <c r="V1099" s="1" t="s">
        <v>290</v>
      </c>
      <c r="W1099" s="2"/>
      <c r="X1099" s="2"/>
    </row>
    <row r="1100" spans="11:24" ht="15" hidden="1" customHeight="1">
      <c r="K1100" s="5">
        <v>46116</v>
      </c>
      <c r="L1100" s="8" t="s">
        <v>291</v>
      </c>
      <c r="M1100" s="9" t="str">
        <f>IF(Tabela1[[#This Row],[Motorista]]="","",IFERROR(_xlfn.XLOOKUP(Tabela1[[#This Row],[Motorista]],Base!A:A,Base!B:B),""))</f>
        <v>FOB</v>
      </c>
      <c r="N1100" s="20" t="str">
        <f t="shared" si="46"/>
        <v>Aguardando Entrada</v>
      </c>
      <c r="O11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0" s="4">
        <v>0.32222222222222224</v>
      </c>
      <c r="Q1100" s="4"/>
      <c r="R1100" s="23"/>
      <c r="S1100" s="16"/>
      <c r="T1100" s="71"/>
      <c r="U1100" s="58">
        <f>IF(OR('Controle de CT'!$R1103= "", 'Controle de CT'!$P1103= ""), "", 'Controle de CT'!$R1103-'Controle de CT'!$P1103)</f>
        <v>0.12222222222222218</v>
      </c>
      <c r="V1100" s="1"/>
      <c r="W1100" s="2"/>
      <c r="X1100" s="2"/>
    </row>
    <row r="1101" spans="11:24" ht="15" hidden="1" customHeight="1">
      <c r="K1101" s="5">
        <v>46116</v>
      </c>
      <c r="L1101" s="8" t="s">
        <v>292</v>
      </c>
      <c r="M1101" s="9" t="str">
        <f>IF(Tabela1[[#This Row],[Motorista]]="","",IFERROR(_xlfn.XLOOKUP(Tabela1[[#This Row],[Motorista]],Base!A:A,Base!B:B),""))</f>
        <v>Transferência</v>
      </c>
      <c r="N1101" s="20" t="str">
        <f t="shared" si="46"/>
        <v>Aguardando Entrada</v>
      </c>
      <c r="O11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1" s="4">
        <v>0.38541666666666669</v>
      </c>
      <c r="Q1101" s="4"/>
      <c r="R1101" s="23"/>
      <c r="S1101" s="16"/>
      <c r="T1101" s="14" t="str">
        <f>IF(OR(Tabela1[[#This Row],[Entrada]]="",Tabela1[[#This Row],[Saída]]=""), "", Tabela1[[#This Row],[Saída]]-Tabela1[[#This Row],[Entrada]])</f>
        <v/>
      </c>
      <c r="U1101" s="1"/>
      <c r="V1101" s="1"/>
      <c r="W1101" s="2"/>
      <c r="X1101" s="2"/>
    </row>
    <row r="1102" spans="11:24" ht="15" hidden="1" customHeight="1">
      <c r="K1102" s="5">
        <v>46116</v>
      </c>
      <c r="L1102" s="8" t="s">
        <v>163</v>
      </c>
      <c r="M1102" s="9" t="str">
        <f>IF(Tabela1[[#This Row],[Motorista]]="","",IFERROR(_xlfn.XLOOKUP(Tabela1[[#This Row],[Motorista]],Base!A:A,Base!B:B),""))</f>
        <v>Transferência</v>
      </c>
      <c r="N1102" s="20" t="str">
        <f t="shared" ref="N1102:N1133" si="47">IF(R1102&lt;&gt;"","Finalizado", IF(Q1102&lt;&gt;"","Fila de Carregamento", IF(P1102&lt;&gt;"","Aguardando Entrada","")))</f>
        <v>Aguardando Entrada</v>
      </c>
      <c r="O11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2" s="4">
        <v>0.39166666666666666</v>
      </c>
      <c r="Q1102" s="4"/>
      <c r="R1102" s="23"/>
      <c r="S1102" s="16"/>
      <c r="T1102" s="14" t="str">
        <f>IF(OR(Tabela1[[#This Row],[Entrada]]="",Tabela1[[#This Row],[Saída]]=""), "", Tabela1[[#This Row],[Saída]]-Tabela1[[#This Row],[Entrada]])</f>
        <v/>
      </c>
      <c r="U1102" s="1"/>
      <c r="V1102" s="1"/>
      <c r="W1102" s="2"/>
      <c r="X1102" s="2"/>
    </row>
    <row r="1103" spans="11:24" ht="15" hidden="1" customHeight="1">
      <c r="K1103" s="5">
        <v>46116</v>
      </c>
      <c r="L1103" s="8" t="s">
        <v>91</v>
      </c>
      <c r="M1103" s="9" t="str">
        <f>IF(Tabela1[[#This Row],[Motorista]]="","",IFERROR(_xlfn.XLOOKUP(Tabela1[[#This Row],[Motorista]],Base!A:A,Base!B:B),""))</f>
        <v>FOB</v>
      </c>
      <c r="N1103" s="20" t="str">
        <f t="shared" si="47"/>
        <v>Finalizado</v>
      </c>
      <c r="O11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3" s="4">
        <v>0.39166666666666666</v>
      </c>
      <c r="Q1103" s="4">
        <v>0.45</v>
      </c>
      <c r="R1103" s="23">
        <v>0.51388888888888884</v>
      </c>
      <c r="S1103" s="16"/>
      <c r="T1103" s="57">
        <f>IF(OR(Tabela1[[#This Row],[Entrada]]="",Tabela1[[#This Row],[Saída]]=""), "", Tabela1[[#This Row],[Saída]]-Tabela1[[#This Row],[Entrada]])</f>
        <v>6.3888888888888828E-2</v>
      </c>
      <c r="U1103" s="71"/>
      <c r="V1103" s="1"/>
      <c r="W1103" s="2"/>
      <c r="X1103" s="2"/>
    </row>
    <row r="1104" spans="11:24" ht="15" hidden="1" customHeight="1">
      <c r="K1104" s="5">
        <v>46116</v>
      </c>
      <c r="L1104" s="8" t="s">
        <v>127</v>
      </c>
      <c r="M1104" s="9" t="str">
        <f>IF(Tabela1[[#This Row],[Motorista]]="","",IFERROR(_xlfn.XLOOKUP(Tabela1[[#This Row],[Motorista]],Base!A:A,Base!B:B),""))</f>
        <v>Transferência</v>
      </c>
      <c r="N1104" s="20" t="str">
        <f t="shared" si="47"/>
        <v>Aguardando Entrada</v>
      </c>
      <c r="O11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4" s="4">
        <v>0.48194444444444445</v>
      </c>
      <c r="Q1104" s="4"/>
      <c r="R1104" s="23"/>
      <c r="S1104" s="16"/>
      <c r="T1104" s="1"/>
      <c r="U1104" s="15" t="str">
        <f>IF(OR('Controle de CT'!$R1104= "", 'Controle de CT'!$P1104= ""), "", 'Controle de CT'!$R1104-'Controle de CT'!$P1104)</f>
        <v/>
      </c>
      <c r="V1104" s="1"/>
      <c r="W1104" s="2"/>
      <c r="X1104" s="2"/>
    </row>
    <row r="1105" spans="11:24" ht="15" hidden="1" customHeight="1">
      <c r="K1105" s="5">
        <v>46116</v>
      </c>
      <c r="L1105" s="8" t="s">
        <v>55</v>
      </c>
      <c r="M1105" s="9" t="str">
        <f>IF(Tabela1[[#This Row],[Motorista]]="","",IFERROR(_xlfn.XLOOKUP(Tabela1[[#This Row],[Motorista]],Base!A:A,Base!B:B),""))</f>
        <v>CIF</v>
      </c>
      <c r="N1105" s="20" t="str">
        <f t="shared" si="47"/>
        <v>Finalizado</v>
      </c>
      <c r="O11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05" s="4">
        <v>0.48194444444444445</v>
      </c>
      <c r="Q1105" s="4">
        <v>0.51875000000000004</v>
      </c>
      <c r="R1105" s="23">
        <v>0.55486111111111114</v>
      </c>
      <c r="S1105" s="16"/>
      <c r="T1105" s="1"/>
      <c r="U1105" s="15">
        <f>IF(OR('Controle de CT'!$R1105= "", 'Controle de CT'!$P1105= ""), "", 'Controle de CT'!$R1105-'Controle de CT'!$P1105)</f>
        <v>7.2916666666666685E-2</v>
      </c>
      <c r="V1105" s="1"/>
      <c r="W1105" s="2"/>
      <c r="X1105" s="2"/>
    </row>
    <row r="1106" spans="11:24" ht="15" hidden="1" customHeight="1">
      <c r="K1106" s="5">
        <v>46116</v>
      </c>
      <c r="L1106" s="8" t="s">
        <v>116</v>
      </c>
      <c r="M1106" s="9" t="str">
        <f>IF(Tabela1[[#This Row],[Motorista]]="","",IFERROR(_xlfn.XLOOKUP(Tabela1[[#This Row],[Motorista]],Base!A:A,Base!B:B),""))</f>
        <v xml:space="preserve">CIF </v>
      </c>
      <c r="N1106" s="20" t="str">
        <f t="shared" si="47"/>
        <v>Aguardando Entrada</v>
      </c>
      <c r="O11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06" s="4">
        <v>0.21249999999999999</v>
      </c>
      <c r="Q1106" s="4"/>
      <c r="R1106" s="23"/>
      <c r="S1106" s="16"/>
      <c r="T1106" s="1"/>
      <c r="U1106" s="15" t="str">
        <f>IF(OR('Controle de CT'!$R1106= "", 'Controle de CT'!$P1106= ""), "", 'Controle de CT'!$R1106-'Controle de CT'!$P1106)</f>
        <v/>
      </c>
      <c r="V1106" s="1"/>
      <c r="W1106" s="2"/>
      <c r="X1106" s="2"/>
    </row>
    <row r="1107" spans="11:24" ht="15" hidden="1" customHeight="1">
      <c r="K1107" s="5">
        <v>46116</v>
      </c>
      <c r="L1107" s="8" t="s">
        <v>278</v>
      </c>
      <c r="M1107" s="9" t="str">
        <f>IF(Tabela1[[#This Row],[Motorista]]="","",IFERROR(_xlfn.XLOOKUP(Tabela1[[#This Row],[Motorista]],Base!A:A,Base!B:B),""))</f>
        <v>FOB</v>
      </c>
      <c r="N1107" s="20" t="str">
        <f t="shared" si="47"/>
        <v>Aguardando Entrada</v>
      </c>
      <c r="O11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7" s="4">
        <v>0.375</v>
      </c>
      <c r="Q1107" s="4"/>
      <c r="R1107" s="23"/>
      <c r="S1107" s="16"/>
      <c r="T1107" s="1"/>
      <c r="U1107" s="15" t="str">
        <f>IF(OR('Controle de CT'!$R1107= "", 'Controle de CT'!$P1107= ""), "", 'Controle de CT'!$R1107-'Controle de CT'!$P1107)</f>
        <v/>
      </c>
      <c r="V1107" s="1"/>
      <c r="W1107" s="2"/>
      <c r="X1107" s="2"/>
    </row>
    <row r="1108" spans="11:24" ht="15" hidden="1" customHeight="1">
      <c r="K1108" s="5">
        <v>46116</v>
      </c>
      <c r="L1108" s="8" t="s">
        <v>162</v>
      </c>
      <c r="M1108" s="9" t="str">
        <f>IF(Tabela1[[#This Row],[Motorista]]="","",IFERROR(_xlfn.XLOOKUP(Tabela1[[#This Row],[Motorista]],Base!A:A,Base!B:B),""))</f>
        <v>FOB</v>
      </c>
      <c r="N1108" s="20" t="str">
        <f t="shared" si="47"/>
        <v>Finalizado</v>
      </c>
      <c r="O11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08" s="4">
        <v>0.21249999999999999</v>
      </c>
      <c r="Q1108" s="4"/>
      <c r="R1108" s="23">
        <v>0.54791666666666672</v>
      </c>
      <c r="S1108" s="16"/>
      <c r="T1108" s="1"/>
      <c r="U1108" s="15">
        <f>IF(OR('Controle de CT'!$R1108= "", 'Controle de CT'!$P1108= ""), "", 'Controle de CT'!$R1108-'Controle de CT'!$P1108)</f>
        <v>0.3354166666666667</v>
      </c>
      <c r="V1108" s="1"/>
      <c r="W1108" s="2"/>
      <c r="X1108" s="2"/>
    </row>
    <row r="1109" spans="11:24" ht="15" hidden="1" customHeight="1">
      <c r="K1109" s="5">
        <v>46116</v>
      </c>
      <c r="L1109" s="8" t="s">
        <v>255</v>
      </c>
      <c r="M1109" s="9">
        <f>IF(Tabela1[[#This Row],[Motorista]]="","",IFERROR(_xlfn.XLOOKUP(Tabela1[[#This Row],[Motorista]],Base!A:A,Base!B:B),""))</f>
        <v>0</v>
      </c>
      <c r="N1109" s="20" t="str">
        <f t="shared" si="47"/>
        <v>Finalizado</v>
      </c>
      <c r="O11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09" s="4"/>
      <c r="Q1109" s="4"/>
      <c r="R1109" s="23">
        <v>0.63194444444444442</v>
      </c>
      <c r="S1109" s="16"/>
      <c r="T1109" s="14" t="str">
        <f>IF(OR(Tabela1[[#This Row],[Entrada]]="",Tabela1[[#This Row],[Saída]]=""), "", Tabela1[[#This Row],[Saída]]-Tabela1[[#This Row],[Entrada]])</f>
        <v/>
      </c>
      <c r="U1109" s="15" t="str">
        <f>IF(OR('Controle de CT'!$R1109= "", 'Controle de CT'!$P1109= ""), "", 'Controle de CT'!$R1109-'Controle de CT'!$P1109)</f>
        <v/>
      </c>
      <c r="V1109" s="1"/>
      <c r="W1109" s="2"/>
      <c r="X1109" s="2"/>
    </row>
    <row r="1110" spans="11:24" ht="15" hidden="1" customHeight="1">
      <c r="K1110" s="5">
        <v>46116</v>
      </c>
      <c r="L1110" s="8" t="s">
        <v>57</v>
      </c>
      <c r="M1110" s="9" t="str">
        <f>IF(Tabela1[[#This Row],[Motorista]]="","",IFERROR(_xlfn.XLOOKUP(Tabela1[[#This Row],[Motorista]],Base!A:A,Base!B:B),""))</f>
        <v>CIF</v>
      </c>
      <c r="N1110" s="20" t="str">
        <f t="shared" si="47"/>
        <v>Finalizado</v>
      </c>
      <c r="O11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10" s="4">
        <v>0.51527777777777772</v>
      </c>
      <c r="Q1110" s="4">
        <v>0.58333333333333337</v>
      </c>
      <c r="R1110" s="23">
        <v>0.6381944444444444</v>
      </c>
      <c r="S1110" s="16"/>
      <c r="T1110" s="14">
        <f>IF(OR(Tabela1[[#This Row],[Entrada]]="",Tabela1[[#This Row],[Saída]]=""), "", Tabela1[[#This Row],[Saída]]-Tabela1[[#This Row],[Entrada]])</f>
        <v>5.4861111111111027E-2</v>
      </c>
      <c r="U1110" s="15">
        <f>IF(OR('Controle de CT'!$R1110= "", 'Controle de CT'!$P1110= ""), "", 'Controle de CT'!$R1110-'Controle de CT'!$P1110)</f>
        <v>0.12291666666666667</v>
      </c>
      <c r="V1110" s="1"/>
      <c r="W1110" s="2"/>
      <c r="X1110" s="2"/>
    </row>
    <row r="1111" spans="11:24" ht="15" hidden="1" customHeight="1">
      <c r="K1111" s="5">
        <v>46118</v>
      </c>
      <c r="L1111" s="76" t="s">
        <v>150</v>
      </c>
      <c r="M1111" s="77" t="s">
        <v>63</v>
      </c>
      <c r="N1111" s="20" t="str">
        <f t="shared" si="47"/>
        <v>Finalizado</v>
      </c>
      <c r="O11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1" s="4">
        <v>0.2</v>
      </c>
      <c r="Q1111" s="4">
        <v>0.33124999999999999</v>
      </c>
      <c r="R1111" s="23">
        <v>0.33124999999999999</v>
      </c>
      <c r="S1111" s="73" t="s">
        <v>254</v>
      </c>
      <c r="T1111" s="1"/>
      <c r="V1111" s="1" t="s">
        <v>226</v>
      </c>
      <c r="W1111" s="2"/>
      <c r="X1111" s="2"/>
    </row>
    <row r="1112" spans="11:24" ht="15" hidden="1" customHeight="1">
      <c r="K1112" s="5">
        <v>46118</v>
      </c>
      <c r="L1112" s="8" t="s">
        <v>293</v>
      </c>
      <c r="M1112" s="9" t="s">
        <v>62</v>
      </c>
      <c r="N1112" s="20" t="str">
        <f t="shared" si="47"/>
        <v>Finalizado</v>
      </c>
      <c r="O11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2" s="4">
        <v>0.21319444444444444</v>
      </c>
      <c r="Q1112" s="4">
        <v>0.31527777777777777</v>
      </c>
      <c r="R1112" s="23">
        <v>0.34722222222222221</v>
      </c>
      <c r="S1112" s="73" t="s">
        <v>254</v>
      </c>
      <c r="T1112" s="1"/>
      <c r="V1112" s="1"/>
      <c r="W1112" s="2"/>
      <c r="X1112" s="2"/>
    </row>
    <row r="1113" spans="11:24" ht="15" hidden="1" customHeight="1">
      <c r="K1113" s="5">
        <v>46118</v>
      </c>
      <c r="L1113" s="7" t="s">
        <v>101</v>
      </c>
      <c r="M1113" s="22" t="str">
        <f>IF(Tabela1[[#This Row],[Motorista]]="","",IFERROR(_xlfn.XLOOKUP(Tabela1[[#This Row],[Motorista]],Base!A:A,Base!B:B),""))</f>
        <v>FOB</v>
      </c>
      <c r="N1113" s="20" t="str">
        <f t="shared" si="47"/>
        <v>Finalizado</v>
      </c>
      <c r="O11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3" s="4">
        <v>0.22291666666666668</v>
      </c>
      <c r="Q1113" s="4">
        <v>0.34513888888888888</v>
      </c>
      <c r="R1113" s="23">
        <v>0.40833333333333333</v>
      </c>
      <c r="S1113" s="73" t="s">
        <v>254</v>
      </c>
      <c r="T1113" s="1"/>
      <c r="V1113" s="1"/>
      <c r="W1113" s="2"/>
      <c r="X1113" s="2"/>
    </row>
    <row r="1114" spans="11:24" ht="15" hidden="1" customHeight="1">
      <c r="K1114" s="5">
        <v>46118</v>
      </c>
      <c r="L1114" s="76" t="s">
        <v>108</v>
      </c>
      <c r="M1114" s="9" t="s">
        <v>63</v>
      </c>
      <c r="N1114" s="20" t="str">
        <f t="shared" si="47"/>
        <v>Finalizado</v>
      </c>
      <c r="O11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4" s="4">
        <v>0.22569444444444445</v>
      </c>
      <c r="Q1114" s="4">
        <v>0.31111111111111112</v>
      </c>
      <c r="R1114" s="23">
        <v>0.40972222222222221</v>
      </c>
      <c r="S1114" s="73" t="s">
        <v>254</v>
      </c>
      <c r="T1114" s="1"/>
      <c r="V1114" s="1"/>
      <c r="W1114" s="2"/>
      <c r="X1114" s="2"/>
    </row>
    <row r="1115" spans="11:24" ht="15" hidden="1" customHeight="1">
      <c r="K1115" s="5">
        <v>46118</v>
      </c>
      <c r="L1115" t="s">
        <v>90</v>
      </c>
      <c r="M1115" s="24" t="s">
        <v>63</v>
      </c>
      <c r="N1115" s="20" t="str">
        <f t="shared" si="47"/>
        <v>Finalizado</v>
      </c>
      <c r="O11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15" s="4">
        <v>0.22916666666666666</v>
      </c>
      <c r="Q1115" s="4">
        <v>0.35694444444444445</v>
      </c>
      <c r="R1115" s="23">
        <v>0.39305555555555555</v>
      </c>
      <c r="S1115" s="73" t="s">
        <v>254</v>
      </c>
      <c r="T1115" s="1"/>
      <c r="V1115" s="1"/>
      <c r="W1115" s="2"/>
      <c r="X1115" s="2"/>
    </row>
    <row r="1116" spans="11:24" ht="15" hidden="1" customHeight="1">
      <c r="K1116" s="5">
        <v>46118</v>
      </c>
      <c r="L1116" s="76" t="s">
        <v>278</v>
      </c>
      <c r="M1116" s="24" t="s">
        <v>63</v>
      </c>
      <c r="N1116" s="20" t="str">
        <f t="shared" si="47"/>
        <v>Finalizado</v>
      </c>
      <c r="O11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16" s="4">
        <v>0.24166666666666667</v>
      </c>
      <c r="Q1116" s="4">
        <v>0.36180555555555555</v>
      </c>
      <c r="R1116" s="23">
        <v>0.41805555555555557</v>
      </c>
      <c r="S1116" s="73" t="s">
        <v>254</v>
      </c>
      <c r="T1116" s="71"/>
      <c r="U1116" s="4"/>
      <c r="V1116" s="1"/>
      <c r="W1116" s="2"/>
      <c r="X1116" s="2"/>
    </row>
    <row r="1117" spans="11:24" ht="15" hidden="1" customHeight="1">
      <c r="K1117" s="5">
        <v>46118</v>
      </c>
      <c r="L1117" s="7" t="s">
        <v>58</v>
      </c>
      <c r="M1117" s="22" t="str">
        <f>IF(Tabela1[[#This Row],[Motorista]]="","",IFERROR(_xlfn.XLOOKUP(Tabela1[[#This Row],[Motorista]],Base!A:A,Base!B:B),""))</f>
        <v xml:space="preserve">CIF </v>
      </c>
      <c r="N1117" s="20" t="str">
        <f t="shared" si="47"/>
        <v>Finalizado</v>
      </c>
      <c r="O11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17" s="4">
        <v>0.24513888888888888</v>
      </c>
      <c r="Q1117" s="4">
        <v>0.27916666666666667</v>
      </c>
      <c r="R1117" s="23">
        <v>0.32777777777777778</v>
      </c>
      <c r="S1117" s="73" t="s">
        <v>254</v>
      </c>
      <c r="T1117" s="1"/>
      <c r="V1117" s="1"/>
      <c r="W1117" s="2"/>
      <c r="X1117" s="2"/>
    </row>
    <row r="1118" spans="11:24" ht="15" hidden="1" customHeight="1">
      <c r="K1118" s="5">
        <v>46118</v>
      </c>
      <c r="L1118" s="7" t="s">
        <v>57</v>
      </c>
      <c r="M1118" s="22" t="str">
        <f>IF(Tabela1[[#This Row],[Motorista]]="","",IFERROR(_xlfn.XLOOKUP(Tabela1[[#This Row],[Motorista]],Base!A:A,Base!B:B),""))</f>
        <v>CIF</v>
      </c>
      <c r="N1118" s="20" t="str">
        <f t="shared" si="47"/>
        <v>Finalizado</v>
      </c>
      <c r="O11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18" s="4">
        <v>0.25069444444444444</v>
      </c>
      <c r="Q1118" s="4">
        <v>0.29652777777777778</v>
      </c>
      <c r="R1118" s="23">
        <v>0.33819444444444446</v>
      </c>
      <c r="S1118" s="73" t="s">
        <v>254</v>
      </c>
      <c r="T1118" s="1"/>
      <c r="V1118" s="1"/>
      <c r="W1118" s="2"/>
      <c r="X1118" s="2"/>
    </row>
    <row r="1119" spans="11:24" ht="15" hidden="1" customHeight="1">
      <c r="K1119" s="5">
        <v>46118</v>
      </c>
      <c r="L1119" s="76" t="s">
        <v>42</v>
      </c>
      <c r="M1119" s="71" t="s">
        <v>62</v>
      </c>
      <c r="N1119" s="20" t="str">
        <f t="shared" si="47"/>
        <v>Finalizado</v>
      </c>
      <c r="O11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19" s="4">
        <v>0.25069444444444444</v>
      </c>
      <c r="Q1119" s="4">
        <v>0.2902777777777778</v>
      </c>
      <c r="R1119" s="23">
        <v>0.33819444444444446</v>
      </c>
      <c r="S1119" s="73" t="s">
        <v>254</v>
      </c>
      <c r="T1119" s="1"/>
      <c r="V1119" s="1"/>
      <c r="W1119" s="2"/>
      <c r="X1119" s="2"/>
    </row>
    <row r="1120" spans="11:24" ht="15" hidden="1" customHeight="1">
      <c r="K1120" s="5">
        <v>46118</v>
      </c>
      <c r="L1120" s="76" t="s">
        <v>235</v>
      </c>
      <c r="M1120" s="76" t="s">
        <v>64</v>
      </c>
      <c r="N1120" s="20" t="str">
        <f t="shared" si="47"/>
        <v>Finalizado</v>
      </c>
      <c r="O11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0" s="4">
        <v>0.25347222222222221</v>
      </c>
      <c r="Q1120" s="4">
        <v>0.28125</v>
      </c>
      <c r="R1120" s="23">
        <v>0.28125</v>
      </c>
      <c r="S1120" s="73" t="s">
        <v>254</v>
      </c>
      <c r="T1120" s="1"/>
      <c r="V1120" s="1" t="s">
        <v>226</v>
      </c>
      <c r="W1120" s="2"/>
      <c r="X1120" s="2"/>
    </row>
    <row r="1121" spans="11:24" ht="15" hidden="1" customHeight="1">
      <c r="K1121" s="5">
        <v>46118</v>
      </c>
      <c r="L1121" s="7" t="s">
        <v>46</v>
      </c>
      <c r="M1121" s="9" t="str">
        <f>IF(Tabela1[[#This Row],[Motorista]]="","",IFERROR(_xlfn.XLOOKUP(Tabela1[[#This Row],[Motorista]],Base!A:A,Base!B:B),""))</f>
        <v>CIF</v>
      </c>
      <c r="N1121" s="20" t="str">
        <f t="shared" si="47"/>
        <v>Finalizado</v>
      </c>
      <c r="O11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21" s="4">
        <v>0.25486111111111109</v>
      </c>
      <c r="Q1121" s="4">
        <v>0.30555555555555558</v>
      </c>
      <c r="R1121" s="4">
        <v>0.36527777777777776</v>
      </c>
      <c r="S1121" s="73" t="s">
        <v>254</v>
      </c>
      <c r="T1121" s="1"/>
      <c r="V1121" s="1"/>
      <c r="W1121" s="2"/>
      <c r="X1121" s="2"/>
    </row>
    <row r="1122" spans="11:24" ht="15" hidden="1" customHeight="1">
      <c r="K1122" s="5">
        <v>46118</v>
      </c>
      <c r="L1122" t="s">
        <v>198</v>
      </c>
      <c r="M1122" s="24" t="s">
        <v>62</v>
      </c>
      <c r="N1122" s="20" t="str">
        <f t="shared" si="47"/>
        <v>Finalizado</v>
      </c>
      <c r="O11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22" s="4">
        <v>0.25486111111111109</v>
      </c>
      <c r="Q1122" s="4">
        <v>0.30763888888888891</v>
      </c>
      <c r="R1122" s="23">
        <v>0.34305555555555556</v>
      </c>
      <c r="S1122" s="73" t="s">
        <v>254</v>
      </c>
      <c r="T1122" s="1"/>
      <c r="V1122" s="1"/>
      <c r="W1122" s="2"/>
      <c r="X1122" s="2"/>
    </row>
    <row r="1123" spans="11:24" ht="15" hidden="1" customHeight="1">
      <c r="K1123" s="5">
        <v>46118</v>
      </c>
      <c r="L1123" t="s">
        <v>87</v>
      </c>
      <c r="M1123" s="24" t="s">
        <v>63</v>
      </c>
      <c r="N1123" s="20" t="str">
        <f t="shared" si="47"/>
        <v>Aguardando Entrada</v>
      </c>
      <c r="O11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3" s="4">
        <v>0.26180555555555557</v>
      </c>
      <c r="Q1123" s="4"/>
      <c r="R1123" s="23"/>
      <c r="S1123" s="74"/>
      <c r="T1123" s="1"/>
      <c r="V1123" s="1" t="s">
        <v>294</v>
      </c>
      <c r="W1123" s="2"/>
      <c r="X1123" s="2"/>
    </row>
    <row r="1124" spans="11:24" ht="15" hidden="1" customHeight="1">
      <c r="K1124" s="5">
        <v>46118</v>
      </c>
      <c r="L1124" s="7" t="s">
        <v>295</v>
      </c>
      <c r="M1124" s="22" t="s">
        <v>63</v>
      </c>
      <c r="N1124" s="20" t="str">
        <f t="shared" si="47"/>
        <v>Finalizado</v>
      </c>
      <c r="O11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4" s="4">
        <v>0.28749999999999998</v>
      </c>
      <c r="Q1124" s="4">
        <v>0.37361111111111112</v>
      </c>
      <c r="R1124" s="23">
        <v>0.4152777777777778</v>
      </c>
      <c r="S1124" s="73" t="s">
        <v>254</v>
      </c>
      <c r="T1124" s="1"/>
      <c r="V1124" s="1"/>
      <c r="W1124" s="2"/>
      <c r="X1124" s="2"/>
    </row>
    <row r="1125" spans="11:24" ht="15" hidden="1" customHeight="1">
      <c r="K1125" s="5">
        <v>46118</v>
      </c>
      <c r="L1125" s="8" t="s">
        <v>296</v>
      </c>
      <c r="M1125" s="9" t="s">
        <v>63</v>
      </c>
      <c r="N1125" s="20" t="str">
        <f t="shared" si="47"/>
        <v>Finalizado</v>
      </c>
      <c r="O11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25" s="4">
        <v>0.28888888888888886</v>
      </c>
      <c r="Q1125" s="4">
        <v>0.36805555555555558</v>
      </c>
      <c r="R1125" s="23">
        <v>0.43472222222222223</v>
      </c>
      <c r="S1125" s="73" t="s">
        <v>254</v>
      </c>
      <c r="T1125" s="57">
        <f>IF(OR(Tabela1[[#This Row],[Entrada]]="",Tabela1[[#This Row],[Saída]]=""), "", Tabela1[[#This Row],[Saída]]-Tabela1[[#This Row],[Entrada]])</f>
        <v>6.6666666666666652E-2</v>
      </c>
      <c r="U1125" s="58">
        <f>IF(OR('Controle de CT'!$R1126= "", 'Controle de CT'!$P1126= ""), "", 'Controle de CT'!$R1126-'Controle de CT'!$P1126)</f>
        <v>7.1527777777777746E-2</v>
      </c>
      <c r="V1125" s="1"/>
      <c r="W1125" s="2"/>
      <c r="X1125" s="2"/>
    </row>
    <row r="1126" spans="11:24" ht="15" hidden="1" customHeight="1">
      <c r="K1126" s="5">
        <v>46118</v>
      </c>
      <c r="L1126" s="8" t="s">
        <v>297</v>
      </c>
      <c r="M1126" s="77" t="s">
        <v>62</v>
      </c>
      <c r="N1126" s="20" t="str">
        <f t="shared" si="47"/>
        <v>Finalizado</v>
      </c>
      <c r="O11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26" s="4">
        <v>0.29444444444444445</v>
      </c>
      <c r="Q1126" s="4">
        <v>0.31458333333333333</v>
      </c>
      <c r="R1126" s="23">
        <v>0.3659722222222222</v>
      </c>
      <c r="S1126" s="73" t="s">
        <v>254</v>
      </c>
      <c r="T1126" s="14">
        <f>IF(OR(Tabela1[[#This Row],[Entrada]]="",Tabela1[[#This Row],[Saída]]=""), "", Tabela1[[#This Row],[Saída]]-Tabela1[[#This Row],[Entrada]])</f>
        <v>5.1388888888888873E-2</v>
      </c>
      <c r="U1126" s="15">
        <f>IF(OR('Controle de CT'!$R1116= "", 'Controle de CT'!$P1116= ""), "", 'Controle de CT'!$R1116-'Controle de CT'!$P1116)</f>
        <v>0.1763888888888889</v>
      </c>
      <c r="V1126" s="1"/>
      <c r="W1126" s="2"/>
      <c r="X1126" s="2"/>
    </row>
    <row r="1127" spans="11:24" ht="15" hidden="1" customHeight="1">
      <c r="K1127" s="5">
        <v>46118</v>
      </c>
      <c r="L1127" s="8" t="s">
        <v>298</v>
      </c>
      <c r="M1127" s="9" t="s">
        <v>63</v>
      </c>
      <c r="N1127" s="20" t="str">
        <f t="shared" si="47"/>
        <v>Aguardando Entrada</v>
      </c>
      <c r="O11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7" s="4">
        <v>0.31874999999999998</v>
      </c>
      <c r="Q1127" s="4"/>
      <c r="R1127" s="23"/>
      <c r="S1127" s="16"/>
      <c r="T1127" s="1"/>
      <c r="V1127" s="1" t="s">
        <v>299</v>
      </c>
      <c r="W1127" s="2"/>
      <c r="X1127" s="2"/>
    </row>
    <row r="1128" spans="11:24" ht="15" hidden="1" customHeight="1">
      <c r="K1128" s="5">
        <v>46118</v>
      </c>
      <c r="L1128" t="s">
        <v>300</v>
      </c>
      <c r="M1128" s="24" t="s">
        <v>63</v>
      </c>
      <c r="N1128" s="20" t="str">
        <f t="shared" si="47"/>
        <v>Aguardando Entrada</v>
      </c>
      <c r="O11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8" s="4">
        <v>0.3215277777777778</v>
      </c>
      <c r="Q1128" s="4"/>
      <c r="R1128" s="23"/>
      <c r="S1128" s="75"/>
      <c r="T1128" s="1"/>
      <c r="U1128" s="58" t="str">
        <f>IF(OR('Controle de CT'!$R1147= "", 'Controle de CT'!$P1147= ""), "", 'Controle de CT'!$R1147-'Controle de CT'!$P1147)</f>
        <v/>
      </c>
      <c r="V1128" s="1" t="s">
        <v>226</v>
      </c>
      <c r="W1128" s="2"/>
      <c r="X1128" s="2"/>
    </row>
    <row r="1129" spans="11:24" ht="15" hidden="1" customHeight="1">
      <c r="K1129" s="5">
        <v>46118</v>
      </c>
      <c r="L1129" t="s">
        <v>127</v>
      </c>
      <c r="M1129" t="s">
        <v>64</v>
      </c>
      <c r="N1129" s="20" t="str">
        <f t="shared" si="47"/>
        <v>Finalizado</v>
      </c>
      <c r="O11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29" s="4">
        <v>0.39166666666666666</v>
      </c>
      <c r="Q1129" s="4">
        <v>0.42569444444444443</v>
      </c>
      <c r="R1129" s="23">
        <v>0.51527777777777772</v>
      </c>
      <c r="S1129" s="73" t="s">
        <v>254</v>
      </c>
      <c r="T1129" s="1"/>
      <c r="V1129" s="1" t="s">
        <v>301</v>
      </c>
      <c r="W1129" s="2"/>
      <c r="X1129" s="2"/>
    </row>
    <row r="1130" spans="11:24" ht="15" hidden="1" customHeight="1">
      <c r="K1130" s="5">
        <v>46118</v>
      </c>
      <c r="L1130" t="s">
        <v>124</v>
      </c>
      <c r="M1130" t="s">
        <v>64</v>
      </c>
      <c r="N1130" s="20" t="str">
        <f t="shared" si="47"/>
        <v>Finalizado</v>
      </c>
      <c r="O11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0" s="4">
        <v>0.41388888888888886</v>
      </c>
      <c r="Q1130" s="4">
        <v>0.42708333333333331</v>
      </c>
      <c r="R1130" s="23">
        <v>0.46805555555555556</v>
      </c>
      <c r="S1130" s="73" t="s">
        <v>254</v>
      </c>
      <c r="T1130" s="1"/>
      <c r="V1130" s="1" t="s">
        <v>302</v>
      </c>
      <c r="W1130" s="2"/>
      <c r="X1130" s="2"/>
    </row>
    <row r="1131" spans="11:24" ht="15" hidden="1" customHeight="1">
      <c r="K1131" s="5">
        <v>46118</v>
      </c>
      <c r="L1131" t="s">
        <v>44</v>
      </c>
      <c r="M1131" s="24" t="s">
        <v>62</v>
      </c>
      <c r="N1131" s="20" t="str">
        <f t="shared" si="47"/>
        <v>Finalizado</v>
      </c>
      <c r="O11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1" s="4">
        <v>0.4375</v>
      </c>
      <c r="Q1131" s="4">
        <v>0.43888888888888888</v>
      </c>
      <c r="R1131" s="23">
        <v>0.50277777777777777</v>
      </c>
      <c r="S1131" s="73" t="s">
        <v>254</v>
      </c>
      <c r="T1131" s="1"/>
      <c r="V1131" s="1"/>
      <c r="W1131" s="2"/>
      <c r="X1131" s="2"/>
    </row>
    <row r="1132" spans="11:24" ht="15" hidden="1" customHeight="1">
      <c r="K1132" s="5">
        <v>46118</v>
      </c>
      <c r="L1132" s="7" t="s">
        <v>297</v>
      </c>
      <c r="M1132" s="24" t="s">
        <v>62</v>
      </c>
      <c r="N1132" s="20" t="str">
        <f t="shared" si="47"/>
        <v>Finalizado</v>
      </c>
      <c r="O11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32" s="4">
        <v>0.44444444444444442</v>
      </c>
      <c r="Q1132" s="4">
        <v>0.45277777777777778</v>
      </c>
      <c r="R1132" s="23">
        <v>0.5180555555555556</v>
      </c>
      <c r="S1132" s="73" t="s">
        <v>254</v>
      </c>
      <c r="T1132" s="1"/>
      <c r="V1132" s="1"/>
      <c r="W1132" s="2"/>
      <c r="X1132" s="2"/>
    </row>
    <row r="1133" spans="11:24" ht="15" hidden="1" customHeight="1">
      <c r="K1133" s="5">
        <v>46118</v>
      </c>
      <c r="L1133" s="76" t="s">
        <v>163</v>
      </c>
      <c r="M1133" t="s">
        <v>64</v>
      </c>
      <c r="N1133" s="20" t="str">
        <f t="shared" si="47"/>
        <v>Finalizado</v>
      </c>
      <c r="O11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3" s="4">
        <v>0.44930555555555557</v>
      </c>
      <c r="Q1133" s="4">
        <v>0.52569444444444446</v>
      </c>
      <c r="R1133" s="23">
        <v>0.52569444444444446</v>
      </c>
      <c r="S1133" s="73" t="s">
        <v>254</v>
      </c>
      <c r="T1133" s="1"/>
      <c r="V1133" s="1" t="s">
        <v>303</v>
      </c>
      <c r="W1133" s="2"/>
      <c r="X1133" s="2"/>
    </row>
    <row r="1134" spans="11:24" ht="15" hidden="1" customHeight="1">
      <c r="K1134" s="5">
        <v>46118</v>
      </c>
      <c r="L1134" s="8" t="s">
        <v>57</v>
      </c>
      <c r="M1134" s="9" t="str">
        <f>IF(Tabela1[[#This Row],[Motorista]]="","",IFERROR(_xlfn.XLOOKUP(Tabela1[[#This Row],[Motorista]],Base!A:A,Base!B:B),""))</f>
        <v>CIF</v>
      </c>
      <c r="N1134" s="20" t="str">
        <f t="shared" ref="N1134:N1165" si="48">IF(R1134&lt;&gt;"","Finalizado", IF(Q1134&lt;&gt;"","Fila de Carregamento", IF(P1134&lt;&gt;"","Aguardando Entrada","")))</f>
        <v>Finalizado</v>
      </c>
      <c r="O11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34" s="4">
        <v>0.45694444444444443</v>
      </c>
      <c r="Q1134" s="4">
        <v>0.48541666666666666</v>
      </c>
      <c r="R1134" s="23">
        <v>0.53611111111111109</v>
      </c>
      <c r="S1134" s="73" t="s">
        <v>254</v>
      </c>
      <c r="T1134" s="1"/>
      <c r="U1134" s="15">
        <f>IF(OR('Controle de CT'!$R1134= "", 'Controle de CT'!$P1134= ""), "", 'Controle de CT'!$R1134-'Controle de CT'!$P1134)</f>
        <v>7.9166666666666663E-2</v>
      </c>
      <c r="V1134" s="1"/>
      <c r="W1134" s="2"/>
      <c r="X1134" s="2"/>
    </row>
    <row r="1135" spans="11:24" ht="15" hidden="1" customHeight="1">
      <c r="K1135" s="5">
        <v>46118</v>
      </c>
      <c r="L1135" s="8" t="s">
        <v>58</v>
      </c>
      <c r="M1135" s="9" t="str">
        <f>IF(Tabela1[[#This Row],[Motorista]]="","",IFERROR(_xlfn.XLOOKUP(Tabela1[[#This Row],[Motorista]],Base!A:A,Base!B:B),""))</f>
        <v xml:space="preserve">CIF </v>
      </c>
      <c r="N1135" s="20" t="str">
        <f t="shared" si="48"/>
        <v>Finalizado</v>
      </c>
      <c r="O11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35" s="4">
        <v>0.45694444444444443</v>
      </c>
      <c r="Q1135" s="4">
        <v>0.47361111111111109</v>
      </c>
      <c r="R1135" s="23">
        <v>0.53402777777777777</v>
      </c>
      <c r="S1135" s="73" t="s">
        <v>254</v>
      </c>
      <c r="T1135" s="1"/>
      <c r="U1135" s="15">
        <f>IF(OR('Controle de CT'!$R1135= "", 'Controle de CT'!$P1135= ""), "", 'Controle de CT'!$R1135-'Controle de CT'!$P1135)</f>
        <v>7.7083333333333337E-2</v>
      </c>
      <c r="V1135" s="1"/>
      <c r="W1135" s="2"/>
      <c r="X1135" s="2"/>
    </row>
    <row r="1136" spans="11:24" ht="15" hidden="1" customHeight="1">
      <c r="K1136" s="5">
        <v>46118</v>
      </c>
      <c r="L1136" t="s">
        <v>198</v>
      </c>
      <c r="M1136" s="24" t="s">
        <v>62</v>
      </c>
      <c r="N1136" s="20" t="str">
        <f t="shared" si="48"/>
        <v>Finalizado</v>
      </c>
      <c r="O11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36" s="4">
        <v>0.45763888888888887</v>
      </c>
      <c r="Q1136" s="4">
        <v>0.53194444444444444</v>
      </c>
      <c r="R1136" s="23">
        <v>0.56805555555555554</v>
      </c>
      <c r="S1136" s="73" t="s">
        <v>254</v>
      </c>
      <c r="T1136" s="1"/>
      <c r="U1136" s="15">
        <f>IF(OR('Controle de CT'!$R1136= "", 'Controle de CT'!$P1136= ""), "", 'Controle de CT'!$R1136-'Controle de CT'!$P1136)</f>
        <v>0.11041666666666666</v>
      </c>
      <c r="V1136" s="1"/>
      <c r="W1136" s="2"/>
      <c r="X1136" s="2"/>
    </row>
    <row r="1137" spans="11:24" ht="15" hidden="1" customHeight="1">
      <c r="K1137" s="5">
        <v>46118</v>
      </c>
      <c r="L1137" t="s">
        <v>49</v>
      </c>
      <c r="M1137" s="24" t="s">
        <v>62</v>
      </c>
      <c r="N1137" s="20" t="str">
        <f t="shared" si="48"/>
        <v>Fila de Carregamento</v>
      </c>
      <c r="O11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7" s="4">
        <v>0.46527777777777779</v>
      </c>
      <c r="Q1137" s="4">
        <v>0.52430555555555558</v>
      </c>
      <c r="R1137" s="23"/>
      <c r="S1137" s="16"/>
      <c r="T1137" s="1"/>
      <c r="U1137" s="15" t="str">
        <f>IF(OR('Controle de CT'!$R1137= "", 'Controle de CT'!$P1137= ""), "", 'Controle de CT'!$R1137-'Controle de CT'!$P1137)</f>
        <v/>
      </c>
      <c r="V1137" s="1"/>
      <c r="W1137" s="2"/>
      <c r="X1137" s="2"/>
    </row>
    <row r="1138" spans="11:24" ht="15" hidden="1" customHeight="1">
      <c r="K1138" s="5">
        <v>46118</v>
      </c>
      <c r="L1138" t="s">
        <v>111</v>
      </c>
      <c r="M1138" s="24" t="s">
        <v>63</v>
      </c>
      <c r="N1138" s="20" t="str">
        <f t="shared" si="48"/>
        <v>Finalizado</v>
      </c>
      <c r="O11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8" s="4">
        <v>0.46666666666666667</v>
      </c>
      <c r="Q1138" s="4">
        <v>0.58194444444444449</v>
      </c>
      <c r="R1138" s="23">
        <v>0.62430555555555556</v>
      </c>
      <c r="T1138" s="1"/>
      <c r="U1138" s="15">
        <f>IF(OR('Controle de CT'!$R1141= "", 'Controle de CT'!$P1141= ""), "", 'Controle de CT'!$R1141-'Controle de CT'!$P1141)</f>
        <v>0.10694444444444445</v>
      </c>
      <c r="V1138" s="1"/>
      <c r="W1138" s="2"/>
      <c r="X1138" s="2"/>
    </row>
    <row r="1139" spans="11:24" ht="15" hidden="1" customHeight="1">
      <c r="K1139" s="5">
        <v>46118</v>
      </c>
      <c r="L1139" s="76" t="s">
        <v>304</v>
      </c>
      <c r="M1139" s="77" t="s">
        <v>63</v>
      </c>
      <c r="N1139" s="20" t="str">
        <f t="shared" si="48"/>
        <v>Fila de Carregamento</v>
      </c>
      <c r="O11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39" s="4">
        <v>0.46736111111111112</v>
      </c>
      <c r="Q1139" s="4">
        <v>0.58333333333333337</v>
      </c>
      <c r="R1139" s="23"/>
      <c r="T1139" s="1"/>
      <c r="U1139" s="15" t="str">
        <f>IF(OR('Controle de CT'!$R1142= "", 'Controle de CT'!$P1142= ""), "", 'Controle de CT'!$R1142-'Controle de CT'!$P1142)</f>
        <v/>
      </c>
      <c r="V1139" s="1"/>
      <c r="W1139" s="2"/>
      <c r="X1139" s="2"/>
    </row>
    <row r="1140" spans="11:24" ht="15" hidden="1" customHeight="1">
      <c r="K1140" s="5">
        <v>46118</v>
      </c>
      <c r="L1140" t="s">
        <v>52</v>
      </c>
      <c r="M1140" s="24" t="s">
        <v>62</v>
      </c>
      <c r="N1140" s="20" t="str">
        <f t="shared" si="48"/>
        <v>Finalizado</v>
      </c>
      <c r="O11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0" s="4">
        <v>0.47916666666666669</v>
      </c>
      <c r="Q1140" s="4">
        <v>0.51666666666666672</v>
      </c>
      <c r="R1140" s="23">
        <v>0.57361111111111107</v>
      </c>
      <c r="S1140" s="73" t="s">
        <v>254</v>
      </c>
      <c r="T1140" s="1"/>
      <c r="U1140" s="15">
        <f>IF(OR('Controle de CT'!$R1138= "", 'Controle de CT'!$P1138= ""), "", 'Controle de CT'!$R1138-'Controle de CT'!$P1138)</f>
        <v>0.15763888888888888</v>
      </c>
      <c r="V1140" s="1"/>
      <c r="W1140" s="2"/>
      <c r="X1140" s="2"/>
    </row>
    <row r="1141" spans="11:24" ht="15" hidden="1" customHeight="1">
      <c r="K1141" s="5">
        <v>46118</v>
      </c>
      <c r="L1141" s="7" t="s">
        <v>46</v>
      </c>
      <c r="M1141" s="22" t="str">
        <f>IF(Tabela1[[#This Row],[Motorista]]="","",IFERROR(_xlfn.XLOOKUP(Tabela1[[#This Row],[Motorista]],Base!A:A,Base!B:B),""))</f>
        <v>CIF</v>
      </c>
      <c r="N1141" s="20" t="str">
        <f t="shared" si="48"/>
        <v>Finalizado</v>
      </c>
      <c r="O11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41" s="4">
        <v>0.4826388888888889</v>
      </c>
      <c r="Q1141" s="4">
        <v>0.54097222222222219</v>
      </c>
      <c r="R1141" s="23">
        <v>0.58958333333333335</v>
      </c>
      <c r="S1141" s="73" t="s">
        <v>254</v>
      </c>
      <c r="T1141" s="1"/>
      <c r="U1141" s="15" t="str">
        <f>IF(OR('Controle de CT'!$R1139= "", 'Controle de CT'!$P1139= ""), "", 'Controle de CT'!$R1139-'Controle de CT'!$P1139)</f>
        <v/>
      </c>
      <c r="V1141" s="1"/>
      <c r="W1141" s="2"/>
      <c r="X1141" s="2"/>
    </row>
    <row r="1142" spans="11:24" ht="15" hidden="1" customHeight="1">
      <c r="K1142" s="5">
        <v>46118</v>
      </c>
      <c r="L1142" t="s">
        <v>47</v>
      </c>
      <c r="M1142" s="24" t="s">
        <v>62</v>
      </c>
      <c r="N1142" s="20" t="str">
        <f t="shared" si="48"/>
        <v>Fila de Carregamento</v>
      </c>
      <c r="O11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2" s="4">
        <v>0.49791666666666667</v>
      </c>
      <c r="Q1142" s="4">
        <v>0.56041666666666667</v>
      </c>
      <c r="R1142" s="23"/>
      <c r="S1142" s="16"/>
      <c r="T1142" s="1"/>
      <c r="U1142" s="15">
        <f>IF(OR('Controle de CT'!$R1140= "", 'Controle de CT'!$P1140= ""), "", 'Controle de CT'!$R1140-'Controle de CT'!$P1140)</f>
        <v>9.4444444444444386E-2</v>
      </c>
      <c r="V1142" s="1"/>
      <c r="W1142" s="2"/>
      <c r="X1142" s="2"/>
    </row>
    <row r="1143" spans="11:24" ht="15" hidden="1" customHeight="1">
      <c r="K1143" s="5">
        <v>46118</v>
      </c>
      <c r="L1143" t="s">
        <v>90</v>
      </c>
      <c r="M1143" s="24" t="s">
        <v>63</v>
      </c>
      <c r="N1143" s="20" t="str">
        <f t="shared" si="48"/>
        <v>Finalizado</v>
      </c>
      <c r="O11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43" s="4">
        <v>0.50208333333333333</v>
      </c>
      <c r="Q1143" s="4">
        <v>0.57847222222222228</v>
      </c>
      <c r="R1143" s="23" t="s">
        <v>305</v>
      </c>
      <c r="S1143" s="16"/>
      <c r="T1143" s="1"/>
      <c r="U1143" s="15" t="e">
        <f>IF(OR('Controle de CT'!$R1143= "", 'Controle de CT'!$P1143= ""), "", 'Controle de CT'!$R1143-'Controle de CT'!$P1143)</f>
        <v>#VALUE!</v>
      </c>
      <c r="V1143" s="1"/>
      <c r="W1143" s="2"/>
      <c r="X1143" s="2"/>
    </row>
    <row r="1144" spans="11:24" ht="15" hidden="1" customHeight="1">
      <c r="K1144" s="5">
        <v>46118</v>
      </c>
      <c r="L1144" s="8" t="s">
        <v>278</v>
      </c>
      <c r="M1144" s="9" t="str">
        <f>IF(Tabela1[[#This Row],[Motorista]]="","",IFERROR(_xlfn.XLOOKUP(Tabela1[[#This Row],[Motorista]],Base!A:A,Base!B:B),""))</f>
        <v>FOB</v>
      </c>
      <c r="N1144" s="20" t="str">
        <f t="shared" si="48"/>
        <v>Fila de Carregamento</v>
      </c>
      <c r="O11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44" s="4">
        <v>0.52222222222222225</v>
      </c>
      <c r="Q1144" s="4">
        <v>0.59583333333333333</v>
      </c>
      <c r="R1144" s="23"/>
      <c r="S1144" s="16"/>
      <c r="T1144" s="1"/>
      <c r="U1144" s="15" t="str">
        <f>IF(OR('Controle de CT'!$R1144= "", 'Controle de CT'!$P1144= ""), "", 'Controle de CT'!$R1144-'Controle de CT'!$P1144)</f>
        <v/>
      </c>
      <c r="V1144" s="1"/>
      <c r="W1144" s="2"/>
      <c r="X1144" s="2"/>
    </row>
    <row r="1145" spans="11:24" ht="15" hidden="1" customHeight="1">
      <c r="K1145" s="5">
        <v>46118</v>
      </c>
      <c r="L1145" t="s">
        <v>91</v>
      </c>
      <c r="M1145" s="24" t="s">
        <v>63</v>
      </c>
      <c r="N1145" s="20" t="str">
        <f t="shared" si="48"/>
        <v>Aguardando Entrada</v>
      </c>
      <c r="O11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5" s="4">
        <v>0.52847222222222223</v>
      </c>
      <c r="Q1145" s="4"/>
      <c r="R1145" s="23"/>
      <c r="S1145" s="16"/>
      <c r="T1145" s="1"/>
      <c r="U1145" s="15" t="str">
        <f>IF(OR('Controle de CT'!$R1145= "", 'Controle de CT'!$P1145= ""), "", 'Controle de CT'!$R1145-'Controle de CT'!$P1145)</f>
        <v/>
      </c>
      <c r="V1145" s="1"/>
      <c r="W1145" s="2"/>
      <c r="X1145" s="2"/>
    </row>
    <row r="1146" spans="11:24" ht="15" hidden="1" customHeight="1">
      <c r="K1146" s="5">
        <v>46118</v>
      </c>
      <c r="L1146" t="s">
        <v>153</v>
      </c>
      <c r="M1146" s="24" t="s">
        <v>63</v>
      </c>
      <c r="N1146" s="20" t="str">
        <f t="shared" si="48"/>
        <v>Aguardando Entrada</v>
      </c>
      <c r="O11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6" s="4">
        <v>0.53125</v>
      </c>
      <c r="Q1146" s="4"/>
      <c r="R1146" s="23"/>
      <c r="S1146" s="16"/>
      <c r="T1146" s="1"/>
      <c r="U1146" s="15" t="str">
        <f>IF(OR('Controle de CT'!$R1146= "", 'Controle de CT'!$P1146= ""), "", 'Controle de CT'!$R1146-'Controle de CT'!$P1146)</f>
        <v/>
      </c>
      <c r="V1146" s="1"/>
      <c r="W1146" s="2"/>
      <c r="X1146" s="2"/>
    </row>
    <row r="1147" spans="11:24" ht="15" hidden="1" customHeight="1">
      <c r="K1147" s="5">
        <v>46118</v>
      </c>
      <c r="L1147" t="s">
        <v>292</v>
      </c>
      <c r="M1147" t="s">
        <v>64</v>
      </c>
      <c r="N1147" s="20" t="str">
        <f t="shared" si="48"/>
        <v/>
      </c>
      <c r="O11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7" s="4"/>
      <c r="Q1147" s="4"/>
      <c r="R1147" s="23"/>
      <c r="S1147" s="60" t="s">
        <v>254</v>
      </c>
      <c r="T1147" s="1"/>
      <c r="U1147" s="4"/>
      <c r="V1147" s="1" t="s">
        <v>306</v>
      </c>
      <c r="W1147" s="2"/>
      <c r="X1147" s="2"/>
    </row>
    <row r="1148" spans="11:24" ht="15" hidden="1" customHeight="1">
      <c r="K1148" s="5">
        <v>46118</v>
      </c>
      <c r="L1148" t="s">
        <v>296</v>
      </c>
      <c r="M1148" s="9" t="s">
        <v>63</v>
      </c>
      <c r="N1148" s="20" t="str">
        <f t="shared" si="48"/>
        <v>Finalizado</v>
      </c>
      <c r="O11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48" s="4">
        <v>0.54583333333333328</v>
      </c>
      <c r="Q1148" s="4">
        <v>0.65</v>
      </c>
      <c r="R1148" s="23">
        <v>0.7006944444444444</v>
      </c>
      <c r="S1148" s="16"/>
      <c r="T1148" s="1"/>
      <c r="U1148" s="15">
        <f>IF(OR('Controle de CT'!$R1148= "", 'Controle de CT'!$P1148= ""), "", 'Controle de CT'!$R1148-'Controle de CT'!$P1148)</f>
        <v>0.15486111111111112</v>
      </c>
      <c r="V1148" s="1"/>
      <c r="W1148" s="2"/>
      <c r="X1148" s="2"/>
    </row>
    <row r="1149" spans="11:24" ht="15" hidden="1" customHeight="1">
      <c r="K1149" s="5">
        <v>46087</v>
      </c>
      <c r="L1149" s="8" t="s">
        <v>307</v>
      </c>
      <c r="M1149" s="9" t="s">
        <v>63</v>
      </c>
      <c r="N1149" s="20" t="str">
        <f t="shared" si="48"/>
        <v>Aguardando Entrada</v>
      </c>
      <c r="O11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49" s="4">
        <v>0.57013888888888886</v>
      </c>
      <c r="Q1149" s="4"/>
      <c r="R1149" s="23"/>
      <c r="S1149" s="16"/>
      <c r="T1149" s="14" t="str">
        <f>IF(OR(Tabela1[[#This Row],[Entrada]]="",Tabela1[[#This Row],[Saída]]=""), "", Tabela1[[#This Row],[Saída]]-Tabela1[[#This Row],[Entrada]])</f>
        <v/>
      </c>
      <c r="U1149" s="15" t="str">
        <f>IF(OR('Controle de CT'!$R1149= "", 'Controle de CT'!$P1149= ""), "", 'Controle de CT'!$R1149-'Controle de CT'!$P1149)</f>
        <v/>
      </c>
      <c r="V1149" s="1"/>
      <c r="W1149" s="2"/>
      <c r="X1149" s="2"/>
    </row>
    <row r="1150" spans="11:24" ht="15" hidden="1" customHeight="1">
      <c r="K1150" s="5">
        <v>46087</v>
      </c>
      <c r="L1150" s="8" t="s">
        <v>308</v>
      </c>
      <c r="M1150" s="9" t="str">
        <f>IF(Tabela1[[#This Row],[Motorista]]="","",IFERROR(_xlfn.XLOOKUP(Tabela1[[#This Row],[Motorista]],Base!A:A,Base!B:B),""))</f>
        <v/>
      </c>
      <c r="N1150" s="20" t="str">
        <f t="shared" si="48"/>
        <v/>
      </c>
      <c r="O11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0" s="4"/>
      <c r="Q1150" s="4"/>
      <c r="R1150" s="23"/>
      <c r="S1150" s="16"/>
      <c r="T1150" s="14" t="str">
        <f>IF(OR(Tabela1[[#This Row],[Entrada]]="",Tabela1[[#This Row],[Saída]]=""), "", Tabela1[[#This Row],[Saída]]-Tabela1[[#This Row],[Entrada]])</f>
        <v/>
      </c>
      <c r="U1150" s="15" t="str">
        <f>IF(OR('Controle de CT'!$R1150= "", 'Controle de CT'!$P1150= ""), "", 'Controle de CT'!$R1150-'Controle de CT'!$P1150)</f>
        <v/>
      </c>
      <c r="V1150" s="1"/>
      <c r="W1150" s="2"/>
      <c r="X1150" s="2"/>
    </row>
    <row r="1151" spans="11:24" ht="15" hidden="1" customHeight="1">
      <c r="K1151" s="5">
        <v>46087</v>
      </c>
      <c r="L1151" s="8" t="s">
        <v>309</v>
      </c>
      <c r="M1151" s="9" t="str">
        <f>IF(Tabela1[[#This Row],[Motorista]]="","",IFERROR(_xlfn.XLOOKUP(Tabela1[[#This Row],[Motorista]],Base!A:A,Base!B:B),""))</f>
        <v/>
      </c>
      <c r="N1151" s="20" t="str">
        <f t="shared" si="48"/>
        <v/>
      </c>
      <c r="O11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1" s="4"/>
      <c r="Q1151" s="4"/>
      <c r="R1151" s="23"/>
      <c r="S1151" s="16"/>
      <c r="T1151" s="14" t="str">
        <f>IF(OR(Tabela1[[#This Row],[Entrada]]="",Tabela1[[#This Row],[Saída]]=""), "", Tabela1[[#This Row],[Saída]]-Tabela1[[#This Row],[Entrada]])</f>
        <v/>
      </c>
      <c r="U1151" s="15" t="str">
        <f>IF(OR('Controle de CT'!$R1151= "", 'Controle de CT'!$P1151= ""), "", 'Controle de CT'!$R1151-'Controle de CT'!$P1151)</f>
        <v/>
      </c>
      <c r="V1151" s="1"/>
      <c r="W1151" s="2"/>
      <c r="X1151" s="2"/>
    </row>
    <row r="1152" spans="11:24" ht="15" hidden="1" customHeight="1">
      <c r="K1152" s="5">
        <v>46118</v>
      </c>
      <c r="L1152" s="8" t="s">
        <v>310</v>
      </c>
      <c r="M1152" s="9" t="s">
        <v>63</v>
      </c>
      <c r="N1152" s="20" t="str">
        <f t="shared" si="48"/>
        <v>Aguardando Entrada</v>
      </c>
      <c r="O11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2" s="4" t="s">
        <v>311</v>
      </c>
      <c r="Q1152" s="4"/>
      <c r="R1152" s="23"/>
      <c r="S1152" s="16"/>
      <c r="T1152" s="14" t="str">
        <f>IF(OR(Tabela1[[#This Row],[Entrada]]="",Tabela1[[#This Row],[Saída]]=""), "", Tabela1[[#This Row],[Saída]]-Tabela1[[#This Row],[Entrada]])</f>
        <v/>
      </c>
      <c r="U1152" s="15" t="str">
        <f>IF(OR('Controle de CT'!$R1152= "", 'Controle de CT'!$P1152= ""), "", 'Controle de CT'!$R1152-'Controle de CT'!$P1152)</f>
        <v/>
      </c>
      <c r="V1152" s="1"/>
      <c r="W1152" s="2"/>
      <c r="X1152" s="2"/>
    </row>
    <row r="1153" spans="11:24" ht="15" hidden="1" customHeight="1">
      <c r="K1153" s="5">
        <v>46118</v>
      </c>
      <c r="L1153" s="8" t="s">
        <v>312</v>
      </c>
      <c r="M1153" s="9" t="s">
        <v>313</v>
      </c>
      <c r="N1153" s="20" t="str">
        <f t="shared" si="48"/>
        <v>Aguardando Entrada</v>
      </c>
      <c r="O11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3" s="4" t="s">
        <v>314</v>
      </c>
      <c r="Q1153" s="4"/>
      <c r="R1153" s="23"/>
      <c r="S1153" s="16"/>
      <c r="T1153" s="14" t="str">
        <f>IF(OR(Tabela1[[#This Row],[Entrada]]="",Tabela1[[#This Row],[Saída]]=""), "", Tabela1[[#This Row],[Saída]]-Tabela1[[#This Row],[Entrada]])</f>
        <v/>
      </c>
      <c r="U1153" s="15" t="str">
        <f>IF(OR('Controle de CT'!$R1153= "", 'Controle de CT'!$P1153= ""), "", 'Controle de CT'!$R1153-'Controle de CT'!$P1153)</f>
        <v/>
      </c>
      <c r="V1153" s="1"/>
      <c r="W1153" s="2"/>
      <c r="X1153" s="2"/>
    </row>
    <row r="1154" spans="11:24" ht="15" hidden="1" customHeight="1">
      <c r="K1154" s="5">
        <v>46118</v>
      </c>
      <c r="L1154" s="8" t="s">
        <v>315</v>
      </c>
      <c r="M1154" s="9" t="str">
        <f>IF(Tabela1[[#This Row],[Motorista]]="","",IFERROR(_xlfn.XLOOKUP(Tabela1[[#This Row],[Motorista]],Base!A:A,Base!B:B),""))</f>
        <v/>
      </c>
      <c r="N1154" s="20" t="str">
        <f t="shared" si="48"/>
        <v>Finalizado</v>
      </c>
      <c r="O11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4" s="4">
        <v>0.70277777777777772</v>
      </c>
      <c r="Q1154" s="4">
        <v>0.71666666666666667</v>
      </c>
      <c r="R1154" s="23">
        <v>0.79166666666666663</v>
      </c>
      <c r="S1154" s="16"/>
      <c r="T1154" s="14">
        <f>IF(OR(Tabela1[[#This Row],[Entrada]]="",Tabela1[[#This Row],[Saída]]=""), "", Tabela1[[#This Row],[Saída]]-Tabela1[[#This Row],[Entrada]])</f>
        <v>7.4999999999999956E-2</v>
      </c>
      <c r="U1154" s="15">
        <f>IF(OR('Controle de CT'!$R1154= "", 'Controle de CT'!$P1154= ""), "", 'Controle de CT'!$R1154-'Controle de CT'!$P1154)</f>
        <v>8.8888888888888906E-2</v>
      </c>
      <c r="V1154" s="1"/>
      <c r="W1154" s="2"/>
      <c r="X1154" s="2"/>
    </row>
    <row r="1155" spans="11:24" ht="15" hidden="1" customHeight="1">
      <c r="K1155" s="5">
        <v>46118</v>
      </c>
      <c r="L1155" s="8" t="s">
        <v>316</v>
      </c>
      <c r="M1155" s="9" t="str">
        <f>IF(Tabela1[[#This Row],[Motorista]]="","",IFERROR(_xlfn.XLOOKUP(Tabela1[[#This Row],[Motorista]],Base!A:A,Base!B:B),""))</f>
        <v/>
      </c>
      <c r="N1155" s="20" t="str">
        <f t="shared" si="48"/>
        <v>Finalizado</v>
      </c>
      <c r="O11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5" s="4"/>
      <c r="Q1155" s="4"/>
      <c r="R1155" s="23">
        <v>0.74722222222222223</v>
      </c>
      <c r="S1155" s="16"/>
      <c r="T1155" s="14" t="str">
        <f>IF(OR(Tabela1[[#This Row],[Entrada]]="",Tabela1[[#This Row],[Saída]]=""), "", Tabela1[[#This Row],[Saída]]-Tabela1[[#This Row],[Entrada]])</f>
        <v/>
      </c>
      <c r="U1155" s="15" t="str">
        <f>IF(OR('Controle de CT'!$R1155= "", 'Controle de CT'!$P1155= ""), "", 'Controle de CT'!$R1155-'Controle de CT'!$P1155)</f>
        <v/>
      </c>
      <c r="V1155" s="1"/>
      <c r="W1155" s="2"/>
      <c r="X1155" s="2"/>
    </row>
    <row r="1156" spans="11:24" ht="15" hidden="1" customHeight="1">
      <c r="K1156" s="5">
        <v>46118</v>
      </c>
      <c r="L1156" s="8" t="s">
        <v>317</v>
      </c>
      <c r="M1156" s="9" t="str">
        <f>IF(Tabela1[[#This Row],[Motorista]]="","",IFERROR(_xlfn.XLOOKUP(Tabela1[[#This Row],[Motorista]],Base!A:A,Base!B:B),""))</f>
        <v/>
      </c>
      <c r="N1156" s="20" t="str">
        <f t="shared" si="48"/>
        <v>Finalizado</v>
      </c>
      <c r="O11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6" s="4">
        <v>0.70694444444444449</v>
      </c>
      <c r="Q1156" s="4">
        <v>0.72916666666666663</v>
      </c>
      <c r="R1156" s="23">
        <v>0.79166666666666663</v>
      </c>
      <c r="S1156" s="16"/>
      <c r="T1156" s="14">
        <f>IF(OR(Tabela1[[#This Row],[Entrada]]="",Tabela1[[#This Row],[Saída]]=""), "", Tabela1[[#This Row],[Saída]]-Tabela1[[#This Row],[Entrada]])</f>
        <v>6.25E-2</v>
      </c>
      <c r="U1156" s="15">
        <f>IF(OR('Controle de CT'!$R1156= "", 'Controle de CT'!$P1156= ""), "", 'Controle de CT'!$R1156-'Controle de CT'!$P1156)</f>
        <v>8.4722222222222143E-2</v>
      </c>
      <c r="V1156" s="1"/>
      <c r="W1156" s="2"/>
      <c r="X1156" s="2"/>
    </row>
    <row r="1157" spans="11:24" ht="15" hidden="1" customHeight="1">
      <c r="K1157" s="5">
        <v>46119</v>
      </c>
      <c r="L1157" t="s">
        <v>187</v>
      </c>
      <c r="M1157" t="s">
        <v>64</v>
      </c>
      <c r="N1157" s="20" t="str">
        <f t="shared" si="48"/>
        <v>Finalizado</v>
      </c>
      <c r="O11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7" s="4">
        <v>0.1986111111111111</v>
      </c>
      <c r="Q1157" s="4">
        <v>0.2298611111111111</v>
      </c>
      <c r="R1157" s="23">
        <v>0.36249999999999999</v>
      </c>
      <c r="S1157" s="60" t="s">
        <v>254</v>
      </c>
      <c r="T1157" s="1"/>
      <c r="U1157" s="15">
        <f>IF(OR('Controle de CT'!$R1157= "", 'Controle de CT'!$P1157= ""), "", 'Controle de CT'!$R1157-'Controle de CT'!$P1157)</f>
        <v>0.16388888888888889</v>
      </c>
      <c r="V1157" s="1"/>
      <c r="W1157" s="2"/>
      <c r="X1157" s="2"/>
    </row>
    <row r="1158" spans="11:24" ht="15" hidden="1" customHeight="1">
      <c r="K1158" s="5">
        <v>46119</v>
      </c>
      <c r="L1158" s="8" t="s">
        <v>255</v>
      </c>
      <c r="M1158" s="9" t="s">
        <v>62</v>
      </c>
      <c r="N1158" s="20" t="str">
        <f t="shared" si="48"/>
        <v>Finalizado</v>
      </c>
      <c r="O11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58" s="4">
        <v>0.24513888888888888</v>
      </c>
      <c r="Q1158" s="4">
        <v>0.27569444444444446</v>
      </c>
      <c r="R1158" s="23">
        <v>0.31180555555555556</v>
      </c>
      <c r="S1158" s="60" t="s">
        <v>254</v>
      </c>
      <c r="T1158" s="1"/>
      <c r="U1158" s="15">
        <f>IF(OR('Controle de CT'!$R1158= "", 'Controle de CT'!$P1158= ""), "", 'Controle de CT'!$R1158-'Controle de CT'!$P1158)</f>
        <v>6.666666666666668E-2</v>
      </c>
      <c r="V1158" s="1"/>
      <c r="W1158" s="2"/>
      <c r="X1158" s="2"/>
    </row>
    <row r="1159" spans="11:24" ht="15" hidden="1" customHeight="1">
      <c r="K1159" s="5">
        <v>46119</v>
      </c>
      <c r="L1159" s="8" t="s">
        <v>59</v>
      </c>
      <c r="M1159" s="9" t="s">
        <v>62</v>
      </c>
      <c r="N1159" s="20" t="str">
        <f t="shared" si="48"/>
        <v>Finalizado</v>
      </c>
      <c r="O11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59" s="4">
        <v>0.25138888888888888</v>
      </c>
      <c r="Q1159" s="4">
        <v>0.27847222222222223</v>
      </c>
      <c r="R1159" s="23">
        <v>0.27847222222222223</v>
      </c>
      <c r="S1159" s="60" t="s">
        <v>254</v>
      </c>
      <c r="T1159" s="1"/>
      <c r="U1159" s="15">
        <f>IF(OR('Controle de CT'!$R1159= "", 'Controle de CT'!$P1159= ""), "", 'Controle de CT'!$R1159-'Controle de CT'!$P1159)</f>
        <v>2.7083333333333348E-2</v>
      </c>
      <c r="V1159" s="1" t="s">
        <v>318</v>
      </c>
      <c r="W1159" s="2"/>
      <c r="X1159" s="2"/>
    </row>
    <row r="1160" spans="11:24" ht="15" hidden="1" customHeight="1">
      <c r="K1160" s="5">
        <v>46119</v>
      </c>
      <c r="L1160" s="8" t="s">
        <v>319</v>
      </c>
      <c r="M1160" s="9" t="s">
        <v>62</v>
      </c>
      <c r="N1160" s="20" t="str">
        <f t="shared" si="48"/>
        <v>Finalizado</v>
      </c>
      <c r="O11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60" s="4">
        <v>0.25208333333333333</v>
      </c>
      <c r="Q1160" s="4">
        <v>0.29652777777777778</v>
      </c>
      <c r="R1160" s="23">
        <v>0.33958333333333335</v>
      </c>
      <c r="S1160" s="60" t="s">
        <v>254</v>
      </c>
      <c r="T1160" s="1"/>
      <c r="U1160" s="15">
        <f>IF(OR('Controle de CT'!$R1160= "", 'Controle de CT'!$P1160= ""), "", 'Controle de CT'!$R1160-'Controle de CT'!$P1160)</f>
        <v>8.7500000000000022E-2</v>
      </c>
      <c r="V1160" s="1"/>
      <c r="W1160" s="2"/>
      <c r="X1160" s="2"/>
    </row>
    <row r="1161" spans="11:24" ht="15" hidden="1" customHeight="1">
      <c r="K1161" s="5">
        <v>46119</v>
      </c>
      <c r="L1161" t="s">
        <v>46</v>
      </c>
      <c r="M1161" s="24" t="s">
        <v>62</v>
      </c>
      <c r="N1161" s="20" t="str">
        <f t="shared" si="48"/>
        <v>Finalizado</v>
      </c>
      <c r="O11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61" s="4">
        <v>0.2590277777777778</v>
      </c>
      <c r="Q1161" s="4">
        <v>0.28749999999999998</v>
      </c>
      <c r="R1161" s="23">
        <v>0.33680555555555558</v>
      </c>
      <c r="S1161" s="60" t="s">
        <v>254</v>
      </c>
      <c r="T1161" s="14">
        <f>IF(OR(Tabela1[[#This Row],[Entrada]]="",Tabela1[[#This Row],[Saída]]=""), "", Tabela1[[#This Row],[Saída]]-Tabela1[[#This Row],[Entrada]])</f>
        <v>4.9305555555555602E-2</v>
      </c>
      <c r="U1161" s="15">
        <f>IF(OR('Controle de CT'!$R1161= "", 'Controle de CT'!$P1161= ""), "", 'Controle de CT'!$R1161-'Controle de CT'!$P1161)</f>
        <v>7.7777777777777779E-2</v>
      </c>
      <c r="V1161" s="1"/>
      <c r="W1161" s="2"/>
      <c r="X1161" s="2"/>
    </row>
    <row r="1162" spans="11:24" ht="15" hidden="1" customHeight="1">
      <c r="K1162" s="5">
        <v>46119</v>
      </c>
      <c r="L1162" s="8" t="s">
        <v>320</v>
      </c>
      <c r="M1162" s="24" t="s">
        <v>62</v>
      </c>
      <c r="N1162" s="20" t="str">
        <f t="shared" si="48"/>
        <v>Finalizado</v>
      </c>
      <c r="O11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2" s="4">
        <v>0.29722222222222222</v>
      </c>
      <c r="Q1162" s="4">
        <v>0.3298611111111111</v>
      </c>
      <c r="R1162" s="23">
        <v>0.37986111111111109</v>
      </c>
      <c r="S1162" s="60" t="s">
        <v>254</v>
      </c>
      <c r="T1162" s="14">
        <f>IF(OR(Tabela1[[#This Row],[Entrada]]="",Tabela1[[#This Row],[Saída]]=""), "", Tabela1[[#This Row],[Saída]]-Tabela1[[#This Row],[Entrada]])</f>
        <v>4.9999999999999989E-2</v>
      </c>
      <c r="U1162" s="15">
        <f>IF(OR('Controle de CT'!$R1162= "", 'Controle de CT'!$P1162= ""), "", 'Controle de CT'!$R1162-'Controle de CT'!$P1162)</f>
        <v>8.2638888888888873E-2</v>
      </c>
      <c r="V1162" s="1"/>
      <c r="W1162" s="2"/>
      <c r="X1162" s="2"/>
    </row>
    <row r="1163" spans="11:24" ht="15" hidden="1" customHeight="1">
      <c r="K1163" s="5">
        <v>46119</v>
      </c>
      <c r="L1163" t="s">
        <v>278</v>
      </c>
      <c r="M1163" s="24" t="s">
        <v>63</v>
      </c>
      <c r="N1163" s="20" t="str">
        <f t="shared" si="48"/>
        <v>Finalizado</v>
      </c>
      <c r="O11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63" s="4">
        <v>0.20972222222222223</v>
      </c>
      <c r="Q1163" s="4">
        <v>0.29375000000000001</v>
      </c>
      <c r="R1163" s="23">
        <v>0.34930555555555554</v>
      </c>
      <c r="S1163" s="60" t="s">
        <v>254</v>
      </c>
      <c r="T1163" s="1"/>
      <c r="U1163" s="15">
        <f>IF(OR('Controle de CT'!$R1163= "", 'Controle de CT'!$P1163= ""), "", 'Controle de CT'!$R1163-'Controle de CT'!$P1163)</f>
        <v>0.13958333333333331</v>
      </c>
      <c r="V1163" s="1"/>
      <c r="W1163" s="2"/>
      <c r="X1163" s="2"/>
    </row>
    <row r="1164" spans="11:24" ht="15" hidden="1" customHeight="1">
      <c r="K1164" s="5">
        <v>46119</v>
      </c>
      <c r="L1164" t="s">
        <v>116</v>
      </c>
      <c r="M1164" s="24" t="s">
        <v>321</v>
      </c>
      <c r="N1164" s="20" t="str">
        <f t="shared" si="48"/>
        <v>Finalizado</v>
      </c>
      <c r="O11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64" s="4">
        <v>0.21180555555555555</v>
      </c>
      <c r="Q1164" s="4">
        <v>0.29930555555555555</v>
      </c>
      <c r="R1164" s="23">
        <v>0.35347222222222224</v>
      </c>
      <c r="S1164" s="60" t="s">
        <v>254</v>
      </c>
      <c r="T1164" s="1"/>
      <c r="U1164" s="15">
        <f>IF(OR('Controle de CT'!$R1164= "", 'Controle de CT'!$P1164= ""), "", 'Controle de CT'!$R1164-'Controle de CT'!$P1164)</f>
        <v>0.14166666666666669</v>
      </c>
      <c r="V1164" s="1"/>
      <c r="W1164" s="2"/>
      <c r="X1164" s="2"/>
    </row>
    <row r="1165" spans="11:24" ht="15" hidden="1" customHeight="1">
      <c r="K1165" s="5">
        <v>46119</v>
      </c>
      <c r="L1165" t="s">
        <v>117</v>
      </c>
      <c r="M1165" s="24" t="s">
        <v>63</v>
      </c>
      <c r="N1165" s="20" t="str">
        <f t="shared" si="48"/>
        <v>Finalizado</v>
      </c>
      <c r="O11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5" s="4">
        <v>0.24722222222222223</v>
      </c>
      <c r="Q1165" s="4">
        <v>0.34583333333333333</v>
      </c>
      <c r="R1165" s="23">
        <v>0.41458333333333336</v>
      </c>
      <c r="S1165" s="60" t="s">
        <v>254</v>
      </c>
      <c r="T1165" s="1"/>
      <c r="U1165" s="15">
        <f>IF(OR('Controle de CT'!$R1165= "", 'Controle de CT'!$P1165= ""), "", 'Controle de CT'!$R1165-'Controle de CT'!$P1165)</f>
        <v>0.16736111111111113</v>
      </c>
      <c r="V1165" s="1" t="s">
        <v>185</v>
      </c>
      <c r="W1165" s="2"/>
      <c r="X1165" s="2"/>
    </row>
    <row r="1166" spans="11:24" ht="15" hidden="1" customHeight="1">
      <c r="K1166" s="5">
        <v>46119</v>
      </c>
      <c r="L1166" t="s">
        <v>199</v>
      </c>
      <c r="M1166" s="24" t="s">
        <v>63</v>
      </c>
      <c r="N1166" s="20" t="str">
        <f t="shared" ref="N1166:N1186" si="49">IF(R1166&lt;&gt;"","Finalizado", IF(Q1166&lt;&gt;"","Fila de Carregamento", IF(P1166&lt;&gt;"","Aguardando Entrada","")))</f>
        <v>Finalizado</v>
      </c>
      <c r="O11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6" s="4">
        <v>0.25486111111111109</v>
      </c>
      <c r="Q1166" s="4">
        <v>0.33194444444444443</v>
      </c>
      <c r="R1166" s="23">
        <v>0.46875</v>
      </c>
      <c r="S1166" s="60" t="s">
        <v>254</v>
      </c>
      <c r="T1166" s="1"/>
      <c r="U1166" s="15">
        <f>IF(OR('Controle de CT'!$R1166= "", 'Controle de CT'!$P1166= ""), "", 'Controle de CT'!$R1166-'Controle de CT'!$P1166)</f>
        <v>0.21388888888888891</v>
      </c>
      <c r="V1166" s="1"/>
      <c r="W1166" s="2"/>
      <c r="X1166" s="2"/>
    </row>
    <row r="1167" spans="11:24" ht="15" hidden="1" customHeight="1">
      <c r="K1167" s="5">
        <v>46119</v>
      </c>
      <c r="L1167" s="8" t="s">
        <v>295</v>
      </c>
      <c r="M1167" s="24" t="s">
        <v>63</v>
      </c>
      <c r="N1167" s="20" t="str">
        <f t="shared" si="49"/>
        <v>Finalizado</v>
      </c>
      <c r="O11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7" s="4">
        <v>0.27430555555555558</v>
      </c>
      <c r="Q1167" s="4">
        <v>0.31111111111111112</v>
      </c>
      <c r="R1167" s="23">
        <v>0.36249999999999999</v>
      </c>
      <c r="S1167" s="60" t="s">
        <v>254</v>
      </c>
      <c r="T1167" s="1"/>
      <c r="U1167" s="15">
        <f>IF(OR('Controle de CT'!$R1167= "", 'Controle de CT'!$P1167= ""), "", 'Controle de CT'!$R1167-'Controle de CT'!$P1167)</f>
        <v>8.8194444444444409E-2</v>
      </c>
      <c r="V1167" s="1"/>
      <c r="W1167" s="2"/>
      <c r="X1167" s="2"/>
    </row>
    <row r="1168" spans="11:24" ht="15" hidden="1" customHeight="1">
      <c r="K1168" s="5">
        <v>46119</v>
      </c>
      <c r="L1168" s="8" t="s">
        <v>322</v>
      </c>
      <c r="M1168" s="24" t="s">
        <v>63</v>
      </c>
      <c r="N1168" s="20" t="str">
        <f t="shared" si="49"/>
        <v>Finalizado</v>
      </c>
      <c r="O11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8" s="4">
        <v>0.28472222222222221</v>
      </c>
      <c r="Q1168" s="4">
        <v>0.37986111111111109</v>
      </c>
      <c r="R1168" s="23">
        <v>0.42083333333333334</v>
      </c>
      <c r="S1168" s="60" t="s">
        <v>254</v>
      </c>
      <c r="T1168" s="14">
        <f>IF(OR(Tabela1[[#This Row],[Entrada]]="",Tabela1[[#This Row],[Saída]]=""), "", Tabela1[[#This Row],[Saída]]-Tabela1[[#This Row],[Entrada]])</f>
        <v>4.0972222222222243E-2</v>
      </c>
      <c r="U1168" s="15">
        <f>IF(OR('Controle de CT'!$R1168= "", 'Controle de CT'!$P1168= ""), "", 'Controle de CT'!$R1168-'Controle de CT'!$P1168)</f>
        <v>0.13611111111111113</v>
      </c>
      <c r="V1168" s="1" t="s">
        <v>185</v>
      </c>
      <c r="W1168" s="2"/>
      <c r="X1168" s="2"/>
    </row>
    <row r="1169" spans="11:24" ht="15" hidden="1" customHeight="1">
      <c r="K1169" s="5">
        <v>46119</v>
      </c>
      <c r="L1169" s="8" t="s">
        <v>323</v>
      </c>
      <c r="M1169" s="9" t="str">
        <f>IF(Tabela1[[#This Row],[Motorista]]="","",IFERROR(_xlfn.XLOOKUP(Tabela1[[#This Row],[Motorista]],Base!A:A,Base!B:B),""))</f>
        <v>FOB</v>
      </c>
      <c r="N1169" s="20" t="str">
        <f t="shared" si="49"/>
        <v>Finalizado</v>
      </c>
      <c r="O11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69" s="4">
        <v>0.29444444444444445</v>
      </c>
      <c r="Q1169" s="4">
        <v>0.38680555555555557</v>
      </c>
      <c r="R1169" s="23">
        <v>0.45833333333333331</v>
      </c>
      <c r="S1169" s="73" t="s">
        <v>254</v>
      </c>
      <c r="T1169" s="1"/>
      <c r="U1169" s="15">
        <f>IF(OR('Controle de CT'!$R1169= "", 'Controle de CT'!$P1169= ""), "", 'Controle de CT'!$R1169-'Controle de CT'!$P1169)</f>
        <v>0.16388888888888886</v>
      </c>
      <c r="V1169" s="1"/>
      <c r="W1169" s="2"/>
      <c r="X1169" s="2"/>
    </row>
    <row r="1170" spans="11:24" ht="15" hidden="1" customHeight="1">
      <c r="K1170" s="5">
        <v>46119</v>
      </c>
      <c r="L1170" t="s">
        <v>184</v>
      </c>
      <c r="M1170" s="24" t="s">
        <v>63</v>
      </c>
      <c r="N1170" s="20" t="str">
        <f t="shared" si="49"/>
        <v>Finalizado</v>
      </c>
      <c r="O11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0" s="4">
        <v>0.29652777777777778</v>
      </c>
      <c r="Q1170" s="4">
        <v>0.38472222222222224</v>
      </c>
      <c r="R1170" s="23">
        <v>0.42499999999999999</v>
      </c>
      <c r="S1170" s="73" t="s">
        <v>254</v>
      </c>
      <c r="T1170" s="1"/>
      <c r="U1170" s="15">
        <f>IF(OR('Controle de CT'!$R1170= "", 'Controle de CT'!$P1170= ""), "", 'Controle de CT'!$R1170-'Controle de CT'!$P1170)</f>
        <v>0.12847222222222221</v>
      </c>
      <c r="V1170" s="1"/>
      <c r="W1170" s="2"/>
      <c r="X1170" s="2"/>
    </row>
    <row r="1171" spans="11:24" ht="15" hidden="1" customHeight="1">
      <c r="K1171" s="5">
        <v>46119</v>
      </c>
      <c r="L1171" s="8" t="s">
        <v>296</v>
      </c>
      <c r="M1171" s="9" t="s">
        <v>63</v>
      </c>
      <c r="N1171" s="20" t="str">
        <f t="shared" si="49"/>
        <v>Finalizado</v>
      </c>
      <c r="O11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71" s="4">
        <v>0.30138888888888887</v>
      </c>
      <c r="Q1171" s="4">
        <v>0.39305555555555555</v>
      </c>
      <c r="R1171" s="4">
        <v>0.43611111111111112</v>
      </c>
      <c r="S1171" s="73" t="s">
        <v>254</v>
      </c>
      <c r="T1171" s="1"/>
      <c r="U1171" s="15">
        <f>IF(OR('Controle de CT'!$R1171= "", 'Controle de CT'!$P1171= ""), "", 'Controle de CT'!$R1171-'Controle de CT'!$P1171)</f>
        <v>0.13472222222222224</v>
      </c>
      <c r="V1171" s="1"/>
      <c r="W1171" s="2"/>
      <c r="X1171" s="2"/>
    </row>
    <row r="1172" spans="11:24" ht="15" hidden="1" customHeight="1">
      <c r="K1172" s="5">
        <v>46119</v>
      </c>
      <c r="L1172" s="8" t="s">
        <v>324</v>
      </c>
      <c r="M1172" s="9" t="s">
        <v>63</v>
      </c>
      <c r="N1172" s="20" t="str">
        <f t="shared" si="49"/>
        <v>Finalizado</v>
      </c>
      <c r="O11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2" s="4">
        <v>0.35833333333333334</v>
      </c>
      <c r="Q1172" s="4">
        <v>0.39444444444444443</v>
      </c>
      <c r="R1172" s="23">
        <v>0.48958333333333331</v>
      </c>
      <c r="S1172" s="73" t="s">
        <v>254</v>
      </c>
      <c r="T1172" s="14">
        <f>IF(OR(Tabela1[[#This Row],[Entrada]]="",Tabela1[[#This Row],[Saída]]=""), "", Tabela1[[#This Row],[Saída]]-Tabela1[[#This Row],[Entrada]])</f>
        <v>9.5138888888888884E-2</v>
      </c>
      <c r="U1172" s="15">
        <f>IF(OR('Controle de CT'!$R1172= "", 'Controle de CT'!$P1172= ""), "", 'Controle de CT'!$R1172-'Controle de CT'!$P1172)</f>
        <v>0.13124999999999998</v>
      </c>
      <c r="V1172" s="1"/>
      <c r="W1172" s="2"/>
      <c r="X1172" s="2"/>
    </row>
    <row r="1173" spans="11:24" ht="15" hidden="1" customHeight="1">
      <c r="K1173" s="5">
        <v>46119</v>
      </c>
      <c r="L1173" s="8" t="s">
        <v>162</v>
      </c>
      <c r="M1173" s="9" t="str">
        <f>IF(Tabela1[[#This Row],[Motorista]]="","",IFERROR(_xlfn.XLOOKUP(Tabela1[[#This Row],[Motorista]],Base!A:A,Base!B:B),""))</f>
        <v>FOB</v>
      </c>
      <c r="N1173" s="20" t="str">
        <f t="shared" si="49"/>
        <v>Finalizado</v>
      </c>
      <c r="O11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3" s="4">
        <v>0.37847222222222221</v>
      </c>
      <c r="Q1173" s="4">
        <v>0.42916666666666664</v>
      </c>
      <c r="R1173" s="23">
        <v>0.42916666666666664</v>
      </c>
      <c r="S1173" s="60" t="s">
        <v>254</v>
      </c>
      <c r="T1173" s="1"/>
      <c r="U1173" s="15">
        <f>IF(OR('Controle de CT'!$R1173= "", 'Controle de CT'!$P1173= ""), "", 'Controle de CT'!$R1173-'Controle de CT'!$P1173)</f>
        <v>5.0694444444444431E-2</v>
      </c>
      <c r="V1173" s="1" t="s">
        <v>325</v>
      </c>
      <c r="W1173" s="2"/>
      <c r="X1173" s="2"/>
    </row>
    <row r="1174" spans="11:24" ht="15" hidden="1" customHeight="1">
      <c r="K1174" s="5">
        <v>46119</v>
      </c>
      <c r="L1174" t="s">
        <v>168</v>
      </c>
      <c r="M1174" s="78" t="s">
        <v>63</v>
      </c>
      <c r="N1174" s="20" t="str">
        <f t="shared" si="49"/>
        <v>Finalizado</v>
      </c>
      <c r="O11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4" s="4">
        <v>0.38611111111111113</v>
      </c>
      <c r="Q1174" s="4">
        <v>0.59375</v>
      </c>
      <c r="R1174" s="4">
        <v>0.59375</v>
      </c>
      <c r="S1174" s="60" t="s">
        <v>254</v>
      </c>
      <c r="T1174" s="1"/>
      <c r="U1174" s="15">
        <f>IF(OR('Controle de CT'!$R1174= "", 'Controle de CT'!$P1174= ""), "", 'Controle de CT'!$R1174-'Controle de CT'!$P1174)</f>
        <v>0.20763888888888887</v>
      </c>
      <c r="V1174" s="1" t="s">
        <v>326</v>
      </c>
      <c r="W1174" s="2"/>
      <c r="X1174" s="2"/>
    </row>
    <row r="1175" spans="11:24" ht="15" hidden="1" customHeight="1">
      <c r="K1175" s="5">
        <v>46119</v>
      </c>
      <c r="L1175" s="8" t="s">
        <v>327</v>
      </c>
      <c r="M1175" s="9" t="s">
        <v>63</v>
      </c>
      <c r="N1175" s="20" t="str">
        <f t="shared" si="49"/>
        <v>Finalizado</v>
      </c>
      <c r="O11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5" s="4">
        <v>0.41249999999999998</v>
      </c>
      <c r="Q1175" s="4">
        <v>0.48749999999999999</v>
      </c>
      <c r="R1175" s="23">
        <v>0.54513888888888884</v>
      </c>
      <c r="S1175" s="60" t="s">
        <v>254</v>
      </c>
      <c r="T1175" s="1"/>
      <c r="U1175" s="15">
        <f>IF(OR('Controle de CT'!$R1175= "", 'Controle de CT'!$P1175= ""), "", 'Controle de CT'!$R1175-'Controle de CT'!$P1175)</f>
        <v>0.13263888888888886</v>
      </c>
      <c r="V1175" s="1" t="s">
        <v>185</v>
      </c>
      <c r="W1175" s="2"/>
      <c r="X1175" s="2"/>
    </row>
    <row r="1176" spans="11:24" ht="15" hidden="1" customHeight="1">
      <c r="K1176" s="5">
        <v>46119</v>
      </c>
      <c r="L1176" s="8" t="s">
        <v>116</v>
      </c>
      <c r="M1176" s="9" t="str">
        <f>IF(Tabela1[[#This Row],[Motorista]]="","",IFERROR(_xlfn.XLOOKUP(Tabela1[[#This Row],[Motorista]],Base!A:A,Base!B:B),""))</f>
        <v xml:space="preserve">CIF </v>
      </c>
      <c r="N1176" s="20" t="str">
        <f t="shared" si="49"/>
        <v>Finalizado</v>
      </c>
      <c r="O11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76" s="4">
        <v>0.44930555555555557</v>
      </c>
      <c r="Q1176" s="4">
        <v>0.46041666666666664</v>
      </c>
      <c r="R1176" s="23">
        <v>0.52152777777777781</v>
      </c>
      <c r="S1176" s="60" t="s">
        <v>254</v>
      </c>
      <c r="T1176" s="1"/>
      <c r="U1176" s="15">
        <f>IF(OR('Controle de CT'!$R1176= "", 'Controle de CT'!$P1176= ""), "", 'Controle de CT'!$R1176-'Controle de CT'!$P1176)</f>
        <v>7.2222222222222243E-2</v>
      </c>
      <c r="V1176" s="1"/>
      <c r="W1176" s="2"/>
      <c r="X1176" s="2"/>
    </row>
    <row r="1177" spans="11:24" ht="15" hidden="1" customHeight="1">
      <c r="K1177" s="5">
        <v>46119</v>
      </c>
      <c r="L1177" s="8" t="s">
        <v>255</v>
      </c>
      <c r="M1177" s="9" t="s">
        <v>321</v>
      </c>
      <c r="N1177" s="20" t="str">
        <f t="shared" si="49"/>
        <v>Finalizado</v>
      </c>
      <c r="O11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77" s="4">
        <v>0.45347222222222222</v>
      </c>
      <c r="Q1177" s="4">
        <v>0.46319444444444446</v>
      </c>
      <c r="R1177" s="23">
        <v>0.49583333333333335</v>
      </c>
      <c r="S1177" s="60" t="s">
        <v>254</v>
      </c>
      <c r="T1177" s="1"/>
      <c r="U1177" s="15">
        <f>IF(OR('Controle de CT'!$R1177= "", 'Controle de CT'!$P1177= ""), "", 'Controle de CT'!$R1177-'Controle de CT'!$P1177)</f>
        <v>4.2361111111111127E-2</v>
      </c>
      <c r="V1177" s="1"/>
      <c r="W1177" s="2"/>
      <c r="X1177" s="2"/>
    </row>
    <row r="1178" spans="11:24" ht="15" hidden="1" customHeight="1">
      <c r="K1178" s="5">
        <v>46119</v>
      </c>
      <c r="L1178" s="8" t="s">
        <v>328</v>
      </c>
      <c r="M1178" s="9" t="s">
        <v>321</v>
      </c>
      <c r="N1178" s="20" t="str">
        <f t="shared" si="49"/>
        <v>Finalizado</v>
      </c>
      <c r="O11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78" s="4">
        <v>0.45347222222222222</v>
      </c>
      <c r="Q1178" s="4">
        <v>0.46527777777777779</v>
      </c>
      <c r="R1178" s="23">
        <v>0.52569444444444446</v>
      </c>
      <c r="S1178" s="60" t="s">
        <v>254</v>
      </c>
      <c r="T1178" s="1"/>
      <c r="U1178" s="15">
        <f>IF(OR('Controle de CT'!$R1178= "", 'Controle de CT'!$P1178= ""), "", 'Controle de CT'!$R1178-'Controle de CT'!$P1178)</f>
        <v>7.2222222222222243E-2</v>
      </c>
      <c r="V1178" s="1"/>
      <c r="W1178" s="2"/>
      <c r="X1178" s="2"/>
    </row>
    <row r="1179" spans="11:24" ht="15" hidden="1" customHeight="1">
      <c r="K1179" s="5">
        <v>46119</v>
      </c>
      <c r="L1179" s="8" t="s">
        <v>278</v>
      </c>
      <c r="M1179" s="9" t="str">
        <f>IF(Tabela1[[#This Row],[Motorista]]="","",IFERROR(_xlfn.XLOOKUP(Tabela1[[#This Row],[Motorista]],Base!A:A,Base!B:B),""))</f>
        <v>FOB</v>
      </c>
      <c r="N1179" s="20" t="str">
        <f t="shared" si="49"/>
        <v>Finalizado</v>
      </c>
      <c r="O11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79" s="4">
        <v>0.45624999999999999</v>
      </c>
      <c r="Q1179" s="4">
        <v>0.4826388888888889</v>
      </c>
      <c r="R1179" s="23">
        <v>0.55486111111111114</v>
      </c>
      <c r="S1179" s="60" t="s">
        <v>254</v>
      </c>
      <c r="T1179" s="1"/>
      <c r="U1179" s="15">
        <f>IF(OR('Controle de CT'!$R1179= "", 'Controle de CT'!$P1179= ""), "", 'Controle de CT'!$R1179-'Controle de CT'!$P1179)</f>
        <v>9.8611111111111149E-2</v>
      </c>
      <c r="V1179" s="1"/>
      <c r="W1179" s="2"/>
      <c r="X1179" s="2"/>
    </row>
    <row r="1180" spans="11:24" ht="15" hidden="1" customHeight="1">
      <c r="K1180" s="5">
        <v>46119</v>
      </c>
      <c r="L1180" t="s">
        <v>115</v>
      </c>
      <c r="M1180" s="24" t="s">
        <v>321</v>
      </c>
      <c r="N1180" s="20" t="str">
        <f t="shared" si="49"/>
        <v>Finalizado</v>
      </c>
      <c r="O11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0" s="4">
        <v>0.46875</v>
      </c>
      <c r="Q1180" s="4">
        <v>0.48749999999999999</v>
      </c>
      <c r="R1180" s="23">
        <v>0.55208333333333337</v>
      </c>
      <c r="S1180" s="60" t="s">
        <v>254</v>
      </c>
      <c r="T1180" s="1"/>
      <c r="U1180" s="15">
        <f>IF(OR('Controle de CT'!$R1180= "", 'Controle de CT'!$P1180= ""), "", 'Controle de CT'!$R1180-'Controle de CT'!$P1180)</f>
        <v>8.333333333333337E-2</v>
      </c>
      <c r="V1180" s="1"/>
      <c r="W1180" s="2"/>
      <c r="X1180" s="2"/>
    </row>
    <row r="1181" spans="11:24" ht="15" hidden="1" customHeight="1">
      <c r="K1181" s="5">
        <v>46119</v>
      </c>
      <c r="L1181" s="8" t="s">
        <v>329</v>
      </c>
      <c r="M1181" s="9" t="s">
        <v>63</v>
      </c>
      <c r="N1181" s="20" t="str">
        <f t="shared" si="49"/>
        <v>Finalizado</v>
      </c>
      <c r="O11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1" s="4">
        <v>0.47083333333333333</v>
      </c>
      <c r="Q1181" s="4">
        <v>0.52361111111111114</v>
      </c>
      <c r="R1181" s="23">
        <v>0.64583333333333337</v>
      </c>
      <c r="S1181" s="60" t="s">
        <v>254</v>
      </c>
      <c r="T1181" s="1"/>
      <c r="U1181" s="15">
        <f>IF(OR('Controle de CT'!$R1181= "", 'Controle de CT'!$P1181= ""), "", 'Controle de CT'!$R1181-'Controle de CT'!$P1181)</f>
        <v>0.17500000000000004</v>
      </c>
      <c r="V1181" s="1"/>
      <c r="W1181" s="2"/>
      <c r="X1181" s="2"/>
    </row>
    <row r="1182" spans="11:24" ht="15" hidden="1" customHeight="1">
      <c r="K1182" s="5">
        <v>46119</v>
      </c>
      <c r="L1182" s="8" t="s">
        <v>319</v>
      </c>
      <c r="M1182" s="9" t="s">
        <v>62</v>
      </c>
      <c r="N1182" s="20" t="str">
        <f t="shared" si="49"/>
        <v>Finalizado</v>
      </c>
      <c r="O11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82" s="4">
        <v>0.47222222222222221</v>
      </c>
      <c r="Q1182" s="4">
        <v>0.58472222222222225</v>
      </c>
      <c r="R1182" s="23">
        <v>0.58472222222222225</v>
      </c>
      <c r="S1182" s="60" t="s">
        <v>254</v>
      </c>
      <c r="T1182" s="1"/>
      <c r="U1182" s="15">
        <f>IF(OR('Controle de CT'!$R1182= "", 'Controle de CT'!$P1182= ""), "", 'Controle de CT'!$R1182-'Controle de CT'!$P1182)</f>
        <v>0.11250000000000004</v>
      </c>
      <c r="V1182" s="1" t="s">
        <v>330</v>
      </c>
      <c r="W1182" s="2"/>
      <c r="X1182" s="2"/>
    </row>
    <row r="1183" spans="11:24" ht="15" hidden="1" customHeight="1">
      <c r="K1183" s="5">
        <v>46119</v>
      </c>
      <c r="L1183" s="8" t="s">
        <v>107</v>
      </c>
      <c r="M1183" s="9" t="s">
        <v>63</v>
      </c>
      <c r="N1183" s="20" t="str">
        <f t="shared" si="49"/>
        <v>Finalizado</v>
      </c>
      <c r="O11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3" s="4">
        <v>0.52847222222222223</v>
      </c>
      <c r="Q1183" s="4">
        <v>0.52916666666666667</v>
      </c>
      <c r="R1183" s="23">
        <v>0.62361111111111112</v>
      </c>
      <c r="S1183" s="60" t="s">
        <v>254</v>
      </c>
      <c r="T1183" s="14">
        <f>IF(OR(Tabela1[[#This Row],[Entrada]]="",Tabela1[[#This Row],[Saída]]=""), "", Tabela1[[#This Row],[Saída]]-Tabela1[[#This Row],[Entrada]])</f>
        <v>9.4444444444444442E-2</v>
      </c>
      <c r="U1183" s="15">
        <f>IF(OR('Controle de CT'!$R1183= "", 'Controle de CT'!$P1183= ""), "", 'Controle de CT'!$R1183-'Controle de CT'!$P1183)</f>
        <v>9.5138888888888884E-2</v>
      </c>
      <c r="V1183" s="1"/>
      <c r="W1183" s="2"/>
      <c r="X1183" s="2"/>
    </row>
    <row r="1184" spans="11:24" ht="15" hidden="1" customHeight="1">
      <c r="K1184" s="5">
        <v>46119</v>
      </c>
      <c r="L1184" s="8" t="s">
        <v>296</v>
      </c>
      <c r="M1184" s="9" t="s">
        <v>63</v>
      </c>
      <c r="N1184" s="20" t="str">
        <f t="shared" si="49"/>
        <v>Finalizado</v>
      </c>
      <c r="O11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84" s="4">
        <v>0.51180555555555551</v>
      </c>
      <c r="Q1184" s="4">
        <v>0.54861111111111116</v>
      </c>
      <c r="R1184" s="23">
        <v>0.60138888888888886</v>
      </c>
      <c r="S1184" s="60" t="s">
        <v>254</v>
      </c>
      <c r="T1184" s="1"/>
      <c r="U1184" s="15">
        <f>IF(OR('Controle de CT'!$R1184= "", 'Controle de CT'!$P1184= ""), "", 'Controle de CT'!$R1184-'Controle de CT'!$P1184)</f>
        <v>8.9583333333333348E-2</v>
      </c>
      <c r="V1184" s="1"/>
      <c r="W1184" s="2"/>
      <c r="X1184" s="2"/>
    </row>
    <row r="1185" spans="11:24" ht="15" hidden="1" customHeight="1">
      <c r="K1185" s="5">
        <v>46119</v>
      </c>
      <c r="L1185" s="8" t="s">
        <v>46</v>
      </c>
      <c r="M1185" s="9" t="str">
        <f>IF(Tabela1[[#This Row],[Motorista]]="","",IFERROR(_xlfn.XLOOKUP(Tabela1[[#This Row],[Motorista]],Base!A:A,Base!B:B),""))</f>
        <v>CIF</v>
      </c>
      <c r="N1185" s="20" t="str">
        <f t="shared" si="49"/>
        <v>Finalizado</v>
      </c>
      <c r="O11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85" s="4">
        <v>0.50069444444444444</v>
      </c>
      <c r="Q1185" s="4">
        <v>0.54236111111111107</v>
      </c>
      <c r="R1185" s="23">
        <v>0.63541666666666663</v>
      </c>
      <c r="S1185" s="60" t="s">
        <v>254</v>
      </c>
      <c r="T1185" s="1"/>
      <c r="U1185" s="15">
        <f>IF(OR('Controle de CT'!$R1185= "", 'Controle de CT'!$P1185= ""), "", 'Controle de CT'!$R1185-'Controle de CT'!$P1185)</f>
        <v>0.13472222222222219</v>
      </c>
      <c r="V1185" s="1"/>
      <c r="W1185" s="2"/>
      <c r="X1185" s="2"/>
    </row>
    <row r="1186" spans="11:24" ht="15" hidden="1" customHeight="1">
      <c r="K1186" s="5">
        <v>46119</v>
      </c>
      <c r="L1186" s="8" t="s">
        <v>331</v>
      </c>
      <c r="M1186" s="9" t="str">
        <f>IF(Tabela1[[#This Row],[Motorista]]="","",IFERROR(_xlfn.XLOOKUP(Tabela1[[#This Row],[Motorista]],Base!A:A,Base!B:B),""))</f>
        <v/>
      </c>
      <c r="N1186" s="20" t="str">
        <f t="shared" si="49"/>
        <v>Finalizado</v>
      </c>
      <c r="O11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6" s="4">
        <v>0.61805555555555558</v>
      </c>
      <c r="Q1186" s="4">
        <v>0.63888888888888884</v>
      </c>
      <c r="R1186" s="23">
        <v>0.6875</v>
      </c>
      <c r="S1186" s="60" t="s">
        <v>254</v>
      </c>
      <c r="T1186" s="1"/>
      <c r="U1186" s="15">
        <f>IF(OR('Controle de CT'!$R1186= "", 'Controle de CT'!$P1186= ""), "", 'Controle de CT'!$R1186-'Controle de CT'!$P1186)</f>
        <v>6.944444444444442E-2</v>
      </c>
      <c r="V1186" s="1"/>
      <c r="W1186" s="2"/>
      <c r="X1186" s="2"/>
    </row>
    <row r="1187" spans="11:24" ht="15" hidden="1" customHeight="1">
      <c r="K1187" s="5">
        <v>46119</v>
      </c>
      <c r="L1187" s="8" t="s">
        <v>90</v>
      </c>
      <c r="M1187" s="9" t="str">
        <f>IF(Tabela1[[#This Row],[Motorista]]="","",IFERROR(_xlfn.XLOOKUP(Tabela1[[#This Row],[Motorista]],Base!A:A,Base!B:B),""))</f>
        <v>FOB</v>
      </c>
      <c r="N1187" s="20" t="str">
        <f t="shared" ref="N1187:N1191" si="50">IF(R1187&lt;&gt;"","Finalizado", IF(Q1187&lt;&gt;"","Fila de Carregamento", IF(P1187&lt;&gt;"","Aguardando Entrada","")))</f>
        <v>Finalizado</v>
      </c>
      <c r="O11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7" s="4">
        <v>0.63888888888888884</v>
      </c>
      <c r="Q1187" s="4">
        <v>0.64652777777777781</v>
      </c>
      <c r="R1187" s="4">
        <v>0.69444444444444442</v>
      </c>
      <c r="S1187" s="73" t="s">
        <v>254</v>
      </c>
      <c r="T1187" s="1"/>
      <c r="U1187" s="15">
        <f>IF(OR('Controle de CT'!$R1187= "", 'Controle de CT'!$P1187= ""), "", 'Controle de CT'!$R1187-'Controle de CT'!$P1187)</f>
        <v>5.555555555555558E-2</v>
      </c>
      <c r="V1187" s="1"/>
      <c r="W1187" s="2"/>
      <c r="X1187" s="2"/>
    </row>
    <row r="1188" spans="11:24" ht="15" hidden="1" customHeight="1">
      <c r="K1188" s="5">
        <v>46119</v>
      </c>
      <c r="L1188" s="8" t="s">
        <v>48</v>
      </c>
      <c r="M1188" s="9" t="str">
        <f>IF(Tabela1[[#This Row],[Motorista]]="","",IFERROR(_xlfn.XLOOKUP(Tabela1[[#This Row],[Motorista]],Base!A:A,Base!B:B),""))</f>
        <v>CIF</v>
      </c>
      <c r="N1188" s="20" t="str">
        <f t="shared" si="50"/>
        <v>Finalizado</v>
      </c>
      <c r="O11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8" s="4">
        <v>0.6118055555555556</v>
      </c>
      <c r="Q1188" s="4">
        <v>0.6166666666666667</v>
      </c>
      <c r="R1188" s="2">
        <v>0.66736111111111107</v>
      </c>
      <c r="S1188" s="73" t="s">
        <v>254</v>
      </c>
      <c r="T1188" s="1"/>
      <c r="U1188" s="15">
        <f>IF(OR('Controle de CT'!$R1188= "", 'Controle de CT'!$P1188= ""), "", 'Controle de CT'!$R1188-'Controle de CT'!$P1188)</f>
        <v>5.5555555555555469E-2</v>
      </c>
      <c r="V1188" s="1" t="s">
        <v>332</v>
      </c>
      <c r="W1188" s="2"/>
      <c r="X1188" s="2"/>
    </row>
    <row r="1189" spans="11:24" ht="15" hidden="1" customHeight="1">
      <c r="K1189" s="5">
        <v>46119</v>
      </c>
      <c r="L1189" s="8" t="s">
        <v>91</v>
      </c>
      <c r="M1189" s="9" t="str">
        <f>IF(Tabela1[[#This Row],[Motorista]]="","",IFERROR(_xlfn.XLOOKUP(Tabela1[[#This Row],[Motorista]],Base!A:A,Base!B:B),""))</f>
        <v>FOB</v>
      </c>
      <c r="N1189" s="20" t="str">
        <f t="shared" si="50"/>
        <v>Finalizado</v>
      </c>
      <c r="O11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89" s="4">
        <v>0.52847222222222223</v>
      </c>
      <c r="Q1189" s="4">
        <v>0.54305555555555551</v>
      </c>
      <c r="R1189" s="2">
        <v>0.60138888888888886</v>
      </c>
      <c r="S1189" s="73" t="s">
        <v>254</v>
      </c>
      <c r="T1189" s="1"/>
      <c r="U1189" s="15">
        <f>IF(OR('Controle de CT'!$R1189= "", 'Controle de CT'!$P1189= ""), "", 'Controle de CT'!$R1189-'Controle de CT'!$P1189)</f>
        <v>7.291666666666663E-2</v>
      </c>
      <c r="V1189" s="1"/>
      <c r="W1189" s="2"/>
      <c r="X1189" s="2"/>
    </row>
    <row r="1190" spans="11:24" ht="15" hidden="1" customHeight="1">
      <c r="K1190" s="5">
        <v>46119</v>
      </c>
      <c r="L1190" s="8" t="s">
        <v>181</v>
      </c>
      <c r="M1190" s="9" t="str">
        <f>IF(Tabela1[[#This Row],[Motorista]]="","",IFERROR(_xlfn.XLOOKUP(Tabela1[[#This Row],[Motorista]],Base!A:A,Base!B:B),""))</f>
        <v>FOB</v>
      </c>
      <c r="N1190" s="20" t="str">
        <f t="shared" si="50"/>
        <v>Fila de Carregamento</v>
      </c>
      <c r="O11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0" s="4">
        <v>0.62986111111111109</v>
      </c>
      <c r="Q1190" s="4">
        <v>0.6875</v>
      </c>
      <c r="S1190" s="73" t="s">
        <v>254</v>
      </c>
      <c r="T1190" s="1"/>
      <c r="U1190" s="15" t="str">
        <f>IF(OR('Controle de CT'!$R1190= "", 'Controle de CT'!$P1190= ""), "", 'Controle de CT'!$R1190-'Controle de CT'!$P1190)</f>
        <v/>
      </c>
      <c r="V1190" s="1"/>
      <c r="W1190" s="2"/>
      <c r="X1190" s="2"/>
    </row>
    <row r="1191" spans="11:24" ht="15" hidden="1" customHeight="1">
      <c r="K1191" s="5">
        <v>46119</v>
      </c>
      <c r="L1191" s="8" t="s">
        <v>87</v>
      </c>
      <c r="M1191" s="9" t="str">
        <f>IF(Tabela1[[#This Row],[Motorista]]="","",IFERROR(_xlfn.XLOOKUP(Tabela1[[#This Row],[Motorista]],Base!A:A,Base!B:B),""))</f>
        <v>FOB</v>
      </c>
      <c r="N1191" s="20" t="str">
        <f t="shared" si="50"/>
        <v>Finalizado</v>
      </c>
      <c r="O11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1" s="4">
        <v>0.66249999999999998</v>
      </c>
      <c r="Q1191" s="4">
        <v>0.66736111111111107</v>
      </c>
      <c r="R1191" s="2">
        <v>0.70972222222222225</v>
      </c>
      <c r="S1191" s="73" t="s">
        <v>254</v>
      </c>
      <c r="T1191" s="1"/>
      <c r="U1191" s="15">
        <f>IF(OR('Controle de CT'!$R1191= "", 'Controle de CT'!$P1191= ""), "", 'Controle de CT'!$R1191-'Controle de CT'!$P1191)</f>
        <v>4.7222222222222276E-2</v>
      </c>
      <c r="V1191" s="1"/>
      <c r="W1191" s="2"/>
      <c r="X1191" s="2"/>
    </row>
    <row r="1192" spans="11:24" ht="15" hidden="1" customHeight="1">
      <c r="K1192" s="88">
        <v>46120</v>
      </c>
      <c r="L1192" s="24" t="s">
        <v>147</v>
      </c>
      <c r="M1192" s="1" t="s">
        <v>64</v>
      </c>
      <c r="N1192" s="84" t="str">
        <f t="shared" ref="N1192:N1216" si="51">IF(R1192&lt;&gt;"","Finalizado", IF(Q1192&lt;&gt;"","Fila de Carregamento", IF(P1192&lt;&gt;"","Aguardando Entrada","")))</f>
        <v>Finalizado</v>
      </c>
      <c r="O11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2" s="4">
        <v>0.25</v>
      </c>
      <c r="Q1192" s="4">
        <v>0.3</v>
      </c>
      <c r="R1192" s="4">
        <v>0.3</v>
      </c>
      <c r="S1192" s="73" t="s">
        <v>254</v>
      </c>
      <c r="T1192" s="1"/>
      <c r="U1192" s="15">
        <f>IF(OR('Controle de CT'!$R1192= "", 'Controle de CT'!$P1192= ""), "", 'Controle de CT'!$R1192-'Controle de CT'!$P1192)</f>
        <v>4.9999999999999989E-2</v>
      </c>
      <c r="V1192" s="1" t="s">
        <v>333</v>
      </c>
      <c r="W1192" s="2"/>
      <c r="X1192" s="2"/>
    </row>
    <row r="1193" spans="11:24" ht="15" hidden="1" customHeight="1">
      <c r="K1193" s="88">
        <v>46120</v>
      </c>
      <c r="L1193" s="24" t="s">
        <v>235</v>
      </c>
      <c r="M1193" s="1" t="s">
        <v>64</v>
      </c>
      <c r="N1193" s="84" t="str">
        <f t="shared" si="51"/>
        <v>Finalizado</v>
      </c>
      <c r="O11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3" s="4">
        <v>0.25763888888888886</v>
      </c>
      <c r="Q1193" s="4">
        <v>0.31111111111111112</v>
      </c>
      <c r="R1193" s="4">
        <v>0.31111111111111112</v>
      </c>
      <c r="S1193" s="73" t="s">
        <v>254</v>
      </c>
      <c r="T1193" s="1"/>
      <c r="U1193" s="15">
        <f>IF(OR('Controle de CT'!$R1193= "", 'Controle de CT'!$P1193= ""), "", 'Controle de CT'!$R1193-'Controle de CT'!$P1193)</f>
        <v>5.3472222222222254E-2</v>
      </c>
      <c r="V1193" s="1"/>
      <c r="W1193" s="2"/>
      <c r="X1193" s="2"/>
    </row>
    <row r="1194" spans="11:24" ht="15" hidden="1" customHeight="1">
      <c r="K1194" s="88">
        <v>46120</v>
      </c>
      <c r="L1194" s="89" t="s">
        <v>116</v>
      </c>
      <c r="M1194" s="9" t="str">
        <f>IF(Tabela1[[#This Row],[Motorista]]="","",IFERROR(_xlfn.XLOOKUP(Tabela1[[#This Row],[Motorista]],Base!A:A,Base!B:B),""))</f>
        <v xml:space="preserve">CIF </v>
      </c>
      <c r="N1194" s="84" t="str">
        <f t="shared" si="51"/>
        <v>Finalizado</v>
      </c>
      <c r="O11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94" s="4">
        <v>0.20833333333333334</v>
      </c>
      <c r="Q1194" s="4">
        <v>0.2638888888888889</v>
      </c>
      <c r="R1194" s="23">
        <v>0.30902777777777779</v>
      </c>
      <c r="S1194" s="73" t="s">
        <v>254</v>
      </c>
      <c r="T1194" s="1"/>
      <c r="U1194" s="15">
        <f>IF(OR('Controle de CT'!$R1194= "", 'Controle de CT'!$P1194= ""), "", 'Controle de CT'!$R1194-'Controle de CT'!$P1194)</f>
        <v>0.10069444444444445</v>
      </c>
      <c r="V1194" s="1"/>
      <c r="W1194" s="2"/>
      <c r="X1194" s="2"/>
    </row>
    <row r="1195" spans="11:24" ht="15" hidden="1" customHeight="1">
      <c r="K1195" s="88">
        <v>46120</v>
      </c>
      <c r="L1195" s="89" t="s">
        <v>45</v>
      </c>
      <c r="M1195" s="9" t="str">
        <f>IF(Tabela1[[#This Row],[Motorista]]="","",IFERROR(_xlfn.XLOOKUP(Tabela1[[#This Row],[Motorista]],Base!A:A,Base!B:B),""))</f>
        <v>CIF</v>
      </c>
      <c r="N1195" s="84" t="str">
        <f t="shared" si="51"/>
        <v>Finalizado</v>
      </c>
      <c r="O11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5" s="4">
        <v>0.22291666666666668</v>
      </c>
      <c r="Q1195" s="4">
        <v>0.26944444444444443</v>
      </c>
      <c r="R1195" s="23">
        <v>0.30625000000000002</v>
      </c>
      <c r="S1195" s="73" t="s">
        <v>254</v>
      </c>
      <c r="T1195" s="1"/>
      <c r="U1195" s="15">
        <f>IF(OR('Controle de CT'!$R1195= "", 'Controle de CT'!$P1195= ""), "", 'Controle de CT'!$R1195-'Controle de CT'!$P1195)</f>
        <v>8.3333333333333343E-2</v>
      </c>
      <c r="V1195" s="1"/>
      <c r="W1195" s="2"/>
      <c r="X1195" s="2"/>
    </row>
    <row r="1196" spans="11:24" ht="15" hidden="1" customHeight="1">
      <c r="K1196" s="88">
        <v>46120</v>
      </c>
      <c r="L1196" s="89" t="s">
        <v>117</v>
      </c>
      <c r="M1196" s="9" t="str">
        <f>IF(Tabela1[[#This Row],[Motorista]]="","",IFERROR(_xlfn.XLOOKUP(Tabela1[[#This Row],[Motorista]],Base!A:A,Base!B:B),""))</f>
        <v>FOB</v>
      </c>
      <c r="N1196" s="84" t="str">
        <f t="shared" si="51"/>
        <v>Finalizado</v>
      </c>
      <c r="O11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196" s="4">
        <v>0.23402777777777778</v>
      </c>
      <c r="Q1196" s="4">
        <v>0.32847222222222222</v>
      </c>
      <c r="R1196" s="23">
        <v>0.38958333333333334</v>
      </c>
      <c r="S1196" s="73" t="s">
        <v>254</v>
      </c>
      <c r="T1196" s="1"/>
      <c r="U1196" s="15">
        <f>IF(OR('Controle de CT'!$R1196= "", 'Controle de CT'!$P1196= ""), "", 'Controle de CT'!$R1196-'Controle de CT'!$P1196)</f>
        <v>0.15555555555555556</v>
      </c>
      <c r="V1196" s="1" t="s">
        <v>334</v>
      </c>
      <c r="W1196" s="2"/>
      <c r="X1196" s="2"/>
    </row>
    <row r="1197" spans="11:24" ht="15" hidden="1" customHeight="1">
      <c r="K1197" s="88">
        <v>46120</v>
      </c>
      <c r="L1197" s="89" t="s">
        <v>86</v>
      </c>
      <c r="M1197" s="9" t="str">
        <f>IF(Tabela1[[#This Row],[Motorista]]="","",IFERROR(_xlfn.XLOOKUP(Tabela1[[#This Row],[Motorista]],Base!A:A,Base!B:B),""))</f>
        <v>FOB</v>
      </c>
      <c r="N1197" s="84" t="str">
        <f t="shared" si="51"/>
        <v>Finalizado</v>
      </c>
      <c r="O11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97" s="4">
        <v>0.27361111111111114</v>
      </c>
      <c r="Q1197" s="4">
        <v>0.28472222222222221</v>
      </c>
      <c r="R1197" s="23">
        <v>0.33333333333333331</v>
      </c>
      <c r="S1197" s="73" t="s">
        <v>254</v>
      </c>
      <c r="T1197" s="1"/>
      <c r="U1197" s="15">
        <f>IF(OR('Controle de CT'!$R1197= "", 'Controle de CT'!$P1197= ""), "", 'Controle de CT'!$R1197-'Controle de CT'!$P1197)</f>
        <v>5.9722222222222177E-2</v>
      </c>
      <c r="V1197" s="1"/>
      <c r="W1197" s="2"/>
      <c r="X1197" s="2"/>
    </row>
    <row r="1198" spans="11:24" ht="15" hidden="1" customHeight="1">
      <c r="K1198" s="88">
        <v>46120</v>
      </c>
      <c r="L1198" s="24" t="s">
        <v>92</v>
      </c>
      <c r="M1198" s="1" t="s">
        <v>63</v>
      </c>
      <c r="N1198" s="84" t="str">
        <f t="shared" si="51"/>
        <v>Finalizado</v>
      </c>
      <c r="O11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98" s="4">
        <v>0.29791666666666666</v>
      </c>
      <c r="Q1198" s="4">
        <v>0.33402777777777776</v>
      </c>
      <c r="R1198" s="23">
        <v>0.37361111111111112</v>
      </c>
      <c r="S1198" s="73" t="s">
        <v>254</v>
      </c>
      <c r="T1198" s="1"/>
      <c r="U1198" s="15">
        <f>IF(OR('Controle de CT'!$R1198= "", 'Controle de CT'!$P1198= ""), "", 'Controle de CT'!$R1198-'Controle de CT'!$P1198)</f>
        <v>7.5694444444444453E-2</v>
      </c>
      <c r="V1198" s="1"/>
      <c r="W1198" s="2"/>
      <c r="X1198" s="2"/>
    </row>
    <row r="1199" spans="11:24" ht="15" hidden="1" customHeight="1">
      <c r="K1199" s="88">
        <v>46120</v>
      </c>
      <c r="L1199" s="89" t="s">
        <v>52</v>
      </c>
      <c r="M1199" s="9" t="str">
        <f>IF(Tabela1[[#This Row],[Motorista]]="","",IFERROR(_xlfn.XLOOKUP(Tabela1[[#This Row],[Motorista]],Base!A:A,Base!B:B),""))</f>
        <v>CIF</v>
      </c>
      <c r="N1199" s="84" t="str">
        <f t="shared" si="51"/>
        <v>Finalizado</v>
      </c>
      <c r="O11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199" s="4">
        <v>0.33680555555555558</v>
      </c>
      <c r="Q1199" s="4">
        <v>0.34652777777777777</v>
      </c>
      <c r="R1199" s="23">
        <v>0.39374999999999999</v>
      </c>
      <c r="S1199" s="73" t="s">
        <v>254</v>
      </c>
      <c r="T1199" s="1"/>
      <c r="U1199" s="15">
        <f>IF(OR('Controle de CT'!$R1199= "", 'Controle de CT'!$P1199= ""), "", 'Controle de CT'!$R1199-'Controle de CT'!$P1199)</f>
        <v>5.6944444444444409E-2</v>
      </c>
      <c r="V1199" s="1" t="s">
        <v>335</v>
      </c>
      <c r="W1199" s="2"/>
      <c r="X1199" s="2"/>
    </row>
    <row r="1200" spans="11:24" ht="15" hidden="1" customHeight="1">
      <c r="K1200" s="88">
        <v>46120</v>
      </c>
      <c r="L1200" s="89" t="s">
        <v>42</v>
      </c>
      <c r="M1200" s="9" t="str">
        <f>IF(Tabela1[[#This Row],[Motorista]]="","",IFERROR(_xlfn.XLOOKUP(Tabela1[[#This Row],[Motorista]],Base!A:A,Base!B:B),""))</f>
        <v>CIF</v>
      </c>
      <c r="N1200" s="84" t="str">
        <f t="shared" si="51"/>
        <v>Finalizado</v>
      </c>
      <c r="O12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00" s="4">
        <v>0.33819444444444446</v>
      </c>
      <c r="Q1200" s="4">
        <v>0.34791666666666665</v>
      </c>
      <c r="R1200" s="23">
        <v>0.40555555555555556</v>
      </c>
      <c r="S1200" s="73" t="s">
        <v>254</v>
      </c>
      <c r="T1200" s="1"/>
      <c r="U1200" s="15">
        <f>IF(OR('Controle de CT'!$R1200= "", 'Controle de CT'!$P1200= ""), "", 'Controle de CT'!$R1200-'Controle de CT'!$P1200)</f>
        <v>6.7361111111111094E-2</v>
      </c>
      <c r="V1200" s="1" t="s">
        <v>335</v>
      </c>
      <c r="W1200" s="2"/>
      <c r="X1200" s="2"/>
    </row>
    <row r="1201" spans="11:24" ht="15" hidden="1" customHeight="1">
      <c r="K1201" s="88">
        <v>46120</v>
      </c>
      <c r="L1201" s="89" t="s">
        <v>255</v>
      </c>
      <c r="M1201" s="9" t="s">
        <v>62</v>
      </c>
      <c r="N1201" s="84" t="str">
        <f t="shared" si="51"/>
        <v>Finalizado</v>
      </c>
      <c r="O12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01" s="4">
        <v>0.34097222222222223</v>
      </c>
      <c r="Q1201" s="4">
        <v>0.35416666666666669</v>
      </c>
      <c r="R1201" s="23">
        <v>0.40486111111111112</v>
      </c>
      <c r="S1201" s="73" t="s">
        <v>254</v>
      </c>
      <c r="T1201" s="1"/>
      <c r="U1201" s="15">
        <f>IF(OR('Controle de CT'!$R1201= "", 'Controle de CT'!$P1201= ""), "", 'Controle de CT'!$R1201-'Controle de CT'!$P1201)</f>
        <v>6.3888888888888884E-2</v>
      </c>
      <c r="V1201" s="1" t="s">
        <v>335</v>
      </c>
      <c r="W1201" s="2"/>
      <c r="X1201" s="2"/>
    </row>
    <row r="1202" spans="11:24" ht="15" hidden="1" customHeight="1">
      <c r="K1202" s="88">
        <v>46120</v>
      </c>
      <c r="L1202" s="24" t="s">
        <v>278</v>
      </c>
      <c r="M1202" s="1" t="s">
        <v>63</v>
      </c>
      <c r="N1202" s="84" t="str">
        <f t="shared" si="51"/>
        <v>Finalizado</v>
      </c>
      <c r="O12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02" s="4">
        <v>0.36458333333333331</v>
      </c>
      <c r="Q1202" s="4">
        <v>0.37430555555555556</v>
      </c>
      <c r="R1202" s="23">
        <v>0.43680555555555556</v>
      </c>
      <c r="S1202" s="73" t="s">
        <v>254</v>
      </c>
      <c r="T1202" s="1"/>
      <c r="U1202" s="15">
        <f>IF(OR('Controle de CT'!$R1202= "", 'Controle de CT'!$P1202= ""), "", 'Controle de CT'!$R1202-'Controle de CT'!$P1202)</f>
        <v>7.2222222222222243E-2</v>
      </c>
      <c r="V1202" s="1"/>
      <c r="W1202" s="2"/>
      <c r="X1202" s="2"/>
    </row>
    <row r="1203" spans="11:24" ht="15" hidden="1" customHeight="1">
      <c r="K1203" s="88">
        <v>46120</v>
      </c>
      <c r="L1203" s="89" t="s">
        <v>176</v>
      </c>
      <c r="M1203" s="9" t="str">
        <f>IF(Tabela1[[#This Row],[Motorista]]="","",IFERROR(_xlfn.XLOOKUP(Tabela1[[#This Row],[Motorista]],Base!A:A,Base!B:B),""))</f>
        <v>FOB</v>
      </c>
      <c r="N1203" s="84" t="str">
        <f t="shared" si="51"/>
        <v>Finalizado</v>
      </c>
      <c r="O12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3" s="4">
        <v>0.37777777777777777</v>
      </c>
      <c r="Q1203" s="4">
        <v>0.4375</v>
      </c>
      <c r="R1203" s="4">
        <v>0.4375</v>
      </c>
      <c r="S1203" s="73" t="s">
        <v>254</v>
      </c>
      <c r="T1203" s="1"/>
      <c r="U1203" s="15">
        <f>IF(OR('Controle de CT'!$R1203= "", 'Controle de CT'!$P1203= ""), "", 'Controle de CT'!$R1203-'Controle de CT'!$P1203)</f>
        <v>5.9722222222222232E-2</v>
      </c>
      <c r="V1203" s="1" t="s">
        <v>336</v>
      </c>
      <c r="W1203" s="2"/>
      <c r="X1203" s="2"/>
    </row>
    <row r="1204" spans="11:24" ht="15" hidden="1" customHeight="1">
      <c r="K1204" s="88">
        <v>46120</v>
      </c>
      <c r="L1204" s="89" t="s">
        <v>55</v>
      </c>
      <c r="M1204" s="9" t="str">
        <f>IF(Tabela1[[#This Row],[Motorista]]="","",IFERROR(_xlfn.XLOOKUP(Tabela1[[#This Row],[Motorista]],Base!A:A,Base!B:B),""))</f>
        <v>CIF</v>
      </c>
      <c r="N1204" s="84" t="str">
        <f t="shared" si="51"/>
        <v>Finalizado</v>
      </c>
      <c r="O12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4" s="4">
        <v>0.39305555555555555</v>
      </c>
      <c r="Q1204" s="4">
        <v>0.40625</v>
      </c>
      <c r="R1204" s="4">
        <v>0.40625</v>
      </c>
      <c r="S1204" s="73" t="s">
        <v>254</v>
      </c>
      <c r="T1204" s="1"/>
      <c r="U1204" s="15">
        <f>IF(OR('Controle de CT'!$R1204= "", 'Controle de CT'!$P1204= ""), "", 'Controle de CT'!$R1204-'Controle de CT'!$P1204)</f>
        <v>1.3194444444444453E-2</v>
      </c>
      <c r="V1204" s="1" t="s">
        <v>337</v>
      </c>
      <c r="W1204" s="2"/>
      <c r="X1204" s="2"/>
    </row>
    <row r="1205" spans="11:24" ht="15" hidden="1" customHeight="1">
      <c r="K1205" s="88">
        <v>46120</v>
      </c>
      <c r="L1205" s="89" t="s">
        <v>98</v>
      </c>
      <c r="M1205" s="9" t="str">
        <f>IF(Tabela1[[#This Row],[Motorista]]="","",IFERROR(_xlfn.XLOOKUP(Tabela1[[#This Row],[Motorista]],Base!A:A,Base!B:B),""))</f>
        <v>FOB</v>
      </c>
      <c r="N1205" s="84" t="str">
        <f t="shared" si="51"/>
        <v>Finalizado</v>
      </c>
      <c r="O12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5" s="4">
        <v>0.3840277777777778</v>
      </c>
      <c r="Q1205" s="4">
        <v>0.59583333333333333</v>
      </c>
      <c r="R1205" s="23">
        <v>0.68055555555555558</v>
      </c>
      <c r="S1205" s="73" t="s">
        <v>254</v>
      </c>
      <c r="T1205" s="1"/>
      <c r="U1205" s="15">
        <f>IF(OR('Controle de CT'!$R1205= "", 'Controle de CT'!$P1205= ""), "", 'Controle de CT'!$R1205-'Controle de CT'!$P1205)</f>
        <v>0.29652777777777778</v>
      </c>
      <c r="V1205" s="1" t="s">
        <v>338</v>
      </c>
      <c r="W1205" s="2"/>
      <c r="X1205" s="2"/>
    </row>
    <row r="1206" spans="11:24" ht="15" hidden="1" customHeight="1">
      <c r="K1206" s="88">
        <v>46120</v>
      </c>
      <c r="L1206" s="89" t="s">
        <v>162</v>
      </c>
      <c r="M1206" s="9" t="str">
        <f>IF(Tabela1[[#This Row],[Motorista]]="","",IFERROR(_xlfn.XLOOKUP(Tabela1[[#This Row],[Motorista]],Base!A:A,Base!B:B),""))</f>
        <v>FOB</v>
      </c>
      <c r="N1206" s="84" t="str">
        <f t="shared" si="51"/>
        <v>Finalizado</v>
      </c>
      <c r="O12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6" s="4">
        <v>0.39861111111111114</v>
      </c>
      <c r="Q1206" s="4">
        <v>0.40972222222222221</v>
      </c>
      <c r="R1206" s="23">
        <v>0.46180555555555558</v>
      </c>
      <c r="S1206" s="73" t="s">
        <v>254</v>
      </c>
      <c r="T1206" s="1"/>
      <c r="U1206" s="15">
        <f>IF(OR('Controle de CT'!$R1206= "", 'Controle de CT'!$P1206= ""), "", 'Controle de CT'!$R1206-'Controle de CT'!$P1206)</f>
        <v>6.3194444444444442E-2</v>
      </c>
      <c r="V1206" s="1"/>
      <c r="W1206" s="2"/>
      <c r="X1206" s="2"/>
    </row>
    <row r="1207" spans="11:24" ht="15" hidden="1" customHeight="1">
      <c r="K1207" s="88">
        <v>46120</v>
      </c>
      <c r="L1207" s="24" t="s">
        <v>115</v>
      </c>
      <c r="M1207" s="1" t="s">
        <v>62</v>
      </c>
      <c r="N1207" s="84" t="str">
        <f t="shared" si="51"/>
        <v>Finalizado</v>
      </c>
      <c r="O12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7" s="4">
        <v>0.41388888888888886</v>
      </c>
      <c r="Q1207" s="4">
        <v>0.59861111111111109</v>
      </c>
      <c r="R1207" s="23">
        <v>0.64583333333333337</v>
      </c>
      <c r="S1207" s="73" t="s">
        <v>254</v>
      </c>
      <c r="T1207" s="1"/>
      <c r="U1207" s="15">
        <f>IF(OR('Controle de CT'!$R1207= "", 'Controle de CT'!$P1207= ""), "", 'Controle de CT'!$R1207-'Controle de CT'!$P1207)</f>
        <v>0.23194444444444451</v>
      </c>
      <c r="V1207" s="1" t="s">
        <v>339</v>
      </c>
      <c r="W1207" s="2"/>
      <c r="X1207" s="2"/>
    </row>
    <row r="1208" spans="11:24" ht="15" hidden="1" customHeight="1">
      <c r="K1208" s="88">
        <v>46120</v>
      </c>
      <c r="L1208" s="89" t="s">
        <v>111</v>
      </c>
      <c r="M1208" s="9" t="str">
        <f>IF(Tabela1[[#This Row],[Motorista]]="","",IFERROR(_xlfn.XLOOKUP(Tabela1[[#This Row],[Motorista]],Base!A:A,Base!B:B),""))</f>
        <v>FOB</v>
      </c>
      <c r="N1208" s="84" t="str">
        <f t="shared" si="51"/>
        <v>Finalizado</v>
      </c>
      <c r="O12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08" s="4">
        <v>0.4152777777777778</v>
      </c>
      <c r="Q1208" s="4">
        <v>0.5756944444444444</v>
      </c>
      <c r="R1208" s="23">
        <v>0.63611111111111107</v>
      </c>
      <c r="S1208" s="73" t="s">
        <v>254</v>
      </c>
      <c r="T1208" s="1"/>
      <c r="U1208" s="15">
        <f>IF(OR('Controle de CT'!$R1208= "", 'Controle de CT'!$P1208= ""), "", 'Controle de CT'!$R1208-'Controle de CT'!$P1208)</f>
        <v>0.22083333333333327</v>
      </c>
      <c r="V1208" s="1" t="s">
        <v>340</v>
      </c>
      <c r="W1208" s="2"/>
      <c r="X1208" s="2"/>
    </row>
    <row r="1209" spans="11:24" ht="15" hidden="1" customHeight="1">
      <c r="K1209" s="88">
        <v>46120</v>
      </c>
      <c r="L1209" s="24" t="s">
        <v>92</v>
      </c>
      <c r="M1209" s="1" t="s">
        <v>63</v>
      </c>
      <c r="N1209" s="84" t="str">
        <f t="shared" si="51"/>
        <v>Finalizado</v>
      </c>
      <c r="O12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09" s="4">
        <v>0.44722222222222224</v>
      </c>
      <c r="Q1209" s="4">
        <v>0.47013888888888888</v>
      </c>
      <c r="R1209" s="23">
        <v>0.51666666666666672</v>
      </c>
      <c r="S1209" s="73" t="s">
        <v>254</v>
      </c>
      <c r="T1209" s="1"/>
      <c r="U1209" s="15">
        <f>IF(OR('Controle de CT'!$R1209= "", 'Controle de CT'!$P1209= ""), "", 'Controle de CT'!$R1209-'Controle de CT'!$P1209)</f>
        <v>6.9444444444444475E-2</v>
      </c>
      <c r="V1209" s="1"/>
      <c r="W1209" s="2"/>
      <c r="X1209" s="2"/>
    </row>
    <row r="1210" spans="11:24" ht="15" hidden="1" customHeight="1">
      <c r="K1210" s="88">
        <v>46120</v>
      </c>
      <c r="L1210" s="24" t="s">
        <v>200</v>
      </c>
      <c r="M1210" s="1" t="s">
        <v>63</v>
      </c>
      <c r="N1210" s="84" t="str">
        <f t="shared" si="51"/>
        <v>Finalizado</v>
      </c>
      <c r="O12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0" s="4">
        <v>0.45069444444444445</v>
      </c>
      <c r="Q1210" s="4">
        <v>0.5541666666666667</v>
      </c>
      <c r="R1210" s="23">
        <v>0.58958333333333335</v>
      </c>
      <c r="S1210" s="73" t="s">
        <v>254</v>
      </c>
      <c r="T1210" s="1"/>
      <c r="U1210" s="15">
        <f>IF(OR('Controle de CT'!$R1210= "", 'Controle de CT'!$P1210= ""), "", 'Controle de CT'!$R1210-'Controle de CT'!$P1210)</f>
        <v>0.1388888888888889</v>
      </c>
      <c r="V1210" s="1" t="s">
        <v>334</v>
      </c>
      <c r="W1210" s="2"/>
      <c r="X1210" s="2"/>
    </row>
    <row r="1211" spans="11:24" ht="15" hidden="1" customHeight="1">
      <c r="K1211" s="88">
        <v>46120</v>
      </c>
      <c r="L1211" s="89" t="s">
        <v>57</v>
      </c>
      <c r="M1211" s="9" t="str">
        <f>IF(Tabela1[[#This Row],[Motorista]]="","",IFERROR(_xlfn.XLOOKUP(Tabela1[[#This Row],[Motorista]],Base!A:A,Base!B:B),""))</f>
        <v>CIF</v>
      </c>
      <c r="N1211" s="84" t="str">
        <f t="shared" si="51"/>
        <v>Finalizado</v>
      </c>
      <c r="O12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1" s="4">
        <v>0.47430555555555554</v>
      </c>
      <c r="Q1211" s="4">
        <v>0.48333333333333334</v>
      </c>
      <c r="R1211" s="23">
        <v>0.52222222222222225</v>
      </c>
      <c r="S1211" s="73" t="s">
        <v>254</v>
      </c>
      <c r="T1211" s="1"/>
      <c r="U1211" s="15">
        <f>IF(OR('Controle de CT'!$R1211= "", 'Controle de CT'!$P1211= ""), "", 'Controle de CT'!$R1211-'Controle de CT'!$P1211)</f>
        <v>4.7916666666666718E-2</v>
      </c>
      <c r="V1211" s="1"/>
      <c r="W1211" s="2"/>
      <c r="X1211" s="2"/>
    </row>
    <row r="1212" spans="11:24" ht="15" hidden="1" customHeight="1">
      <c r="K1212" s="88">
        <v>46120</v>
      </c>
      <c r="L1212" s="89" t="s">
        <v>87</v>
      </c>
      <c r="M1212" s="9" t="str">
        <f>IF(Tabela1[[#This Row],[Motorista]]="","",IFERROR(_xlfn.XLOOKUP(Tabela1[[#This Row],[Motorista]],Base!A:A,Base!B:B),""))</f>
        <v>FOB</v>
      </c>
      <c r="N1212" s="84" t="str">
        <f t="shared" si="51"/>
        <v>Finalizado</v>
      </c>
      <c r="O12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2" s="4">
        <v>0.49027777777777776</v>
      </c>
      <c r="Q1212" s="4">
        <v>0.51527777777777772</v>
      </c>
      <c r="R1212" s="23">
        <v>0.56736111111111109</v>
      </c>
      <c r="S1212" s="73" t="s">
        <v>254</v>
      </c>
      <c r="T1212" s="1"/>
      <c r="U1212" s="15">
        <f>IF(OR('Controle de CT'!$R1212= "", 'Controle de CT'!$P1212= ""), "", 'Controle de CT'!$R1212-'Controle de CT'!$P1212)</f>
        <v>7.7083333333333337E-2</v>
      </c>
      <c r="V1212" s="1"/>
      <c r="W1212" s="2"/>
      <c r="X1212" s="2"/>
    </row>
    <row r="1213" spans="11:24" ht="15" hidden="1" customHeight="1">
      <c r="K1213" s="88">
        <v>46120</v>
      </c>
      <c r="L1213" s="89" t="s">
        <v>161</v>
      </c>
      <c r="M1213" s="9" t="str">
        <f>IF(Tabela1[[#This Row],[Motorista]]="","",IFERROR(_xlfn.XLOOKUP(Tabela1[[#This Row],[Motorista]],Base!A:A,Base!B:B),""))</f>
        <v>Transferência</v>
      </c>
      <c r="N1213" s="84" t="str">
        <f t="shared" si="51"/>
        <v>Finalizado</v>
      </c>
      <c r="O12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3" s="4">
        <v>0.50208333333333333</v>
      </c>
      <c r="Q1213" s="4">
        <v>0.56874999999999998</v>
      </c>
      <c r="R1213" s="4">
        <v>0.56874999999999998</v>
      </c>
      <c r="S1213" s="73" t="s">
        <v>254</v>
      </c>
      <c r="T1213" s="14">
        <f>IF(OR(Tabela1[[#This Row],[Entrada]]="",Tabela1[[#This Row],[Saída]]=""), "", Tabela1[[#This Row],[Saída]]-Tabela1[[#This Row],[Entrada]])</f>
        <v>0</v>
      </c>
      <c r="U1213" s="15">
        <f>IF(OR('Controle de CT'!$R1213= "", 'Controle de CT'!$P1213= ""), "", 'Controle de CT'!$R1213-'Controle de CT'!$P1213)</f>
        <v>6.6666666666666652E-2</v>
      </c>
      <c r="V1213" s="1" t="s">
        <v>226</v>
      </c>
      <c r="W1213" s="2"/>
      <c r="X1213" s="2"/>
    </row>
    <row r="1214" spans="11:24" ht="15" hidden="1" customHeight="1">
      <c r="K1214" s="88">
        <v>46120</v>
      </c>
      <c r="L1214" s="24" t="s">
        <v>90</v>
      </c>
      <c r="M1214" s="1" t="s">
        <v>63</v>
      </c>
      <c r="N1214" s="20" t="str">
        <f t="shared" si="51"/>
        <v>Finalizado</v>
      </c>
      <c r="O12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4" s="4">
        <v>0.5229166666666667</v>
      </c>
      <c r="Q1214" s="4">
        <v>0.53749999999999998</v>
      </c>
      <c r="R1214" s="23">
        <v>0.50138888888888888</v>
      </c>
      <c r="S1214" s="73" t="s">
        <v>254</v>
      </c>
      <c r="T1214" s="14">
        <f>IF(OR(Tabela1[[#This Row],[Entrada]]="",Tabela1[[#This Row],[Saída]]=""), "", Tabela1[[#This Row],[Saída]]-Tabela1[[#This Row],[Entrada]])</f>
        <v>-3.6111111111111094E-2</v>
      </c>
      <c r="U1214" s="15">
        <f>IF(OR('Controle de CT'!$R1214= "", 'Controle de CT'!$P1214= ""), "", 'Controle de CT'!$R1214-'Controle de CT'!$P1214)</f>
        <v>-2.1527777777777812E-2</v>
      </c>
      <c r="V1214" s="1"/>
      <c r="W1214" s="2"/>
      <c r="X1214" s="2"/>
    </row>
    <row r="1215" spans="11:24" ht="15" hidden="1" customHeight="1">
      <c r="K1215" s="88">
        <v>46120</v>
      </c>
      <c r="L1215" s="89" t="s">
        <v>42</v>
      </c>
      <c r="M1215" s="9" t="str">
        <f>IF(Tabela1[[#This Row],[Motorista]]="","",IFERROR(_xlfn.XLOOKUP(Tabela1[[#This Row],[Motorista]],Base!A:A,Base!B:B),""))</f>
        <v>CIF</v>
      </c>
      <c r="N1215" s="20" t="str">
        <f t="shared" si="51"/>
        <v>Finalizado</v>
      </c>
      <c r="O12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15" s="4">
        <v>0.53194444444444444</v>
      </c>
      <c r="Q1215" s="4">
        <v>0.57986111111111116</v>
      </c>
      <c r="R1215" s="23">
        <v>0.66319444444444442</v>
      </c>
      <c r="S1215" s="73" t="s">
        <v>254</v>
      </c>
      <c r="T1215" s="1"/>
      <c r="U1215" s="15">
        <f>IF(OR('Controle de CT'!$R1215= "", 'Controle de CT'!$P1215= ""), "", 'Controle de CT'!$R1215-'Controle de CT'!$P1215)</f>
        <v>0.13124999999999998</v>
      </c>
      <c r="V1215" s="1"/>
      <c r="W1215" s="2"/>
      <c r="X1215" s="2"/>
    </row>
    <row r="1216" spans="11:24" ht="15" hidden="1" customHeight="1">
      <c r="K1216" s="88">
        <v>46120</v>
      </c>
      <c r="L1216" s="89" t="s">
        <v>278</v>
      </c>
      <c r="M1216" s="9" t="str">
        <f>IF(Tabela1[[#This Row],[Motorista]]="","",IFERROR(_xlfn.XLOOKUP(Tabela1[[#This Row],[Motorista]],Base!A:A,Base!B:B),""))</f>
        <v>FOB</v>
      </c>
      <c r="N1216" s="20" t="str">
        <f t="shared" si="51"/>
        <v>Finalizado</v>
      </c>
      <c r="O12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16" s="4">
        <v>0.53888888888888886</v>
      </c>
      <c r="Q1216" s="4">
        <v>0.60763888888888884</v>
      </c>
      <c r="R1216" s="23">
        <v>0.7</v>
      </c>
      <c r="S1216" s="73" t="s">
        <v>254</v>
      </c>
      <c r="T1216" s="1"/>
      <c r="U1216" s="15">
        <f>IF(OR('Controle de CT'!$R1216= "", 'Controle de CT'!$P1216= ""), "", 'Controle de CT'!$R1216-'Controle de CT'!$P1216)</f>
        <v>0.16111111111111109</v>
      </c>
      <c r="V1216" s="1"/>
      <c r="W1216" s="2"/>
      <c r="X1216" s="2"/>
    </row>
    <row r="1217" spans="11:24" ht="15" hidden="1" customHeight="1">
      <c r="K1217" s="88">
        <v>46120</v>
      </c>
      <c r="L1217" s="89" t="s">
        <v>255</v>
      </c>
      <c r="M1217" s="9">
        <f>IF(Tabela1[[#This Row],[Motorista]]="","",IFERROR(_xlfn.XLOOKUP(Tabela1[[#This Row],[Motorista]],Base!A:A,Base!B:B),""))</f>
        <v>0</v>
      </c>
      <c r="N1217" s="20" t="str">
        <f t="shared" ref="N1217:N1233" si="52">IF(R1217&lt;&gt;"","Finalizado", IF(Q1217&lt;&gt;"","Fila de Carregamento", IF(P1217&lt;&gt;"","Aguardando Entrada","")))</f>
        <v>Finalizado</v>
      </c>
      <c r="O12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17" s="4">
        <v>0.56111111111111112</v>
      </c>
      <c r="Q1217" s="4">
        <v>0.57986111111111116</v>
      </c>
      <c r="R1217" s="23">
        <v>0.63194444444444442</v>
      </c>
      <c r="S1217" s="73" t="s">
        <v>254</v>
      </c>
      <c r="T1217" s="1"/>
      <c r="U1217" s="15">
        <f>IF(OR('Controle de CT'!$R1217= "", 'Controle de CT'!$P1217= ""), "", 'Controle de CT'!$R1217-'Controle de CT'!$P1217)</f>
        <v>7.0833333333333304E-2</v>
      </c>
      <c r="V1217" s="1"/>
      <c r="W1217" s="2"/>
      <c r="X1217" s="2"/>
    </row>
    <row r="1218" spans="11:24" ht="15" hidden="1" customHeight="1">
      <c r="K1218" s="88">
        <v>46120</v>
      </c>
      <c r="L1218" s="89" t="s">
        <v>152</v>
      </c>
      <c r="M1218" s="9" t="str">
        <f>IF(Tabela1[[#This Row],[Motorista]]="","",IFERROR(_xlfn.XLOOKUP(Tabela1[[#This Row],[Motorista]],Base!A:A,Base!B:B),""))</f>
        <v>RZD</v>
      </c>
      <c r="N1218" s="20" t="str">
        <f t="shared" si="52"/>
        <v>Fila de Carregamento</v>
      </c>
      <c r="O12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8" s="2">
        <v>0.59722222222222221</v>
      </c>
      <c r="Q1218" s="2">
        <v>0.6381944444444444</v>
      </c>
      <c r="R1218" s="23"/>
      <c r="S1218" s="73" t="s">
        <v>254</v>
      </c>
      <c r="T1218" s="1"/>
      <c r="U1218" s="15" t="str">
        <f>IF(OR('Controle de CT'!$R1218= "", 'Controle de CT'!$P1218= ""), "", 'Controle de CT'!$R1218-'Controle de CT'!$P1218)</f>
        <v/>
      </c>
      <c r="V1218" s="1"/>
      <c r="W1218" s="2"/>
      <c r="X1218" s="2"/>
    </row>
    <row r="1219" spans="11:24" ht="15" hidden="1" customHeight="1">
      <c r="K1219" s="88">
        <v>46120</v>
      </c>
      <c r="L1219" s="89" t="s">
        <v>104</v>
      </c>
      <c r="M1219" s="9" t="str">
        <f>IF(Tabela1[[#This Row],[Motorista]]="","",IFERROR(_xlfn.XLOOKUP(Tabela1[[#This Row],[Motorista]],Base!A:A,Base!B:B),""))</f>
        <v>RZD</v>
      </c>
      <c r="N1219" s="20" t="str">
        <f t="shared" si="52"/>
        <v>Fila de Carregamento</v>
      </c>
      <c r="O12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19" s="2">
        <v>0.56805555555555554</v>
      </c>
      <c r="Q1219" s="2">
        <v>0.61111111111111116</v>
      </c>
      <c r="R1219" s="23"/>
      <c r="S1219" s="73" t="s">
        <v>254</v>
      </c>
      <c r="T1219" s="1"/>
      <c r="U1219" s="15" t="str">
        <f>IF(OR('Controle de CT'!$R1219= "", 'Controle de CT'!$P1219= ""), "", 'Controle de CT'!$R1219-'Controle de CT'!$P1219)</f>
        <v/>
      </c>
      <c r="V1219" s="1"/>
      <c r="W1219" s="2"/>
      <c r="X1219" s="2"/>
    </row>
    <row r="1220" spans="11:24" ht="15" hidden="1" customHeight="1">
      <c r="K1220" s="88">
        <v>46120</v>
      </c>
      <c r="L1220" s="89" t="s">
        <v>86</v>
      </c>
      <c r="M1220" s="9" t="str">
        <f>IF(Tabela1[[#This Row],[Motorista]]="","",IFERROR(_xlfn.XLOOKUP(Tabela1[[#This Row],[Motorista]],Base!A:A,Base!B:B),""))</f>
        <v>FOB</v>
      </c>
      <c r="N1220" s="20" t="str">
        <f t="shared" si="52"/>
        <v>Finalizado</v>
      </c>
      <c r="O12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0" s="4">
        <v>0.59652777777777777</v>
      </c>
      <c r="Q1220" s="4">
        <v>0.61111111111111116</v>
      </c>
      <c r="R1220" s="23">
        <v>0.72430555555555554</v>
      </c>
      <c r="S1220" s="73" t="s">
        <v>254</v>
      </c>
      <c r="T1220" s="1"/>
      <c r="U1220" s="15">
        <f>IF(OR('Controle de CT'!$R1220= "", 'Controle de CT'!$P1220= ""), "", 'Controle de CT'!$R1220-'Controle de CT'!$P1220)</f>
        <v>0.12777777777777777</v>
      </c>
      <c r="V1220" s="1"/>
      <c r="W1220" s="2"/>
      <c r="X1220" s="2"/>
    </row>
    <row r="1221" spans="11:24" ht="15" hidden="1" customHeight="1">
      <c r="K1221" s="88">
        <v>46120</v>
      </c>
      <c r="L1221" s="89" t="s">
        <v>106</v>
      </c>
      <c r="M1221" s="9" t="str">
        <f>IF(Tabela1[[#This Row],[Motorista]]="","",IFERROR(_xlfn.XLOOKUP(Tabela1[[#This Row],[Motorista]],Base!A:A,Base!B:B),""))</f>
        <v>FOB</v>
      </c>
      <c r="N1221" s="20" t="str">
        <f t="shared" si="52"/>
        <v>Aguardando Entrada</v>
      </c>
      <c r="O12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21" s="4">
        <v>0.65694444444444444</v>
      </c>
      <c r="Q1221" s="4"/>
      <c r="R1221" s="23"/>
      <c r="S1221" s="73" t="s">
        <v>254</v>
      </c>
      <c r="T1221" s="1"/>
      <c r="U1221" s="15" t="str">
        <f>IF(OR('Controle de CT'!$R1221= "", 'Controle de CT'!$P1221= ""), "", 'Controle de CT'!$R1221-'Controle de CT'!$P1221)</f>
        <v/>
      </c>
      <c r="V1221" s="1"/>
      <c r="W1221" s="2"/>
      <c r="X1221" s="2"/>
    </row>
    <row r="1222" spans="11:24" ht="15" hidden="1" customHeight="1">
      <c r="K1222" s="88">
        <v>46120</v>
      </c>
      <c r="L1222" s="89" t="s">
        <v>52</v>
      </c>
      <c r="M1222" s="9" t="str">
        <f>IF(Tabela1[[#This Row],[Motorista]]="","",IFERROR(_xlfn.XLOOKUP(Tabela1[[#This Row],[Motorista]],Base!A:A,Base!B:B),""))</f>
        <v>CIF</v>
      </c>
      <c r="N1222" s="20" t="str">
        <f t="shared" si="52"/>
        <v>Finalizado</v>
      </c>
      <c r="O12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2" s="4">
        <v>0.57222222222222219</v>
      </c>
      <c r="Q1222" s="4">
        <v>0.59305555555555556</v>
      </c>
      <c r="R1222" s="23">
        <v>0.68055555555555558</v>
      </c>
      <c r="S1222" s="73" t="s">
        <v>254</v>
      </c>
      <c r="T1222" s="1"/>
      <c r="U1222" s="15">
        <f>IF(OR('Controle de CT'!$R1222= "", 'Controle de CT'!$P1222= ""), "", 'Controle de CT'!$R1222-'Controle de CT'!$P1222)</f>
        <v>0.10833333333333339</v>
      </c>
      <c r="V1222" s="1"/>
      <c r="W1222" s="2"/>
      <c r="X1222" s="2"/>
    </row>
    <row r="1223" spans="11:24" ht="15" hidden="1" customHeight="1">
      <c r="K1223" s="88">
        <v>46120</v>
      </c>
      <c r="L1223" s="89" t="s">
        <v>116</v>
      </c>
      <c r="M1223" s="9" t="str">
        <f>IF(Tabela1[[#This Row],[Motorista]]="","",IFERROR(_xlfn.XLOOKUP(Tabela1[[#This Row],[Motorista]],Base!A:A,Base!B:B),""))</f>
        <v xml:space="preserve">CIF </v>
      </c>
      <c r="N1223" s="20" t="str">
        <f t="shared" si="52"/>
        <v>Finalizado</v>
      </c>
      <c r="O12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3" s="4">
        <v>0.55972222222222223</v>
      </c>
      <c r="Q1223" s="4">
        <v>0.59652777777777777</v>
      </c>
      <c r="R1223" s="23">
        <v>0.6958333333333333</v>
      </c>
      <c r="S1223" s="73" t="s">
        <v>254</v>
      </c>
      <c r="T1223" s="1"/>
      <c r="U1223" s="15">
        <f>IF(OR('Controle de CT'!$R1223= "", 'Controle de CT'!$P1223= ""), "", 'Controle de CT'!$R1223-'Controle de CT'!$P1223)</f>
        <v>0.13611111111111107</v>
      </c>
      <c r="V1223" s="1"/>
      <c r="W1223" s="2"/>
      <c r="X1223" s="2"/>
    </row>
    <row r="1224" spans="11:24" ht="15" hidden="1" customHeight="1">
      <c r="K1224" s="88">
        <v>46120</v>
      </c>
      <c r="L1224" s="89" t="s">
        <v>109</v>
      </c>
      <c r="M1224" s="9" t="str">
        <f>IF(Tabela1[[#This Row],[Motorista]]="","",IFERROR(_xlfn.XLOOKUP(Tabela1[[#This Row],[Motorista]],Base!A:A,Base!B:B),""))</f>
        <v>Transferência</v>
      </c>
      <c r="N1224" s="20" t="str">
        <f t="shared" si="52"/>
        <v>Finalizado</v>
      </c>
      <c r="O12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24" s="2">
        <v>0.25069444444444444</v>
      </c>
      <c r="Q1224" s="2">
        <v>0.50416666666666665</v>
      </c>
      <c r="R1224" s="16">
        <v>0.69166666666666665</v>
      </c>
      <c r="S1224" s="92" t="s">
        <v>254</v>
      </c>
      <c r="T1224" s="1"/>
      <c r="U1224" s="15">
        <f>IF(OR('Controle de CT'!$R1224= "", 'Controle de CT'!$P1224= ""), "", 'Controle de CT'!$R1224-'Controle de CT'!$P1224)</f>
        <v>0.44097222222222221</v>
      </c>
      <c r="V1224" s="1" t="s">
        <v>341</v>
      </c>
      <c r="W1224" s="2"/>
      <c r="X1224" s="2"/>
    </row>
    <row r="1225" spans="11:24" ht="15" hidden="1" customHeight="1">
      <c r="K1225" s="88">
        <v>46121</v>
      </c>
      <c r="L1225" s="8" t="s">
        <v>116</v>
      </c>
      <c r="M1225" s="9" t="str">
        <f>IF(Tabela1[[#This Row],[Motorista]]="","",IFERROR(_xlfn.XLOOKUP(Tabela1[[#This Row],[Motorista]],Base!A:A,Base!B:B),""))</f>
        <v xml:space="preserve">CIF </v>
      </c>
      <c r="N1225" s="20" t="str">
        <f t="shared" si="52"/>
        <v>Finalizado</v>
      </c>
      <c r="O12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5" s="2">
        <v>0.21180555555555555</v>
      </c>
      <c r="Q1225" s="2">
        <v>0.25972222222222224</v>
      </c>
      <c r="R1225" s="2">
        <v>0.28402777777777777</v>
      </c>
      <c r="S1225" s="91" t="s">
        <v>254</v>
      </c>
      <c r="T1225" s="1"/>
      <c r="U1225" s="15">
        <f>IF(OR('Controle de CT'!$R1225= "", 'Controle de CT'!$P1225= ""), "", 'Controle de CT'!$R1225-'Controle de CT'!$P1225)</f>
        <v>7.2222222222222215E-2</v>
      </c>
      <c r="V1225" s="1"/>
      <c r="W1225" s="2"/>
      <c r="X1225" s="2"/>
    </row>
    <row r="1226" spans="11:24" ht="15" hidden="1" customHeight="1">
      <c r="K1226" s="88">
        <v>46121</v>
      </c>
      <c r="L1226" s="8" t="s">
        <v>87</v>
      </c>
      <c r="M1226" s="9" t="str">
        <f>IF(Tabela1[[#This Row],[Motorista]]="","",IFERROR(_xlfn.XLOOKUP(Tabela1[[#This Row],[Motorista]],Base!A:A,Base!B:B),""))</f>
        <v>FOB</v>
      </c>
      <c r="N1226" s="20" t="str">
        <f t="shared" si="52"/>
        <v>Fila de Carregamento</v>
      </c>
      <c r="O12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26" s="4">
        <v>0.22708333333333333</v>
      </c>
      <c r="Q1226" s="4">
        <v>0.35208333333333336</v>
      </c>
      <c r="R1226" s="23"/>
      <c r="S1226" s="16"/>
      <c r="T1226" s="14" t="str">
        <f>IF(OR(Tabela1[[#This Row],[Entrada]]="",Tabela1[[#This Row],[Saída]]=""), "", Tabela1[[#This Row],[Saída]]-Tabela1[[#This Row],[Entrada]])</f>
        <v/>
      </c>
      <c r="U1226" s="15" t="str">
        <f>IF(OR('Controle de CT'!$R1226= "", 'Controle de CT'!$P1226= ""), "", 'Controle de CT'!$R1226-'Controle de CT'!$P1226)</f>
        <v/>
      </c>
      <c r="V1226" s="1" t="s">
        <v>342</v>
      </c>
      <c r="W1226" s="2"/>
      <c r="X1226" s="2"/>
    </row>
    <row r="1227" spans="11:24" ht="15" hidden="1" customHeight="1">
      <c r="K1227" s="88">
        <v>46121</v>
      </c>
      <c r="L1227" s="8" t="s">
        <v>45</v>
      </c>
      <c r="M1227" s="9" t="str">
        <f>IF(Tabela1[[#This Row],[Motorista]]="","",IFERROR(_xlfn.XLOOKUP(Tabela1[[#This Row],[Motorista]],Base!A:A,Base!B:B),""))</f>
        <v>CIF</v>
      </c>
      <c r="N1227" s="20" t="str">
        <f t="shared" si="52"/>
        <v>Finalizado</v>
      </c>
      <c r="O12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7" s="2">
        <v>0.2388888888888889</v>
      </c>
      <c r="Q1227" s="2">
        <v>0.25555555555555554</v>
      </c>
      <c r="R1227" s="16">
        <v>0.28541666666666665</v>
      </c>
      <c r="S1227" s="91" t="s">
        <v>254</v>
      </c>
      <c r="T1227" s="14">
        <f>IF(OR(Tabela1[[#This Row],[Entrada]]="",Tabela1[[#This Row],[Saída]]=""), "", Tabela1[[#This Row],[Saída]]-Tabela1[[#This Row],[Entrada]])</f>
        <v>2.9861111111111116E-2</v>
      </c>
      <c r="U1227" s="15">
        <f>IF(OR('Controle de CT'!$R1227= "", 'Controle de CT'!$P1227= ""), "", 'Controle de CT'!$R1227-'Controle de CT'!$P1227)</f>
        <v>4.6527777777777751E-2</v>
      </c>
      <c r="V1227" s="1"/>
      <c r="W1227" s="2"/>
      <c r="X1227" s="2"/>
    </row>
    <row r="1228" spans="11:24" ht="15" hidden="1" customHeight="1">
      <c r="K1228" s="88">
        <v>46121</v>
      </c>
      <c r="L1228" s="8" t="s">
        <v>90</v>
      </c>
      <c r="M1228" s="9" t="str">
        <f>IF(Tabela1[[#This Row],[Motorista]]="","",IFERROR(_xlfn.XLOOKUP(Tabela1[[#This Row],[Motorista]],Base!A:A,Base!B:B),""))</f>
        <v>FOB</v>
      </c>
      <c r="N1228" s="20" t="str">
        <f t="shared" si="52"/>
        <v>Finalizado</v>
      </c>
      <c r="O12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28" s="2">
        <v>0.24513888888888888</v>
      </c>
      <c r="Q1228" s="2">
        <v>0.30486111111111114</v>
      </c>
      <c r="R1228" s="16">
        <v>0.39027777777777778</v>
      </c>
      <c r="S1228" s="91" t="s">
        <v>254</v>
      </c>
      <c r="T1228" s="14">
        <f>IF(OR(Tabela1[[#This Row],[Entrada]]="",Tabela1[[#This Row],[Saída]]=""), "", Tabela1[[#This Row],[Saída]]-Tabela1[[#This Row],[Entrada]])</f>
        <v>8.5416666666666641E-2</v>
      </c>
      <c r="U1228" s="15">
        <f>IF(OR('Controle de CT'!$R1228= "", 'Controle de CT'!$P1228= ""), "", 'Controle de CT'!$R1228-'Controle de CT'!$P1228)</f>
        <v>0.1451388888888889</v>
      </c>
      <c r="V1228" s="1"/>
      <c r="W1228" s="2"/>
      <c r="X1228" s="2"/>
    </row>
    <row r="1229" spans="11:24" ht="15" hidden="1" customHeight="1">
      <c r="K1229" s="88">
        <v>46121</v>
      </c>
      <c r="L1229" s="8" t="s">
        <v>86</v>
      </c>
      <c r="M1229" s="9" t="str">
        <f>IF(Tabela1[[#This Row],[Motorista]]="","",IFERROR(_xlfn.XLOOKUP(Tabela1[[#This Row],[Motorista]],Base!A:A,Base!B:B),""))</f>
        <v>FOB</v>
      </c>
      <c r="N1229" s="20" t="str">
        <f t="shared" si="52"/>
        <v>Finalizado</v>
      </c>
      <c r="O12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29" s="2">
        <v>0.28055555555555556</v>
      </c>
      <c r="R1229" s="16">
        <v>0.39583333333333331</v>
      </c>
      <c r="S1229" s="91" t="s">
        <v>254</v>
      </c>
      <c r="T1229" s="14" t="str">
        <f>IF(OR(Tabela1[[#This Row],[Entrada]]="",Tabela1[[#This Row],[Saída]]=""), "", Tabela1[[#This Row],[Saída]]-Tabela1[[#This Row],[Entrada]])</f>
        <v/>
      </c>
      <c r="U1229" s="15">
        <f>IF(OR('Controle de CT'!$R1229= "", 'Controle de CT'!$P1229= ""), "", 'Controle de CT'!$R1229-'Controle de CT'!$P1229)</f>
        <v>0.11527777777777776</v>
      </c>
      <c r="V1229" s="1"/>
      <c r="W1229" s="2"/>
      <c r="X1229" s="2"/>
    </row>
    <row r="1230" spans="11:24" ht="15" hidden="1" customHeight="1">
      <c r="K1230" s="88">
        <v>46121</v>
      </c>
      <c r="L1230" s="8" t="s">
        <v>255</v>
      </c>
      <c r="M1230" s="9" t="s">
        <v>62</v>
      </c>
      <c r="N1230" s="20" t="str">
        <f t="shared" si="52"/>
        <v>Finalizado</v>
      </c>
      <c r="O12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30" s="2">
        <v>0.25694444444444442</v>
      </c>
      <c r="Q1230" s="2">
        <v>0.27916666666666667</v>
      </c>
      <c r="R1230" s="16">
        <v>0.35208333333333336</v>
      </c>
      <c r="S1230" s="16"/>
      <c r="T1230" s="14">
        <f>IF(OR(Tabela1[[#This Row],[Entrada]]="",Tabela1[[#This Row],[Saída]]=""), "", Tabela1[[#This Row],[Saída]]-Tabela1[[#This Row],[Entrada]])</f>
        <v>7.2916666666666685E-2</v>
      </c>
      <c r="U1230" s="15">
        <f>IF(OR('Controle de CT'!$R1230= "", 'Controle de CT'!$P1230= ""), "", 'Controle de CT'!$R1230-'Controle de CT'!$P1230)</f>
        <v>9.5138888888888939E-2</v>
      </c>
      <c r="V1230" s="1" t="s">
        <v>226</v>
      </c>
      <c r="W1230" s="2"/>
      <c r="X1230" s="2"/>
    </row>
    <row r="1231" spans="11:24" ht="15" hidden="1" customHeight="1">
      <c r="K1231" s="88">
        <v>46121</v>
      </c>
      <c r="L1231" t="s">
        <v>292</v>
      </c>
      <c r="M1231" t="s">
        <v>64</v>
      </c>
      <c r="N1231" s="20" t="str">
        <f t="shared" si="52"/>
        <v>Aguardando Entrada</v>
      </c>
      <c r="O12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1" s="2">
        <v>0.26319444444444445</v>
      </c>
      <c r="R1231" s="16"/>
      <c r="S1231" s="91" t="s">
        <v>254</v>
      </c>
      <c r="T1231" s="14" t="str">
        <f>IF(OR(Tabela1[[#This Row],[Entrada]]="",Tabela1[[#This Row],[Saída]]=""), "", Tabela1[[#This Row],[Saída]]-Tabela1[[#This Row],[Entrada]])</f>
        <v/>
      </c>
      <c r="U1231" s="15" t="str">
        <f>IF(OR('Controle de CT'!$R1231= "", 'Controle de CT'!$P1231= ""), "", 'Controle de CT'!$R1231-'Controle de CT'!$P1231)</f>
        <v/>
      </c>
      <c r="V1231" s="1"/>
      <c r="W1231" s="2"/>
      <c r="X1231" s="2"/>
    </row>
    <row r="1232" spans="11:24" ht="15" hidden="1" customHeight="1">
      <c r="K1232" s="88">
        <v>46121</v>
      </c>
      <c r="L1232" s="8" t="s">
        <v>57</v>
      </c>
      <c r="M1232" s="9" t="str">
        <f>IF(Tabela1[[#This Row],[Motorista]]="","",IFERROR(_xlfn.XLOOKUP(Tabela1[[#This Row],[Motorista]],Base!A:A,Base!B:B),""))</f>
        <v>CIF</v>
      </c>
      <c r="N1232" s="20" t="str">
        <f t="shared" si="52"/>
        <v>Finalizado</v>
      </c>
      <c r="O12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32" s="2">
        <v>0.25972222222222224</v>
      </c>
      <c r="Q1232" s="2">
        <v>0.34861111111111109</v>
      </c>
      <c r="R1232" s="16">
        <v>0.40902777777777777</v>
      </c>
      <c r="S1232" s="91" t="s">
        <v>254</v>
      </c>
      <c r="T1232" s="14">
        <f>IF(OR(Tabela1[[#This Row],[Entrada]]="",Tabela1[[#This Row],[Saída]]=""), "", Tabela1[[#This Row],[Saída]]-Tabela1[[#This Row],[Entrada]])</f>
        <v>6.0416666666666674E-2</v>
      </c>
      <c r="U1232" s="15">
        <f>IF(OR('Controle de CT'!$R1232= "", 'Controle de CT'!$P1232= ""), "", 'Controle de CT'!$R1232-'Controle de CT'!$P1232)</f>
        <v>0.14930555555555552</v>
      </c>
      <c r="V1232" s="1"/>
      <c r="W1232" s="2"/>
      <c r="X1232" s="2"/>
    </row>
    <row r="1233" spans="11:24" ht="15" hidden="1" customHeight="1">
      <c r="K1233" s="88">
        <v>46121</v>
      </c>
      <c r="L1233" s="8" t="s">
        <v>47</v>
      </c>
      <c r="M1233" s="9" t="str">
        <f>IF(Tabela1[[#This Row],[Motorista]]="","",IFERROR(_xlfn.XLOOKUP(Tabela1[[#This Row],[Motorista]],Base!A:A,Base!B:B),""))</f>
        <v>CIF</v>
      </c>
      <c r="N1233" s="20" t="str">
        <f t="shared" si="52"/>
        <v>Aguardando Entrada</v>
      </c>
      <c r="O12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3" s="2">
        <v>0.25972222222222224</v>
      </c>
      <c r="R1233" s="16"/>
      <c r="S1233" s="16"/>
      <c r="T1233" s="14" t="str">
        <f>IF(OR(Tabela1[[#This Row],[Entrada]]="",Tabela1[[#This Row],[Saída]]=""), "", Tabela1[[#This Row],[Saída]]-Tabela1[[#This Row],[Entrada]])</f>
        <v/>
      </c>
      <c r="U1233" s="15" t="str">
        <f>IF(OR('Controle de CT'!$R1233= "", 'Controle de CT'!$P1233= ""), "", 'Controle de CT'!$R1233-'Controle de CT'!$P1233)</f>
        <v/>
      </c>
      <c r="V1233" s="1" t="s">
        <v>343</v>
      </c>
      <c r="W1233" s="2"/>
      <c r="X1233" s="2"/>
    </row>
    <row r="1234" spans="11:24" ht="15" hidden="1" customHeight="1">
      <c r="K1234" s="88">
        <v>46121</v>
      </c>
      <c r="L1234" s="8" t="s">
        <v>42</v>
      </c>
      <c r="M1234" s="9" t="str">
        <f>IF(Tabela1[[#This Row],[Motorista]]="","",IFERROR(_xlfn.XLOOKUP(Tabela1[[#This Row],[Motorista]],Base!A:A,Base!B:B),""))</f>
        <v>CIF</v>
      </c>
      <c r="N1234" s="20" t="str">
        <f t="shared" ref="N1234:N1247" si="53">IF(R1234&lt;&gt;"","Finalizado", IF(Q1234&lt;&gt;"","Fila de Carregamento", IF(P1234&lt;&gt;"","Aguardando Entrada","")))</f>
        <v>Finalizado</v>
      </c>
      <c r="O12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4" s="4">
        <v>0.26597222222222222</v>
      </c>
      <c r="Q1234" s="4">
        <v>0.30486111111111114</v>
      </c>
      <c r="R1234" s="23">
        <v>0.39305555555555555</v>
      </c>
      <c r="S1234" s="91" t="s">
        <v>254</v>
      </c>
      <c r="T1234" s="1"/>
      <c r="U1234" s="15">
        <f>IF(OR('Controle de CT'!$R1234= "", 'Controle de CT'!$P1234= ""), "", 'Controle de CT'!$R1234-'Controle de CT'!$P1234)</f>
        <v>0.12708333333333333</v>
      </c>
      <c r="V1234" s="1"/>
      <c r="W1234" s="2"/>
      <c r="X1234" s="2"/>
    </row>
    <row r="1235" spans="11:24" ht="15" hidden="1" customHeight="1">
      <c r="K1235" s="88">
        <v>46121</v>
      </c>
      <c r="L1235" s="8" t="s">
        <v>52</v>
      </c>
      <c r="M1235" s="9" t="str">
        <f>IF(Tabela1[[#This Row],[Motorista]]="","",IFERROR(_xlfn.XLOOKUP(Tabela1[[#This Row],[Motorista]],Base!A:A,Base!B:B),""))</f>
        <v>CIF</v>
      </c>
      <c r="N1235" s="20" t="str">
        <f t="shared" si="53"/>
        <v>Finalizado</v>
      </c>
      <c r="O12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35" s="4">
        <v>0.26666666666666666</v>
      </c>
      <c r="Q1235" s="4">
        <v>0.30208333333333331</v>
      </c>
      <c r="R1235" s="23">
        <v>0.3659722222222222</v>
      </c>
      <c r="S1235" s="91" t="s">
        <v>254</v>
      </c>
      <c r="T1235" s="1"/>
      <c r="U1235" s="15">
        <f>IF(OR('Controle de CT'!$R1235= "", 'Controle de CT'!$P1235= ""), "", 'Controle de CT'!$R1235-'Controle de CT'!$P1235)</f>
        <v>9.9305555555555536E-2</v>
      </c>
      <c r="V1235" s="1" t="s">
        <v>344</v>
      </c>
      <c r="W1235" s="2"/>
      <c r="X1235" s="2"/>
    </row>
    <row r="1236" spans="11:24" ht="15" hidden="1" customHeight="1">
      <c r="K1236" s="88">
        <v>46121</v>
      </c>
      <c r="L1236" s="8" t="s">
        <v>163</v>
      </c>
      <c r="M1236" s="9" t="str">
        <f>IF(Tabela1[[#This Row],[Motorista]]="","",IFERROR(_xlfn.XLOOKUP(Tabela1[[#This Row],[Motorista]],Base!A:A,Base!B:B),""))</f>
        <v>Transferência</v>
      </c>
      <c r="N1236" s="20" t="str">
        <f t="shared" si="53"/>
        <v/>
      </c>
      <c r="O12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6" s="4"/>
      <c r="Q1236" s="4"/>
      <c r="R1236" s="23"/>
      <c r="S1236" s="16"/>
      <c r="T1236" s="1"/>
      <c r="U1236" s="15" t="str">
        <f>IF(OR('Controle de CT'!$R1236= "", 'Controle de CT'!$P1236= ""), "", 'Controle de CT'!$R1236-'Controle de CT'!$P1236)</f>
        <v/>
      </c>
      <c r="V1236" s="1"/>
      <c r="W1236" s="2"/>
      <c r="X1236" s="2"/>
    </row>
    <row r="1237" spans="11:24" ht="15" hidden="1" customHeight="1">
      <c r="K1237" s="88">
        <v>46121</v>
      </c>
      <c r="L1237" s="8" t="s">
        <v>106</v>
      </c>
      <c r="M1237" s="9" t="str">
        <f>IF(Tabela1[[#This Row],[Motorista]]="","",IFERROR(_xlfn.XLOOKUP(Tabela1[[#This Row],[Motorista]],Base!A:A,Base!B:B),""))</f>
        <v>FOB</v>
      </c>
      <c r="N1237" s="20" t="str">
        <f t="shared" si="53"/>
        <v/>
      </c>
      <c r="O12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7" s="4"/>
      <c r="Q1237" s="4"/>
      <c r="R1237" s="23"/>
      <c r="S1237" s="16"/>
      <c r="T1237" s="1"/>
      <c r="U1237" s="15" t="str">
        <f>IF(OR('Controle de CT'!$R1237= "", 'Controle de CT'!$P1237= ""), "", 'Controle de CT'!$R1237-'Controle de CT'!$P1237)</f>
        <v/>
      </c>
      <c r="V1237" s="1" t="s">
        <v>226</v>
      </c>
      <c r="W1237" s="2"/>
      <c r="X1237" s="2"/>
    </row>
    <row r="1238" spans="11:24" ht="15" hidden="1" customHeight="1">
      <c r="K1238" s="88">
        <v>46121</v>
      </c>
      <c r="L1238" t="s">
        <v>233</v>
      </c>
      <c r="M1238" s="24" t="s">
        <v>63</v>
      </c>
      <c r="N1238" s="20" t="str">
        <f t="shared" si="53"/>
        <v/>
      </c>
      <c r="O12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38" s="4"/>
      <c r="Q1238" s="4"/>
      <c r="R1238" s="23"/>
      <c r="S1238" s="16"/>
      <c r="T1238" s="1"/>
      <c r="U1238" s="15" t="str">
        <f>IF(OR('Controle de CT'!$R1238= "", 'Controle de CT'!$P1238= ""), "", 'Controle de CT'!$R1238-'Controle de CT'!$P1238)</f>
        <v/>
      </c>
      <c r="V1238" s="1" t="s">
        <v>226</v>
      </c>
      <c r="W1238" s="2"/>
      <c r="X1238" s="2"/>
    </row>
    <row r="1239" spans="11:24" ht="15" hidden="1" customHeight="1">
      <c r="K1239" s="88">
        <v>46121</v>
      </c>
      <c r="L1239" s="8" t="s">
        <v>92</v>
      </c>
      <c r="M1239" s="9" t="str">
        <f>IF(Tabela1[[#This Row],[Motorista]]="","",IFERROR(_xlfn.XLOOKUP(Tabela1[[#This Row],[Motorista]],Base!A:A,Base!B:B),""))</f>
        <v>FOB</v>
      </c>
      <c r="N1239" s="20" t="str">
        <f t="shared" si="53"/>
        <v>Finalizado</v>
      </c>
      <c r="O12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39" s="4"/>
      <c r="Q1239" s="4"/>
      <c r="R1239" s="23">
        <v>0.39791666666666664</v>
      </c>
      <c r="S1239" s="16"/>
      <c r="T1239" s="1"/>
      <c r="U1239" s="15" t="str">
        <f>IF(OR('Controle de CT'!$R1239= "", 'Controle de CT'!$P1239= ""), "", 'Controle de CT'!$R1239-'Controle de CT'!$P1239)</f>
        <v/>
      </c>
      <c r="V1239" s="1"/>
      <c r="W1239" s="2"/>
      <c r="X1239" s="2"/>
    </row>
    <row r="1240" spans="11:24" ht="15" hidden="1" customHeight="1">
      <c r="K1240" s="88">
        <v>46121</v>
      </c>
      <c r="L1240" s="8" t="s">
        <v>89</v>
      </c>
      <c r="M1240" s="9" t="str">
        <f>IF(Tabela1[[#This Row],[Motorista]]="","",IFERROR(_xlfn.XLOOKUP(Tabela1[[#This Row],[Motorista]],Base!A:A,Base!B:B),""))</f>
        <v>FOB</v>
      </c>
      <c r="N1240" s="20" t="str">
        <f t="shared" si="53"/>
        <v>Aguardando Entrada</v>
      </c>
      <c r="O12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40" s="4">
        <v>0.34652777777777777</v>
      </c>
      <c r="Q1240" s="4"/>
      <c r="R1240" s="23"/>
      <c r="S1240" s="16"/>
      <c r="T1240" s="1"/>
      <c r="U1240" s="15" t="str">
        <f>IF(OR('Controle de CT'!$R1240= "", 'Controle de CT'!$P1240= ""), "", 'Controle de CT'!$R1240-'Controle de CT'!$P1240)</f>
        <v/>
      </c>
      <c r="V1240" s="1"/>
      <c r="W1240" s="2"/>
      <c r="X1240" s="2"/>
    </row>
    <row r="1241" spans="11:24" ht="15" hidden="1" customHeight="1">
      <c r="K1241" s="88">
        <v>46121</v>
      </c>
      <c r="L1241" s="8" t="s">
        <v>125</v>
      </c>
      <c r="M1241" s="9" t="str">
        <f>IF(Tabela1[[#This Row],[Motorista]]="","",IFERROR(_xlfn.XLOOKUP(Tabela1[[#This Row],[Motorista]],Base!A:A,Base!B:B),""))</f>
        <v>FOB</v>
      </c>
      <c r="N1241" s="20" t="str">
        <f t="shared" si="53"/>
        <v>Finalizado</v>
      </c>
      <c r="O12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41" s="4">
        <v>0.35208333333333336</v>
      </c>
      <c r="Q1241" s="4"/>
      <c r="R1241" s="23">
        <v>0.56041666666666667</v>
      </c>
      <c r="S1241" s="16"/>
      <c r="T1241" s="1"/>
      <c r="U1241" s="15">
        <f>IF(OR('Controle de CT'!$R1241= "", 'Controle de CT'!$P1241= ""), "", 'Controle de CT'!$R1241-'Controle de CT'!$P1241)</f>
        <v>0.20833333333333331</v>
      </c>
      <c r="V1241" s="1"/>
      <c r="W1241" s="2"/>
      <c r="X1241" s="2"/>
    </row>
    <row r="1242" spans="11:24" ht="15" hidden="1" customHeight="1">
      <c r="K1242" s="88">
        <v>46121</v>
      </c>
      <c r="L1242" s="8" t="s">
        <v>45</v>
      </c>
      <c r="M1242" s="9" t="str">
        <f>IF(Tabela1[[#This Row],[Motorista]]="","",IFERROR(_xlfn.XLOOKUP(Tabela1[[#This Row],[Motorista]],Base!A:A,Base!B:B),""))</f>
        <v>CIF</v>
      </c>
      <c r="N1242" s="20" t="str">
        <f t="shared" si="53"/>
        <v/>
      </c>
      <c r="O12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2" s="4"/>
      <c r="Q1242" s="4"/>
      <c r="R1242" s="23"/>
      <c r="S1242" s="16"/>
      <c r="T1242" s="1"/>
      <c r="U1242" s="15" t="str">
        <f>IF(OR('Controle de CT'!$R1242= "", 'Controle de CT'!$P1242= ""), "", 'Controle de CT'!$R1242-'Controle de CT'!$P1242)</f>
        <v/>
      </c>
      <c r="V1242" s="1"/>
      <c r="W1242" s="2"/>
      <c r="X1242" s="2"/>
    </row>
    <row r="1243" spans="11:24" ht="15" hidden="1" customHeight="1">
      <c r="K1243" s="88">
        <v>46121</v>
      </c>
      <c r="L1243" s="8" t="s">
        <v>162</v>
      </c>
      <c r="M1243" s="9" t="str">
        <f>IF(Tabela1[[#This Row],[Motorista]]="","",IFERROR(_xlfn.XLOOKUP(Tabela1[[#This Row],[Motorista]],Base!A:A,Base!B:B),""))</f>
        <v>FOB</v>
      </c>
      <c r="N1243" s="20" t="str">
        <f t="shared" si="53"/>
        <v>Finalizado</v>
      </c>
      <c r="O12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43" s="4">
        <v>0.51875000000000004</v>
      </c>
      <c r="Q1243" s="4">
        <v>0.56874999999999998</v>
      </c>
      <c r="R1243" s="23">
        <v>0.61805555555555558</v>
      </c>
      <c r="S1243" s="91" t="s">
        <v>254</v>
      </c>
      <c r="T1243" s="1"/>
      <c r="U1243" s="15">
        <f>IF(OR('Controle de CT'!$R1243= "", 'Controle de CT'!$P1243= ""), "", 'Controle de CT'!$R1243-'Controle de CT'!$P1243)</f>
        <v>9.9305555555555536E-2</v>
      </c>
      <c r="V1243" s="1"/>
      <c r="W1243" s="2"/>
      <c r="X1243" s="2"/>
    </row>
    <row r="1244" spans="11:24" ht="15" hidden="1" customHeight="1">
      <c r="K1244" s="88">
        <v>46121</v>
      </c>
      <c r="L1244" s="8" t="s">
        <v>92</v>
      </c>
      <c r="M1244" s="9" t="str">
        <f>IF(Tabela1[[#This Row],[Motorista]]="","",IFERROR(_xlfn.XLOOKUP(Tabela1[[#This Row],[Motorista]],Base!A:A,Base!B:B),""))</f>
        <v>FOB</v>
      </c>
      <c r="N1244" s="20" t="str">
        <f t="shared" si="53"/>
        <v>Finalizado</v>
      </c>
      <c r="O12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4" s="4">
        <v>0.54513888888888884</v>
      </c>
      <c r="Q1244" s="4">
        <v>0.56666666666666665</v>
      </c>
      <c r="R1244" s="23">
        <v>0.60277777777777775</v>
      </c>
      <c r="S1244" s="91" t="s">
        <v>254</v>
      </c>
      <c r="T1244" s="1"/>
      <c r="U1244" s="15">
        <f>IF(OR('Controle de CT'!$R1244= "", 'Controle de CT'!$P1244= ""), "", 'Controle de CT'!$R1244-'Controle de CT'!$P1244)</f>
        <v>5.7638888888888906E-2</v>
      </c>
      <c r="V1244" s="1"/>
      <c r="W1244" s="2"/>
      <c r="X1244" s="2"/>
    </row>
    <row r="1245" spans="11:24" ht="15" hidden="1" customHeight="1">
      <c r="K1245" s="88">
        <v>46121</v>
      </c>
      <c r="L1245" s="8" t="s">
        <v>86</v>
      </c>
      <c r="M1245" s="9" t="str">
        <f>IF(Tabela1[[#This Row],[Motorista]]="","",IFERROR(_xlfn.XLOOKUP(Tabela1[[#This Row],[Motorista]],Base!A:A,Base!B:B),""))</f>
        <v>FOB</v>
      </c>
      <c r="N1245" s="20" t="str">
        <f t="shared" si="53"/>
        <v>Finalizado</v>
      </c>
      <c r="O12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5" s="4">
        <v>0.5625</v>
      </c>
      <c r="Q1245" s="4">
        <v>0.60902777777777772</v>
      </c>
      <c r="R1245" s="23">
        <v>0.65138888888888891</v>
      </c>
      <c r="S1245" s="91" t="s">
        <v>254</v>
      </c>
      <c r="T1245" s="1"/>
      <c r="U1245" s="15">
        <f>IF(OR('Controle de CT'!$R1245= "", 'Controle de CT'!$P1245= ""), "", 'Controle de CT'!$R1245-'Controle de CT'!$P1245)</f>
        <v>8.8888888888888906E-2</v>
      </c>
      <c r="V1245" s="1"/>
      <c r="W1245" s="2"/>
      <c r="X1245" s="2"/>
    </row>
    <row r="1246" spans="11:24" ht="15" hidden="1" customHeight="1">
      <c r="K1246" s="88">
        <v>46121</v>
      </c>
      <c r="L1246" s="8" t="s">
        <v>57</v>
      </c>
      <c r="M1246" s="9" t="str">
        <f>IF(Tabela1[[#This Row],[Motorista]]="","",IFERROR(_xlfn.XLOOKUP(Tabela1[[#This Row],[Motorista]],Base!A:A,Base!B:B),""))</f>
        <v>CIF</v>
      </c>
      <c r="N1246" s="20" t="str">
        <f t="shared" si="53"/>
        <v>Finalizado</v>
      </c>
      <c r="O12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6" s="4">
        <v>0.57013888888888886</v>
      </c>
      <c r="Q1246" s="4">
        <v>0.58402777777777781</v>
      </c>
      <c r="R1246" s="23">
        <v>0.62916666666666665</v>
      </c>
      <c r="S1246" s="91" t="s">
        <v>254</v>
      </c>
      <c r="T1246" s="1"/>
      <c r="U1246" s="15">
        <f>IF(OR('Controle de CT'!$R1246= "", 'Controle de CT'!$P1246= ""), "", 'Controle de CT'!$R1246-'Controle de CT'!$P1246)</f>
        <v>5.902777777777779E-2</v>
      </c>
      <c r="V1246" s="1"/>
      <c r="W1246" s="2"/>
      <c r="X1246" s="2"/>
    </row>
    <row r="1247" spans="11:24" ht="15" hidden="1" customHeight="1">
      <c r="K1247" s="88">
        <v>46121</v>
      </c>
      <c r="L1247" s="8" t="s">
        <v>255</v>
      </c>
      <c r="M1247" s="9" t="s">
        <v>62</v>
      </c>
      <c r="N1247" s="20" t="str">
        <f t="shared" si="53"/>
        <v>Finalizado</v>
      </c>
      <c r="O12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7" s="4">
        <v>0.57291666666666663</v>
      </c>
      <c r="Q1247" s="4">
        <v>0.58125000000000004</v>
      </c>
      <c r="R1247" s="23">
        <v>0.71319444444444446</v>
      </c>
      <c r="S1247" s="91" t="s">
        <v>254</v>
      </c>
      <c r="T1247" s="1"/>
      <c r="U1247" s="15">
        <f>IF(OR('Controle de CT'!$R1247= "", 'Controle de CT'!$P1247= ""), "", 'Controle de CT'!$R1247-'Controle de CT'!$P1247)</f>
        <v>0.14027777777777783</v>
      </c>
      <c r="V1247" s="1" t="s">
        <v>345</v>
      </c>
      <c r="W1247" s="2"/>
      <c r="X1247" s="2"/>
    </row>
    <row r="1248" spans="11:24" ht="15" hidden="1" customHeight="1">
      <c r="K1248" s="88">
        <v>46121</v>
      </c>
      <c r="L1248" s="8" t="s">
        <v>52</v>
      </c>
      <c r="M1248" s="9" t="str">
        <f>IF(Tabela1[[#This Row],[Motorista]]="","",IFERROR(_xlfn.XLOOKUP(Tabela1[[#This Row],[Motorista]],Base!A:A,Base!B:B),""))</f>
        <v>CIF</v>
      </c>
      <c r="N1248" s="20" t="str">
        <f t="shared" ref="N1248:N1254" si="54">IF(R1248&lt;&gt;"","Finalizado", IF(Q1248&lt;&gt;"","Fila de Carregamento", IF(P1248&lt;&gt;"","Aguardando Entrada","")))</f>
        <v>Finalizado</v>
      </c>
      <c r="O12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48" s="4">
        <v>0.50555555555555554</v>
      </c>
      <c r="Q1248" s="4">
        <v>0.58263888888888893</v>
      </c>
      <c r="R1248" s="23">
        <v>0.61805555555555558</v>
      </c>
      <c r="S1248" s="91" t="s">
        <v>254</v>
      </c>
      <c r="T1248" s="1" t="s">
        <v>346</v>
      </c>
      <c r="U1248" s="15">
        <f>IF(OR('Controle de CT'!$R1248= "", 'Controle de CT'!$P1248= ""), "", 'Controle de CT'!$R1248-'Controle de CT'!$P1248)</f>
        <v>0.11250000000000004</v>
      </c>
      <c r="V1248" s="1"/>
      <c r="W1248" s="2"/>
      <c r="X1248" s="2"/>
    </row>
    <row r="1249" spans="11:24" ht="15" hidden="1" customHeight="1">
      <c r="K1249" s="88">
        <v>46121</v>
      </c>
      <c r="L1249" s="8" t="s">
        <v>98</v>
      </c>
      <c r="M1249" s="9" t="str">
        <f>IF(Tabela1[[#This Row],[Motorista]]="","",IFERROR(_xlfn.XLOOKUP(Tabela1[[#This Row],[Motorista]],Base!A:A,Base!B:B),""))</f>
        <v>FOB</v>
      </c>
      <c r="N1249" s="20" t="str">
        <f t="shared" si="54"/>
        <v>Finalizado</v>
      </c>
      <c r="O12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49" s="2">
        <v>0.64444444444444449</v>
      </c>
      <c r="Q1249" s="2">
        <v>0.65208333333333335</v>
      </c>
      <c r="R1249" s="16">
        <v>0.71458333333333335</v>
      </c>
      <c r="S1249" s="91" t="s">
        <v>254</v>
      </c>
      <c r="T1249" s="14">
        <f>IF(OR(Tabela1[[#This Row],[Entrada]]="",Tabela1[[#This Row],[Saída]]=""), "", Tabela1[[#This Row],[Saída]]-Tabela1[[#This Row],[Entrada]])</f>
        <v>6.25E-2</v>
      </c>
      <c r="U1249" s="15">
        <f>IF(OR('Controle de CT'!$R1249= "", 'Controle de CT'!$P1249= ""), "", 'Controle de CT'!$R1249-'Controle de CT'!$P1249)</f>
        <v>7.0138888888888862E-2</v>
      </c>
      <c r="V1249" s="1"/>
      <c r="W1249" s="2"/>
      <c r="X1249" s="2"/>
    </row>
    <row r="1250" spans="11:24" ht="15" hidden="1" customHeight="1">
      <c r="K1250" s="88">
        <v>46121</v>
      </c>
      <c r="L1250" s="8" t="s">
        <v>116</v>
      </c>
      <c r="M1250" s="9" t="str">
        <f>IF(Tabela1[[#This Row],[Motorista]]="","",IFERROR(_xlfn.XLOOKUP(Tabela1[[#This Row],[Motorista]],Base!A:A,Base!B:B),""))</f>
        <v xml:space="preserve">CIF </v>
      </c>
      <c r="N1250" s="20" t="str">
        <f t="shared" si="54"/>
        <v>Finalizado</v>
      </c>
      <c r="O12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50" s="2">
        <v>0.6875</v>
      </c>
      <c r="Q1250" s="2">
        <v>0.69444444444444442</v>
      </c>
      <c r="R1250" s="16">
        <v>0.73263888888888884</v>
      </c>
      <c r="S1250" s="91" t="s">
        <v>254</v>
      </c>
      <c r="T1250" s="14">
        <f>IF(OR(Tabela1[[#This Row],[Entrada]]="",Tabela1[[#This Row],[Saída]]=""), "", Tabela1[[#This Row],[Saída]]-Tabela1[[#This Row],[Entrada]])</f>
        <v>3.819444444444442E-2</v>
      </c>
      <c r="U1250" s="15">
        <f>IF(OR('Controle de CT'!$R1250= "", 'Controle de CT'!$P1250= ""), "", 'Controle de CT'!$R1250-'Controle de CT'!$P1250)</f>
        <v>4.513888888888884E-2</v>
      </c>
      <c r="V1250" s="1"/>
      <c r="W1250" s="2"/>
      <c r="X1250" s="2"/>
    </row>
    <row r="1251" spans="11:24" ht="15" hidden="1" customHeight="1">
      <c r="K1251" s="88">
        <v>46121</v>
      </c>
      <c r="L1251" s="8" t="s">
        <v>126</v>
      </c>
      <c r="M1251" s="9" t="str">
        <f>IF(Tabela1[[#This Row],[Motorista]]="","",IFERROR(_xlfn.XLOOKUP(Tabela1[[#This Row],[Motorista]],Base!A:A,Base!B:B),""))</f>
        <v>Transferência</v>
      </c>
      <c r="N1251" s="20" t="str">
        <f t="shared" si="54"/>
        <v>Finalizado</v>
      </c>
      <c r="O12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1" s="4">
        <v>0.74305555555555558</v>
      </c>
      <c r="Q1251" s="4">
        <v>0.75902777777777775</v>
      </c>
      <c r="R1251" s="23">
        <v>0.95833333333333337</v>
      </c>
      <c r="S1251" s="91" t="s">
        <v>254</v>
      </c>
      <c r="T1251" s="14">
        <f>IF(OR(Tabela1[[#This Row],[Entrada]]="",Tabela1[[#This Row],[Saída]]=""), "", Tabela1[[#This Row],[Saída]]-Tabela1[[#This Row],[Entrada]])</f>
        <v>0.19930555555555562</v>
      </c>
      <c r="U1251" s="15">
        <f>IF(OR('Controle de CT'!$R1251= "", 'Controle de CT'!$P1251= ""), "", 'Controle de CT'!$R1251-'Controle de CT'!$P1251)</f>
        <v>0.21527777777777779</v>
      </c>
      <c r="V1251" s="1" t="s">
        <v>345</v>
      </c>
      <c r="W1251" s="2"/>
      <c r="X1251" s="2"/>
    </row>
    <row r="1252" spans="11:24" ht="15" hidden="1" customHeight="1">
      <c r="K1252" s="88">
        <v>46121</v>
      </c>
      <c r="L1252" s="8" t="s">
        <v>135</v>
      </c>
      <c r="M1252" s="9" t="str">
        <f>IF(Tabela1[[#This Row],[Motorista]]="","",IFERROR(_xlfn.XLOOKUP(Tabela1[[#This Row],[Motorista]],Base!A:A,Base!B:B),""))</f>
        <v>Transferência</v>
      </c>
      <c r="N1252" s="20" t="str">
        <f t="shared" si="54"/>
        <v>Finalizado</v>
      </c>
      <c r="O12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2" s="2">
        <v>0.72916666666666663</v>
      </c>
      <c r="Q1252" s="2">
        <v>0.73888888888888893</v>
      </c>
      <c r="R1252" s="16">
        <v>0.91388888888888886</v>
      </c>
      <c r="S1252" s="91" t="s">
        <v>254</v>
      </c>
      <c r="T1252" s="14">
        <f>IF(OR(Tabela1[[#This Row],[Entrada]]="",Tabela1[[#This Row],[Saída]]=""), "", Tabela1[[#This Row],[Saída]]-Tabela1[[#This Row],[Entrada]])</f>
        <v>0.17499999999999993</v>
      </c>
      <c r="U1252" s="15">
        <f>IF(OR('Controle de CT'!$R1252= "", 'Controle de CT'!$P1252= ""), "", 'Controle de CT'!$R1252-'Controle de CT'!$P1252)</f>
        <v>0.18472222222222223</v>
      </c>
      <c r="V1252" s="1" t="s">
        <v>345</v>
      </c>
      <c r="W1252" s="2"/>
      <c r="X1252" s="2"/>
    </row>
    <row r="1253" spans="11:24" ht="15" hidden="1" customHeight="1">
      <c r="K1253" s="88">
        <v>46121</v>
      </c>
      <c r="L1253" s="8" t="s">
        <v>102</v>
      </c>
      <c r="M1253" s="9" t="str">
        <f>IF(Tabela1[[#This Row],[Motorista]]="","",IFERROR(_xlfn.XLOOKUP(Tabela1[[#This Row],[Motorista]],Base!A:A,Base!B:B),""))</f>
        <v>Transferência</v>
      </c>
      <c r="N1253" s="20" t="str">
        <f t="shared" si="54"/>
        <v>Finalizado</v>
      </c>
      <c r="O12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3" s="2">
        <v>0.69374999999999998</v>
      </c>
      <c r="Q1253" s="2">
        <v>0.7055555555555556</v>
      </c>
      <c r="R1253" s="16">
        <v>0.87847222222222221</v>
      </c>
      <c r="S1253" s="91" t="s">
        <v>254</v>
      </c>
      <c r="T1253" s="14">
        <f>IF(OR(Tabela1[[#This Row],[Entrada]]="",Tabela1[[#This Row],[Saída]]=""), "", Tabela1[[#This Row],[Saída]]-Tabela1[[#This Row],[Entrada]])</f>
        <v>0.17291666666666661</v>
      </c>
      <c r="U1253" s="15">
        <f>IF(OR('Controle de CT'!$R1253= "", 'Controle de CT'!$P1253= ""), "", 'Controle de CT'!$R1253-'Controle de CT'!$P1253)</f>
        <v>0.18472222222222223</v>
      </c>
      <c r="V1253" s="1" t="s">
        <v>345</v>
      </c>
      <c r="W1253" s="2"/>
      <c r="X1253" s="2"/>
    </row>
    <row r="1254" spans="11:24" ht="15" hidden="1" customHeight="1">
      <c r="K1254" s="88">
        <v>46121</v>
      </c>
      <c r="L1254" s="8" t="s">
        <v>150</v>
      </c>
      <c r="M1254" s="9" t="str">
        <f>IF(Tabela1[[#This Row],[Motorista]]="","",IFERROR(_xlfn.XLOOKUP(Tabela1[[#This Row],[Motorista]],Base!A:A,Base!B:B),""))</f>
        <v>Transferência</v>
      </c>
      <c r="N1254" s="20" t="str">
        <f t="shared" si="54"/>
        <v>Finalizado</v>
      </c>
      <c r="O12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4" s="4">
        <v>0.77083333333333337</v>
      </c>
      <c r="Q1254" s="4">
        <v>0.77916666666666667</v>
      </c>
      <c r="R1254" s="23">
        <v>0.95833333333333337</v>
      </c>
      <c r="S1254" s="91" t="s">
        <v>254</v>
      </c>
      <c r="T1254" s="14">
        <f>IF(OR(Tabela1[[#This Row],[Entrada]]="",Tabela1[[#This Row],[Saída]]=""), "", Tabela1[[#This Row],[Saída]]-Tabela1[[#This Row],[Entrada]])</f>
        <v>0.1791666666666667</v>
      </c>
      <c r="U1254" s="15">
        <f>IF(OR('Controle de CT'!$R1254= "", 'Controle de CT'!$P1254= ""), "", 'Controle de CT'!$R1254-'Controle de CT'!$P1254)</f>
        <v>0.1875</v>
      </c>
      <c r="V1254" s="1" t="s">
        <v>345</v>
      </c>
      <c r="W1254" s="2"/>
      <c r="X1254" s="2"/>
    </row>
    <row r="1255" spans="11:24" ht="14.45" hidden="1">
      <c r="K1255" s="88">
        <v>46121</v>
      </c>
      <c r="L1255" s="8" t="s">
        <v>141</v>
      </c>
      <c r="M1255" s="9" t="str">
        <f>IF(Tabela1[[#This Row],[Motorista]]="","",IFERROR(_xlfn.XLOOKUP(Tabela1[[#This Row],[Motorista]],Base!A:A,Base!B:B),""))</f>
        <v>FOB</v>
      </c>
      <c r="N1255" s="20" t="str">
        <f t="shared" ref="N1255" si="55">IF(R1255&lt;&gt;"","Finalizado", IF(Q1255&lt;&gt;"","Fila de Carregamento", IF(P1255&lt;&gt;"","Aguardando Entrada","")))</f>
        <v>Finalizado</v>
      </c>
      <c r="O12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5" s="4">
        <v>0.81388888888888888</v>
      </c>
      <c r="Q1255" s="4">
        <v>0.82291666666666663</v>
      </c>
      <c r="R1255" s="23">
        <v>0.88888888888888884</v>
      </c>
      <c r="S1255" s="91" t="s">
        <v>254</v>
      </c>
      <c r="T1255" s="1" t="s">
        <v>345</v>
      </c>
      <c r="U1255" s="15">
        <f>IF(OR('Controle de CT'!$R1255= "", 'Controle de CT'!$P1255= ""), "", 'Controle de CT'!$R1255-'Controle de CT'!$P1255)</f>
        <v>7.4999999999999956E-2</v>
      </c>
      <c r="V1255" s="1"/>
      <c r="W1255" s="2"/>
      <c r="X1255" s="2"/>
    </row>
    <row r="1256" spans="11:24" ht="15" hidden="1" customHeight="1">
      <c r="K1256" s="5">
        <v>46122</v>
      </c>
      <c r="L1256" s="8" t="s">
        <v>347</v>
      </c>
      <c r="M1256" s="9" t="s">
        <v>63</v>
      </c>
      <c r="N1256" s="20" t="str">
        <f>IF(R1256&lt;&gt;"","Finalizado", IF(Q1256&lt;&gt;"","Fila de Carregamento", IF(P1256&lt;&gt;"","Aguardando Entrada","")))</f>
        <v>Finalizado</v>
      </c>
      <c r="O12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6" s="4">
        <v>0.21111111111111111</v>
      </c>
      <c r="Q1256" s="4">
        <v>0.34444444444444444</v>
      </c>
      <c r="R1256" s="23">
        <v>0.40208333333333335</v>
      </c>
      <c r="S1256" s="90" t="s">
        <v>254</v>
      </c>
      <c r="T1256" s="14">
        <f>IF(OR(Tabela1[[#This Row],[Entrada]]="",Tabela1[[#This Row],[Saída]]=""), "", Tabela1[[#This Row],[Saída]]-Tabela1[[#This Row],[Entrada]])</f>
        <v>5.7638888888888906E-2</v>
      </c>
      <c r="U1256" s="15">
        <f>IF(OR('Controle de CT'!$R1256= "", 'Controle de CT'!$P1256= ""), "", 'Controle de CT'!$R1256-'Controle de CT'!$P1256)</f>
        <v>0.19097222222222224</v>
      </c>
      <c r="V1256" s="1"/>
      <c r="W1256" s="2"/>
      <c r="X1256" s="2"/>
    </row>
    <row r="1257" spans="11:24" ht="15" hidden="1" customHeight="1">
      <c r="K1257" s="5">
        <v>46122</v>
      </c>
      <c r="L1257" s="8" t="s">
        <v>348</v>
      </c>
      <c r="M1257" s="9" t="s">
        <v>321</v>
      </c>
      <c r="N1257" s="20" t="str">
        <f t="shared" ref="N1257" si="56">IF(R1257&lt;&gt;"","Finalizado", IF(Q1257&lt;&gt;"","Fila de Carregamento", IF(P1257&lt;&gt;"","Aguardando Entrada","")))</f>
        <v>Finalizado</v>
      </c>
      <c r="O12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7" s="4">
        <v>0.2388888888888889</v>
      </c>
      <c r="Q1257" s="4">
        <v>0.28333333333333333</v>
      </c>
      <c r="R1257" s="23">
        <v>0.30763888888888891</v>
      </c>
      <c r="S1257" s="90" t="s">
        <v>254</v>
      </c>
      <c r="T1257" s="14">
        <f>IF(OR(Tabela1[[#This Row],[Entrada]]="",Tabela1[[#This Row],[Saída]]=""), "", Tabela1[[#This Row],[Saída]]-Tabela1[[#This Row],[Entrada]])</f>
        <v>2.430555555555558E-2</v>
      </c>
      <c r="U1257" s="15">
        <f>IF(OR('Controle de CT'!$R1257= "", 'Controle de CT'!$P1257= ""), "", 'Controle de CT'!$R1257-'Controle de CT'!$P1257)</f>
        <v>6.8750000000000006E-2</v>
      </c>
      <c r="V1257" s="1" t="s">
        <v>226</v>
      </c>
      <c r="W1257" s="2"/>
      <c r="X1257" s="2"/>
    </row>
    <row r="1258" spans="11:24" ht="15" hidden="1" customHeight="1">
      <c r="K1258" s="5">
        <v>46122</v>
      </c>
      <c r="L1258" t="s">
        <v>90</v>
      </c>
      <c r="M1258" s="24" t="s">
        <v>63</v>
      </c>
      <c r="N1258" s="20" t="str">
        <f t="shared" ref="N1258:N1290" si="57">IF(R1258&lt;&gt;"","Finalizado", IF(Q1258&lt;&gt;"","Fila de Carregamento", IF(P1258&lt;&gt;"","Aguardando Entrada","")))</f>
        <v>Aguardando Entrada</v>
      </c>
      <c r="O12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58" s="2">
        <v>0.25486111111111109</v>
      </c>
      <c r="R1258" s="16"/>
      <c r="S1258" s="16"/>
      <c r="T1258" s="14" t="str">
        <f>IF(OR(Tabela1[[#This Row],[Entrada]]="",Tabela1[[#This Row],[Saída]]=""), "", Tabela1[[#This Row],[Saída]]-Tabela1[[#This Row],[Entrada]])</f>
        <v/>
      </c>
      <c r="U1258" s="15" t="str">
        <f>IF(OR('Controle de CT'!$R1258= "", 'Controle de CT'!$P1258= ""), "", 'Controle de CT'!$R1258-'Controle de CT'!$P1258)</f>
        <v/>
      </c>
      <c r="V1258" s="1"/>
      <c r="W1258" s="2"/>
      <c r="X1258" s="2"/>
    </row>
    <row r="1259" spans="11:24" ht="15" hidden="1" customHeight="1">
      <c r="K1259" s="5">
        <v>46122</v>
      </c>
      <c r="L1259" t="s">
        <v>48</v>
      </c>
      <c r="M1259" s="24" t="s">
        <v>62</v>
      </c>
      <c r="N1259" s="20" t="str">
        <f t="shared" si="57"/>
        <v>Finalizado</v>
      </c>
      <c r="O12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59" s="2">
        <v>0.26041666666666669</v>
      </c>
      <c r="Q1259" s="2">
        <v>0.2951388888888889</v>
      </c>
      <c r="R1259" s="16">
        <v>0.35069444444444442</v>
      </c>
      <c r="S1259" s="90" t="s">
        <v>254</v>
      </c>
      <c r="T1259" s="14">
        <f>IF(OR(Tabela1[[#This Row],[Entrada]]="",Tabela1[[#This Row],[Saída]]=""), "", Tabela1[[#This Row],[Saída]]-Tabela1[[#This Row],[Entrada]])</f>
        <v>5.5555555555555525E-2</v>
      </c>
      <c r="U1259" s="15">
        <f>IF(OR('Controle de CT'!$R1259= "", 'Controle de CT'!$P1259= ""), "", 'Controle de CT'!$R1259-'Controle de CT'!$P1259)</f>
        <v>9.0277777777777735E-2</v>
      </c>
      <c r="V1259" s="1" t="s">
        <v>349</v>
      </c>
      <c r="W1259" s="2"/>
      <c r="X1259" s="2"/>
    </row>
    <row r="1260" spans="11:24" ht="15" hidden="1" customHeight="1">
      <c r="K1260" s="5">
        <v>46122</v>
      </c>
      <c r="L1260" t="s">
        <v>58</v>
      </c>
      <c r="M1260" s="24" t="s">
        <v>321</v>
      </c>
      <c r="N1260" s="20" t="str">
        <f t="shared" si="57"/>
        <v>Fila de Carregamento</v>
      </c>
      <c r="O12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0" s="2">
        <v>0.26111111111111113</v>
      </c>
      <c r="Q1260" s="2">
        <v>0.31180555555555556</v>
      </c>
      <c r="R1260" s="16"/>
      <c r="S1260" s="90" t="s">
        <v>254</v>
      </c>
      <c r="T1260" s="14" t="str">
        <f>IF(OR(Tabela1[[#This Row],[Entrada]]="",Tabela1[[#This Row],[Saída]]=""), "", Tabela1[[#This Row],[Saída]]-Tabela1[[#This Row],[Entrada]])</f>
        <v/>
      </c>
      <c r="U1260" s="15" t="str">
        <f>IF(OR('Controle de CT'!$R1260= "", 'Controle de CT'!$P1260= ""), "", 'Controle de CT'!$R1260-'Controle de CT'!$P1260)</f>
        <v/>
      </c>
      <c r="V1260" s="1" t="s">
        <v>349</v>
      </c>
      <c r="W1260" s="2"/>
      <c r="X1260" s="2"/>
    </row>
    <row r="1261" spans="11:24" ht="15" hidden="1" customHeight="1">
      <c r="K1261" s="5">
        <v>46122</v>
      </c>
      <c r="L1261" s="8" t="s">
        <v>350</v>
      </c>
      <c r="M1261" s="22" t="s">
        <v>321</v>
      </c>
      <c r="N1261" s="20" t="str">
        <f t="shared" si="57"/>
        <v>Fila de Carregamento</v>
      </c>
      <c r="O12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1" s="2">
        <v>0.26180555555555557</v>
      </c>
      <c r="Q1261" s="2">
        <v>0.32430555555555557</v>
      </c>
      <c r="R1261" s="16"/>
      <c r="S1261" s="90" t="s">
        <v>254</v>
      </c>
      <c r="T1261" s="14" t="str">
        <f>IF(OR(Tabela1[[#This Row],[Entrada]]="",Tabela1[[#This Row],[Saída]]=""), "", Tabela1[[#This Row],[Saída]]-Tabela1[[#This Row],[Entrada]])</f>
        <v/>
      </c>
      <c r="U1261" s="15" t="str">
        <f>IF(OR('Controle de CT'!$R1261= "", 'Controle de CT'!$P1261= ""), "", 'Controle de CT'!$R1261-'Controle de CT'!$P1261)</f>
        <v/>
      </c>
      <c r="V1261" s="1" t="s">
        <v>349</v>
      </c>
      <c r="W1261" s="2"/>
      <c r="X1261" s="2"/>
    </row>
    <row r="1262" spans="11:24" ht="15" hidden="1" customHeight="1">
      <c r="K1262" s="5">
        <v>46122</v>
      </c>
      <c r="L1262" t="s">
        <v>87</v>
      </c>
      <c r="M1262" s="24" t="s">
        <v>63</v>
      </c>
      <c r="N1262" s="20" t="str">
        <f t="shared" si="57"/>
        <v>Finalizado</v>
      </c>
      <c r="O12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2" s="2">
        <v>0.27777777777777779</v>
      </c>
      <c r="R1262" s="16">
        <v>0.41875000000000001</v>
      </c>
      <c r="S1262" s="16"/>
      <c r="T1262" s="14" t="str">
        <f>IF(OR(Tabela1[[#This Row],[Entrada]]="",Tabela1[[#This Row],[Saída]]=""), "", Tabela1[[#This Row],[Saída]]-Tabela1[[#This Row],[Entrada]])</f>
        <v/>
      </c>
      <c r="U1262" s="15">
        <f>IF(OR('Controle de CT'!$R1262= "", 'Controle de CT'!$P1262= ""), "", 'Controle de CT'!$R1262-'Controle de CT'!$P1262)</f>
        <v>0.14097222222222222</v>
      </c>
      <c r="V1262" s="1"/>
      <c r="W1262" s="2"/>
      <c r="X1262" s="2"/>
    </row>
    <row r="1263" spans="11:24" ht="15" hidden="1" customHeight="1">
      <c r="K1263" s="5">
        <v>46122</v>
      </c>
      <c r="L1263" s="8" t="s">
        <v>351</v>
      </c>
      <c r="M1263" s="22" t="str">
        <f>IF(Tabela1[[#This Row],[Motorista]]="","",IFERROR(_xlfn.XLOOKUP(Tabela1[[#This Row],[Motorista]],Base!A:A,Base!B:B),""))</f>
        <v/>
      </c>
      <c r="N1263" s="20" t="str">
        <f t="shared" si="57"/>
        <v/>
      </c>
      <c r="O12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263" s="16"/>
      <c r="S1263" s="16"/>
      <c r="T1263" s="14" t="str">
        <f>IF(OR(Tabela1[[#This Row],[Entrada]]="",Tabela1[[#This Row],[Saída]]=""), "", Tabela1[[#This Row],[Saída]]-Tabela1[[#This Row],[Entrada]])</f>
        <v/>
      </c>
      <c r="U1263" s="15" t="str">
        <f>IF(OR('Controle de CT'!$R1263= "", 'Controle de CT'!$P1263= ""), "", 'Controle de CT'!$R1263-'Controle de CT'!$P1263)</f>
        <v/>
      </c>
      <c r="V1263" s="1"/>
      <c r="W1263" s="2"/>
      <c r="X1263" s="2"/>
    </row>
    <row r="1264" spans="11:24" ht="15" hidden="1" customHeight="1">
      <c r="K1264" s="5">
        <v>46122</v>
      </c>
      <c r="L1264" t="s">
        <v>198</v>
      </c>
      <c r="M1264" s="24" t="s">
        <v>62</v>
      </c>
      <c r="N1264" s="20" t="str">
        <f t="shared" si="57"/>
        <v>Finalizado</v>
      </c>
      <c r="O12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4" s="2">
        <v>0.33124999999999999</v>
      </c>
      <c r="Q1264" s="2">
        <v>0.34930555555555554</v>
      </c>
      <c r="R1264" s="16">
        <v>0.39791666666666664</v>
      </c>
      <c r="S1264" s="90" t="s">
        <v>254</v>
      </c>
      <c r="T1264" s="14">
        <f>IF(OR(Tabela1[[#This Row],[Entrada]]="",Tabela1[[#This Row],[Saída]]=""), "", Tabela1[[#This Row],[Saída]]-Tabela1[[#This Row],[Entrada]])</f>
        <v>4.8611111111111105E-2</v>
      </c>
      <c r="U1264" s="15">
        <f>IF(OR('Controle de CT'!$R1264= "", 'Controle de CT'!$P1264= ""), "", 'Controle de CT'!$R1264-'Controle de CT'!$P1264)</f>
        <v>6.6666666666666652E-2</v>
      </c>
      <c r="V1264" s="1"/>
      <c r="W1264" s="2"/>
      <c r="X1264" s="2"/>
    </row>
    <row r="1265" spans="11:24" ht="15" hidden="1" customHeight="1">
      <c r="K1265" s="5">
        <v>46122</v>
      </c>
      <c r="L1265" s="8" t="s">
        <v>352</v>
      </c>
      <c r="M1265" s="22" t="str">
        <f>IF(Tabela1[[#This Row],[Motorista]]="","",IFERROR(_xlfn.XLOOKUP(Tabela1[[#This Row],[Motorista]],Base!A:A,Base!B:B),""))</f>
        <v/>
      </c>
      <c r="N1265" s="20" t="str">
        <f t="shared" si="57"/>
        <v/>
      </c>
      <c r="O12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65" s="16"/>
      <c r="S1265" s="16"/>
      <c r="T1265" s="14" t="str">
        <f>IF(OR(Tabela1[[#This Row],[Entrada]]="",Tabela1[[#This Row],[Saída]]=""), "", Tabela1[[#This Row],[Saída]]-Tabela1[[#This Row],[Entrada]])</f>
        <v/>
      </c>
      <c r="U1265" s="15" t="str">
        <f>IF(OR('Controle de CT'!$R1265= "", 'Controle de CT'!$P1265= ""), "", 'Controle de CT'!$R1265-'Controle de CT'!$P1265)</f>
        <v/>
      </c>
      <c r="V1265" s="1"/>
      <c r="W1265" s="2"/>
      <c r="X1265" s="2"/>
    </row>
    <row r="1266" spans="11:24" ht="15" hidden="1" customHeight="1">
      <c r="K1266" s="5">
        <v>46122</v>
      </c>
      <c r="L1266" s="8" t="s">
        <v>353</v>
      </c>
      <c r="M1266" s="22" t="str">
        <f>IF(Tabela1[[#This Row],[Motorista]]="","",IFERROR(_xlfn.XLOOKUP(Tabela1[[#This Row],[Motorista]],Base!A:A,Base!B:B),""))</f>
        <v/>
      </c>
      <c r="N1266" s="20" t="str">
        <f t="shared" si="57"/>
        <v/>
      </c>
      <c r="O12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66" s="16"/>
      <c r="S1266" s="16"/>
      <c r="T1266" s="14" t="str">
        <f>IF(OR(Tabela1[[#This Row],[Entrada]]="",Tabela1[[#This Row],[Saída]]=""), "", Tabela1[[#This Row],[Saída]]-Tabela1[[#This Row],[Entrada]])</f>
        <v/>
      </c>
      <c r="U1266" s="15" t="str">
        <f>IF(OR('Controle de CT'!$R1266= "", 'Controle de CT'!$P1266= ""), "", 'Controle de CT'!$R1266-'Controle de CT'!$P1266)</f>
        <v/>
      </c>
      <c r="V1266" s="1"/>
      <c r="W1266" s="2"/>
      <c r="X1266" s="2"/>
    </row>
    <row r="1267" spans="11:24" ht="15" hidden="1" customHeight="1">
      <c r="K1267" s="5">
        <v>46122</v>
      </c>
      <c r="L1267" s="8" t="s">
        <v>354</v>
      </c>
      <c r="M1267" s="22" t="str">
        <f>IF(Tabela1[[#This Row],[Motorista]]="","",IFERROR(_xlfn.XLOOKUP(Tabela1[[#This Row],[Motorista]],Base!A:A,Base!B:B),""))</f>
        <v/>
      </c>
      <c r="N1267" s="20" t="str">
        <f t="shared" si="57"/>
        <v/>
      </c>
      <c r="O12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67" s="16"/>
      <c r="S1267" s="16"/>
      <c r="T1267" s="14" t="str">
        <f>IF(OR(Tabela1[[#This Row],[Entrada]]="",Tabela1[[#This Row],[Saída]]=""), "", Tabela1[[#This Row],[Saída]]-Tabela1[[#This Row],[Entrada]])</f>
        <v/>
      </c>
      <c r="U1267" s="15" t="str">
        <f>IF(OR('Controle de CT'!$R1267= "", 'Controle de CT'!$P1267= ""), "", 'Controle de CT'!$R1267-'Controle de CT'!$P1267)</f>
        <v/>
      </c>
      <c r="V1267" s="1"/>
      <c r="W1267" s="2"/>
      <c r="X1267" s="2"/>
    </row>
    <row r="1268" spans="11:24" ht="15" hidden="1" customHeight="1">
      <c r="K1268" s="5">
        <v>46122</v>
      </c>
      <c r="L1268" s="8" t="s">
        <v>355</v>
      </c>
      <c r="M1268" s="22" t="str">
        <f>IF(Tabela1[[#This Row],[Motorista]]="","",IFERROR(_xlfn.XLOOKUP(Tabela1[[#This Row],[Motorista]],Base!A:A,Base!B:B),""))</f>
        <v/>
      </c>
      <c r="N1268" s="20" t="str">
        <f t="shared" si="57"/>
        <v>Fila de Carregamento</v>
      </c>
      <c r="O12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68" s="2">
        <v>0.39583333333333331</v>
      </c>
      <c r="Q1268" s="2">
        <v>0.40972222222222221</v>
      </c>
      <c r="R1268" s="16"/>
      <c r="S1268" s="16"/>
      <c r="T1268" s="14" t="str">
        <f>IF(OR(Tabela1[[#This Row],[Entrada]]="",Tabela1[[#This Row],[Saída]]=""), "", Tabela1[[#This Row],[Saída]]-Tabela1[[#This Row],[Entrada]])</f>
        <v/>
      </c>
      <c r="U1268" s="15" t="str">
        <f>IF(OR('Controle de CT'!$R1268= "", 'Controle de CT'!$P1268= ""), "", 'Controle de CT'!$R1268-'Controle de CT'!$P1268)</f>
        <v/>
      </c>
      <c r="V1268" s="1"/>
      <c r="W1268" s="2"/>
      <c r="X1268" s="2"/>
    </row>
    <row r="1269" spans="11:24" ht="15" hidden="1" customHeight="1">
      <c r="K1269" s="5">
        <v>46122</v>
      </c>
      <c r="L1269" s="8"/>
      <c r="M1269" s="22" t="str">
        <f>IF(Tabela1[[#This Row],[Motorista]]="","",IFERROR(_xlfn.XLOOKUP(Tabela1[[#This Row],[Motorista]],Base!A:A,Base!B:B),""))</f>
        <v/>
      </c>
      <c r="N1269" s="20" t="str">
        <f t="shared" si="57"/>
        <v/>
      </c>
      <c r="O12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R1269" s="16"/>
      <c r="S1269" s="16"/>
      <c r="T1269" s="14" t="str">
        <f>IF(OR(Tabela1[[#This Row],[Entrada]]="",Tabela1[[#This Row],[Saída]]=""), "", Tabela1[[#This Row],[Saída]]-Tabela1[[#This Row],[Entrada]])</f>
        <v/>
      </c>
      <c r="U1269" s="15" t="str">
        <f>IF(OR('Controle de CT'!$R1269= "", 'Controle de CT'!$P1269= ""), "", 'Controle de CT'!$R1269-'Controle de CT'!$P1269)</f>
        <v/>
      </c>
      <c r="V1269" s="1"/>
      <c r="W1269" s="2"/>
      <c r="X1269" s="2"/>
    </row>
    <row r="1270" spans="11:24" ht="15" hidden="1" customHeight="1">
      <c r="K1270" s="5">
        <v>46122</v>
      </c>
      <c r="L1270" s="8" t="s">
        <v>356</v>
      </c>
      <c r="M1270" s="22" t="str">
        <f>IF(Tabela1[[#This Row],[Motorista]]="","",IFERROR(_xlfn.XLOOKUP(Tabela1[[#This Row],[Motorista]],Base!A:A,Base!B:B),""))</f>
        <v/>
      </c>
      <c r="N1270" s="20" t="str">
        <f t="shared" si="57"/>
        <v/>
      </c>
      <c r="O12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70" s="16"/>
      <c r="S1270" s="16"/>
      <c r="T1270" s="14" t="str">
        <f>IF(OR(Tabela1[[#This Row],[Entrada]]="",Tabela1[[#This Row],[Saída]]=""), "", Tabela1[[#This Row],[Saída]]-Tabela1[[#This Row],[Entrada]])</f>
        <v/>
      </c>
      <c r="U1270" s="15" t="str">
        <f>IF(OR('Controle de CT'!$R1270= "", 'Controle de CT'!$P1270= ""), "", 'Controle de CT'!$R1270-'Controle de CT'!$P1270)</f>
        <v/>
      </c>
      <c r="V1270" s="1"/>
      <c r="W1270" s="2"/>
      <c r="X1270" s="2"/>
    </row>
    <row r="1271" spans="11:24" ht="15" hidden="1" customHeight="1">
      <c r="K1271" s="5">
        <v>46122</v>
      </c>
      <c r="L1271" s="8" t="s">
        <v>357</v>
      </c>
      <c r="M1271" s="22" t="str">
        <f>IF(Tabela1[[#This Row],[Motorista]]="","",IFERROR(_xlfn.XLOOKUP(Tabela1[[#This Row],[Motorista]],Base!A:A,Base!B:B),""))</f>
        <v/>
      </c>
      <c r="N1271" s="20" t="str">
        <f t="shared" si="57"/>
        <v>Fila de Carregamento</v>
      </c>
      <c r="O12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Q1271" s="2">
        <v>0.46111111111111114</v>
      </c>
      <c r="R1271" s="16"/>
      <c r="S1271" s="16"/>
      <c r="T1271" s="14" t="str">
        <f>IF(OR(Tabela1[[#This Row],[Entrada]]="",Tabela1[[#This Row],[Saída]]=""), "", Tabela1[[#This Row],[Saída]]-Tabela1[[#This Row],[Entrada]])</f>
        <v/>
      </c>
      <c r="U1271" s="15" t="str">
        <f>IF(OR('Controle de CT'!$R1271= "", 'Controle de CT'!$P1271= ""), "", 'Controle de CT'!$R1271-'Controle de CT'!$P1271)</f>
        <v/>
      </c>
      <c r="V1271" s="1"/>
      <c r="W1271" s="2"/>
      <c r="X1271" s="2"/>
    </row>
    <row r="1272" spans="11:24" ht="15" hidden="1" customHeight="1">
      <c r="K1272" s="5">
        <v>46122</v>
      </c>
      <c r="L1272" s="8" t="s">
        <v>358</v>
      </c>
      <c r="M1272" s="22" t="str">
        <f>IF(Tabela1[[#This Row],[Motorista]]="","",IFERROR(_xlfn.XLOOKUP(Tabela1[[#This Row],[Motorista]],Base!A:A,Base!B:B),""))</f>
        <v/>
      </c>
      <c r="N1272" s="20" t="str">
        <f t="shared" si="57"/>
        <v/>
      </c>
      <c r="O12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72" s="16"/>
      <c r="S1272" s="16"/>
      <c r="T1272" s="14" t="str">
        <f>IF(OR(Tabela1[[#This Row],[Entrada]]="",Tabela1[[#This Row],[Saída]]=""), "", Tabela1[[#This Row],[Saída]]-Tabela1[[#This Row],[Entrada]])</f>
        <v/>
      </c>
      <c r="U1272" s="15" t="str">
        <f>IF(OR('Controle de CT'!$R1272= "", 'Controle de CT'!$P1272= ""), "", 'Controle de CT'!$R1272-'Controle de CT'!$P1272)</f>
        <v/>
      </c>
      <c r="V1272" s="1"/>
      <c r="W1272" s="2"/>
      <c r="X1272" s="2"/>
    </row>
    <row r="1273" spans="11:24" ht="15" hidden="1" customHeight="1">
      <c r="K1273" s="5">
        <v>46122</v>
      </c>
      <c r="L1273" s="8" t="s">
        <v>351</v>
      </c>
      <c r="M1273" s="22" t="str">
        <f>IF(Tabela1[[#This Row],[Motorista]]="","",IFERROR(_xlfn.XLOOKUP(Tabela1[[#This Row],[Motorista]],Base!A:A,Base!B:B),""))</f>
        <v/>
      </c>
      <c r="N1273" s="20" t="str">
        <f t="shared" si="57"/>
        <v>Aguardando Entrada</v>
      </c>
      <c r="O12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73" s="2">
        <v>0.49513888888888891</v>
      </c>
      <c r="R1273" s="16"/>
      <c r="S1273" s="16"/>
      <c r="T1273" s="14" t="str">
        <f>IF(OR(Tabela1[[#This Row],[Entrada]]="",Tabela1[[#This Row],[Saída]]=""), "", Tabela1[[#This Row],[Saída]]-Tabela1[[#This Row],[Entrada]])</f>
        <v/>
      </c>
      <c r="U1273" s="15" t="str">
        <f>IF(OR('Controle de CT'!$R1273= "", 'Controle de CT'!$P1273= ""), "", 'Controle de CT'!$R1273-'Controle de CT'!$P1273)</f>
        <v/>
      </c>
      <c r="V1273" s="1"/>
      <c r="W1273" s="2"/>
      <c r="X1273" s="2"/>
    </row>
    <row r="1274" spans="11:24" ht="15" hidden="1" customHeight="1">
      <c r="K1274" s="5">
        <v>46122</v>
      </c>
      <c r="L1274" s="8" t="s">
        <v>359</v>
      </c>
      <c r="M1274" s="22" t="str">
        <f>IF(Tabela1[[#This Row],[Motorista]]="","",IFERROR(_xlfn.XLOOKUP(Tabela1[[#This Row],[Motorista]],Base!A:A,Base!B:B),""))</f>
        <v/>
      </c>
      <c r="N1274" s="20" t="str">
        <f t="shared" si="57"/>
        <v/>
      </c>
      <c r="O12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274" s="16"/>
      <c r="S1274" s="16"/>
      <c r="T1274" s="14" t="str">
        <f>IF(OR(Tabela1[[#This Row],[Entrada]]="",Tabela1[[#This Row],[Saída]]=""), "", Tabela1[[#This Row],[Saída]]-Tabela1[[#This Row],[Entrada]])</f>
        <v/>
      </c>
      <c r="U1274" s="15" t="str">
        <f>IF(OR('Controle de CT'!$R1274= "", 'Controle de CT'!$P1274= ""), "", 'Controle de CT'!$R1274-'Controle de CT'!$P1274)</f>
        <v/>
      </c>
      <c r="V1274" s="1"/>
      <c r="W1274" s="2"/>
      <c r="X1274" s="2"/>
    </row>
    <row r="1275" spans="11:24" ht="15" hidden="1" customHeight="1">
      <c r="K1275" s="5">
        <v>46122</v>
      </c>
      <c r="L1275" s="8" t="s">
        <v>255</v>
      </c>
      <c r="M1275" s="9" t="s">
        <v>321</v>
      </c>
      <c r="N1275" s="20" t="str">
        <f t="shared" si="57"/>
        <v>Finalizado</v>
      </c>
      <c r="O12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75" s="4">
        <v>0.56041666666666667</v>
      </c>
      <c r="Q1275" s="4">
        <v>0.57638888888888884</v>
      </c>
      <c r="R1275" s="2">
        <v>0.61111111111111116</v>
      </c>
      <c r="S1275" s="91" t="s">
        <v>254</v>
      </c>
      <c r="T1275" s="1"/>
      <c r="U1275" s="15">
        <f>IF(OR('Controle de CT'!$R1275= "", 'Controle de CT'!$P1275= ""), "", 'Controle de CT'!$R1275-'Controle de CT'!$P1275)</f>
        <v>5.0694444444444486E-2</v>
      </c>
      <c r="V1275" s="1"/>
      <c r="W1275" s="2"/>
      <c r="X1275" s="2"/>
    </row>
    <row r="1276" spans="11:24" ht="15" hidden="1" customHeight="1">
      <c r="K1276" s="5">
        <v>46122</v>
      </c>
      <c r="L1276" s="8" t="s">
        <v>231</v>
      </c>
      <c r="M1276" s="9" t="str">
        <f>IF(Tabela1[[#This Row],[Motorista]]="","",IFERROR(_xlfn.XLOOKUP(Tabela1[[#This Row],[Motorista]],Base!A:A,Base!B:B),""))</f>
        <v>Transferência</v>
      </c>
      <c r="N1276" s="20" t="str">
        <f t="shared" si="57"/>
        <v>Fila de Carregamento</v>
      </c>
      <c r="O12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76" s="4">
        <v>0.59722222222222221</v>
      </c>
      <c r="Q1276" s="4">
        <v>0.6118055555555556</v>
      </c>
      <c r="S1276" s="91" t="s">
        <v>254</v>
      </c>
      <c r="T1276" s="14" t="str">
        <f>IF(OR(Tabela1[[#This Row],[Entrada]]="",Tabela1[[#This Row],[Saída]]=""), "", Tabela1[[#This Row],[Saída]]-Tabela1[[#This Row],[Entrada]])</f>
        <v/>
      </c>
      <c r="U1276" s="15" t="str">
        <f>IF(OR('Controle de CT'!$R1276= "", 'Controle de CT'!$P1276= ""), "", 'Controle de CT'!$R1276-'Controle de CT'!$P1276)</f>
        <v/>
      </c>
      <c r="V1276" s="1" t="s">
        <v>220</v>
      </c>
      <c r="W1276" s="2"/>
      <c r="X1276" s="2"/>
    </row>
    <row r="1277" spans="11:24" ht="15" hidden="1" customHeight="1">
      <c r="K1277" s="5">
        <v>46122</v>
      </c>
      <c r="L1277" s="8" t="s">
        <v>116</v>
      </c>
      <c r="M1277" s="9" t="str">
        <f>IF(Tabela1[[#This Row],[Motorista]]="","",IFERROR(_xlfn.XLOOKUP(Tabela1[[#This Row],[Motorista]],Base!A:A,Base!B:B),""))</f>
        <v xml:space="preserve">CIF </v>
      </c>
      <c r="N1277" s="20" t="str">
        <f t="shared" si="57"/>
        <v>Finalizado</v>
      </c>
      <c r="O12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77" s="4">
        <v>0.54722222222222228</v>
      </c>
      <c r="Q1277" s="4">
        <v>0.55277777777777781</v>
      </c>
      <c r="R1277" s="2">
        <v>0.62430555555555556</v>
      </c>
      <c r="S1277" s="91" t="s">
        <v>254</v>
      </c>
      <c r="T1277" s="14">
        <f>IF(OR(Tabela1[[#This Row],[Entrada]]="",Tabela1[[#This Row],[Saída]]=""), "", Tabela1[[#This Row],[Saída]]-Tabela1[[#This Row],[Entrada]])</f>
        <v>7.1527777777777746E-2</v>
      </c>
      <c r="U1277" s="15">
        <f>IF(OR('Controle de CT'!$R1277= "", 'Controle de CT'!$P1277= ""), "", 'Controle de CT'!$R1277-'Controle de CT'!$P1277)</f>
        <v>7.7083333333333282E-2</v>
      </c>
      <c r="V1277" s="1"/>
      <c r="W1277" s="2"/>
      <c r="X1277" s="2"/>
    </row>
    <row r="1278" spans="11:24" ht="15" hidden="1" customHeight="1">
      <c r="K1278" s="5">
        <v>46122</v>
      </c>
      <c r="L1278" s="8" t="s">
        <v>48</v>
      </c>
      <c r="M1278" s="9" t="str">
        <f>IF(Tabela1[[#This Row],[Motorista]]="","",IFERROR(_xlfn.XLOOKUP(Tabela1[[#This Row],[Motorista]],Base!A:A,Base!B:B),""))</f>
        <v>CIF</v>
      </c>
      <c r="N1278" s="20" t="str">
        <f t="shared" si="57"/>
        <v>Finalizado</v>
      </c>
      <c r="O12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78" s="4">
        <v>0.62361111111111112</v>
      </c>
      <c r="Q1278" s="4">
        <v>0.62916666666666665</v>
      </c>
      <c r="R1278" s="2">
        <v>0.68611111111111112</v>
      </c>
      <c r="S1278" s="91" t="s">
        <v>254</v>
      </c>
      <c r="T1278" s="14">
        <f>IF(OR(Tabela1[[#This Row],[Entrada]]="",Tabela1[[#This Row],[Saída]]=""), "", Tabela1[[#This Row],[Saída]]-Tabela1[[#This Row],[Entrada]])</f>
        <v>5.6944444444444464E-2</v>
      </c>
      <c r="U1278" s="15">
        <f>IF(OR('Controle de CT'!$R1278= "", 'Controle de CT'!$P1278= ""), "", 'Controle de CT'!$R1278-'Controle de CT'!$P1278)</f>
        <v>6.25E-2</v>
      </c>
      <c r="V1278" s="1"/>
      <c r="W1278" s="2"/>
      <c r="X1278" s="2"/>
    </row>
    <row r="1279" spans="11:24" ht="15" hidden="1" customHeight="1">
      <c r="K1279" s="5">
        <v>46122</v>
      </c>
      <c r="L1279" s="8" t="s">
        <v>124</v>
      </c>
      <c r="M1279" s="9" t="str">
        <f>IF(Tabela1[[#This Row],[Motorista]]="","",IFERROR(_xlfn.XLOOKUP(Tabela1[[#This Row],[Motorista]],Base!A:A,Base!B:B),""))</f>
        <v>Transferência</v>
      </c>
      <c r="N1279" s="20" t="str">
        <f t="shared" si="57"/>
        <v>Fila de Carregamento</v>
      </c>
      <c r="O12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79" s="4">
        <v>0.58333333333333337</v>
      </c>
      <c r="Q1279" s="4">
        <v>0.59444444444444444</v>
      </c>
      <c r="S1279" s="91" t="s">
        <v>254</v>
      </c>
      <c r="T1279" s="14" t="str">
        <f>IF(OR(Tabela1[[#This Row],[Entrada]]="",Tabela1[[#This Row],[Saída]]=""), "", Tabela1[[#This Row],[Saída]]-Tabela1[[#This Row],[Entrada]])</f>
        <v/>
      </c>
      <c r="U1279" s="15" t="str">
        <f>IF(OR('Controle de CT'!$R1279= "", 'Controle de CT'!$P1279= ""), "", 'Controle de CT'!$R1279-'Controle de CT'!$P1279)</f>
        <v/>
      </c>
      <c r="V1279" s="1" t="s">
        <v>220</v>
      </c>
      <c r="W1279" s="2"/>
      <c r="X1279" s="2"/>
    </row>
    <row r="1280" spans="11:24" ht="15" hidden="1" customHeight="1">
      <c r="K1280" s="5">
        <v>46122</v>
      </c>
      <c r="L1280" s="8" t="s">
        <v>57</v>
      </c>
      <c r="M1280" s="9" t="str">
        <f>IF(Tabela1[[#This Row],[Motorista]]="","",IFERROR(_xlfn.XLOOKUP(Tabela1[[#This Row],[Motorista]],Base!A:A,Base!B:B),""))</f>
        <v>CIF</v>
      </c>
      <c r="N1280" s="20" t="str">
        <f t="shared" si="57"/>
        <v>Finalizado</v>
      </c>
      <c r="O12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0" s="4">
        <v>0.64722222222222225</v>
      </c>
      <c r="Q1280" s="4">
        <v>0.65208333333333335</v>
      </c>
      <c r="R1280" s="23">
        <v>0.7104166666666667</v>
      </c>
      <c r="S1280" s="91" t="s">
        <v>254</v>
      </c>
      <c r="T1280" s="14">
        <f>IF(OR(Tabela1[[#This Row],[Entrada]]="",Tabela1[[#This Row],[Saída]]=""), "", Tabela1[[#This Row],[Saída]]-Tabela1[[#This Row],[Entrada]])</f>
        <v>5.8333333333333348E-2</v>
      </c>
      <c r="U1280" s="15">
        <f>IF(OR('Controle de CT'!$R1280= "", 'Controle de CT'!$P1280= ""), "", 'Controle de CT'!$R1280-'Controle de CT'!$P1280)</f>
        <v>6.3194444444444442E-2</v>
      </c>
      <c r="V1280" s="1"/>
      <c r="W1280" s="2"/>
      <c r="X1280" s="2"/>
    </row>
    <row r="1281" spans="11:24" ht="15" hidden="1" customHeight="1">
      <c r="K1281" s="5">
        <v>46122</v>
      </c>
      <c r="L1281" s="8" t="s">
        <v>111</v>
      </c>
      <c r="M1281" s="9" t="str">
        <f>IF(Tabela1[[#This Row],[Motorista]]="","",IFERROR(_xlfn.XLOOKUP(Tabela1[[#This Row],[Motorista]],Base!A:A,Base!B:B),""))</f>
        <v>FOB</v>
      </c>
      <c r="N1281" s="20" t="str">
        <f t="shared" si="57"/>
        <v>Finalizado</v>
      </c>
      <c r="O12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1" s="4">
        <v>0.63055555555555554</v>
      </c>
      <c r="Q1281" s="4">
        <v>0.6381944444444444</v>
      </c>
      <c r="R1281" s="2">
        <v>0.68402777777777779</v>
      </c>
      <c r="S1281" s="91" t="s">
        <v>254</v>
      </c>
      <c r="T1281" s="14">
        <f>IF(OR(Tabela1[[#This Row],[Entrada]]="",Tabela1[[#This Row],[Saída]]=""), "", Tabela1[[#This Row],[Saída]]-Tabela1[[#This Row],[Entrada]])</f>
        <v>4.5833333333333393E-2</v>
      </c>
      <c r="U1281" s="15">
        <f>IF(OR('Controle de CT'!$R1281= "", 'Controle de CT'!$P1281= ""), "", 'Controle de CT'!$R1281-'Controle de CT'!$P1281)</f>
        <v>5.3472222222222254E-2</v>
      </c>
      <c r="V1281" s="1"/>
      <c r="W1281" s="2"/>
      <c r="X1281" s="2"/>
    </row>
    <row r="1282" spans="11:24" ht="15" hidden="1" customHeight="1">
      <c r="K1282" s="5">
        <v>46122</v>
      </c>
      <c r="L1282" s="8" t="s">
        <v>125</v>
      </c>
      <c r="M1282" s="9" t="str">
        <f>IF(Tabela1[[#This Row],[Motorista]]="","",IFERROR(_xlfn.XLOOKUP(Tabela1[[#This Row],[Motorista]],Base!A:A,Base!B:B),""))</f>
        <v>FOB</v>
      </c>
      <c r="N1282" s="20" t="str">
        <f t="shared" si="57"/>
        <v>Finalizado</v>
      </c>
      <c r="O12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2" s="4">
        <v>0.58333333333333337</v>
      </c>
      <c r="Q1282" s="4">
        <v>0.65902777777777777</v>
      </c>
      <c r="R1282" s="2">
        <v>0.74236111111111114</v>
      </c>
      <c r="S1282" s="91" t="s">
        <v>254</v>
      </c>
      <c r="T1282" s="14">
        <f>IF(OR(Tabela1[[#This Row],[Entrada]]="",Tabela1[[#This Row],[Saída]]=""), "", Tabela1[[#This Row],[Saída]]-Tabela1[[#This Row],[Entrada]])</f>
        <v>8.333333333333337E-2</v>
      </c>
      <c r="U1282" s="15">
        <f>IF(OR('Controle de CT'!$R1282= "", 'Controle de CT'!$P1282= ""), "", 'Controle de CT'!$R1282-'Controle de CT'!$P1282)</f>
        <v>0.15902777777777777</v>
      </c>
      <c r="V1282" s="1" t="s">
        <v>220</v>
      </c>
      <c r="W1282" s="2"/>
      <c r="X1282" s="2"/>
    </row>
    <row r="1283" spans="11:24" ht="15" hidden="1" customHeight="1">
      <c r="K1283" s="5">
        <v>46122</v>
      </c>
      <c r="L1283" s="8" t="s">
        <v>360</v>
      </c>
      <c r="M1283" s="9" t="str">
        <f>IF(Tabela1[[#This Row],[Motorista]]="","",IFERROR(_xlfn.XLOOKUP(Tabela1[[#This Row],[Motorista]],Base!A:A,Base!B:B),""))</f>
        <v>Transferência</v>
      </c>
      <c r="N1283" s="20" t="str">
        <f t="shared" si="57"/>
        <v>Finalizado</v>
      </c>
      <c r="O12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3" s="4">
        <v>0.65277777777777779</v>
      </c>
      <c r="Q1283" s="4">
        <v>0.7055555555555556</v>
      </c>
      <c r="R1283" s="2">
        <v>0.79374999999999996</v>
      </c>
      <c r="S1283" s="91" t="s">
        <v>254</v>
      </c>
      <c r="T1283" s="14">
        <f>IF(OR(Tabela1[[#This Row],[Entrada]]="",Tabela1[[#This Row],[Saída]]=""), "", Tabela1[[#This Row],[Saída]]-Tabela1[[#This Row],[Entrada]])</f>
        <v>8.8194444444444353E-2</v>
      </c>
      <c r="U1283" s="15">
        <f>IF(OR('Controle de CT'!$R1283= "", 'Controle de CT'!$P1283= ""), "", 'Controle de CT'!$R1283-'Controle de CT'!$P1283)</f>
        <v>0.14097222222222217</v>
      </c>
      <c r="V1283" s="1"/>
      <c r="W1283" s="2"/>
      <c r="X1283" s="2"/>
    </row>
    <row r="1284" spans="11:24" ht="15" hidden="1" customHeight="1">
      <c r="K1284" s="5">
        <v>46122</v>
      </c>
      <c r="L1284" s="8" t="s">
        <v>89</v>
      </c>
      <c r="M1284" s="9" t="str">
        <f>IF(Tabela1[[#This Row],[Motorista]]="","",IFERROR(_xlfn.XLOOKUP(Tabela1[[#This Row],[Motorista]],Base!A:A,Base!B:B),""))</f>
        <v>FOB</v>
      </c>
      <c r="N1284" s="20" t="str">
        <f t="shared" si="57"/>
        <v>Finalizado</v>
      </c>
      <c r="O12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4" s="4">
        <v>0.66180555555555554</v>
      </c>
      <c r="Q1284" s="4">
        <v>0.7</v>
      </c>
      <c r="R1284" s="2">
        <v>0.77222222222222225</v>
      </c>
      <c r="S1284" s="91" t="s">
        <v>254</v>
      </c>
      <c r="T1284" s="14">
        <f>IF(OR(Tabela1[[#This Row],[Entrada]]="",Tabela1[[#This Row],[Saída]]=""), "", Tabela1[[#This Row],[Saída]]-Tabela1[[#This Row],[Entrada]])</f>
        <v>7.2222222222222299E-2</v>
      </c>
      <c r="U1284" s="15">
        <f>IF(OR('Controle de CT'!$R1284= "", 'Controle de CT'!$P1284= ""), "", 'Controle de CT'!$R1284-'Controle de CT'!$P1284)</f>
        <v>0.11041666666666672</v>
      </c>
      <c r="V1284" s="1"/>
      <c r="W1284" s="2"/>
      <c r="X1284" s="2"/>
    </row>
    <row r="1285" spans="11:24" ht="15" hidden="1" customHeight="1">
      <c r="K1285" s="5">
        <v>46122</v>
      </c>
      <c r="L1285" s="8" t="s">
        <v>154</v>
      </c>
      <c r="M1285" s="9" t="str">
        <f>IF(Tabela1[[#This Row],[Motorista]]="","",IFERROR(_xlfn.XLOOKUP(Tabela1[[#This Row],[Motorista]],Base!A:A,Base!B:B),""))</f>
        <v>FOB</v>
      </c>
      <c r="N1285" s="20" t="str">
        <f t="shared" si="57"/>
        <v>Finalizado</v>
      </c>
      <c r="O12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5" s="4">
        <v>0.61319444444444449</v>
      </c>
      <c r="Q1285" s="4">
        <v>0.62430555555555556</v>
      </c>
      <c r="R1285" s="2">
        <v>0.69444444444444442</v>
      </c>
      <c r="S1285" s="91" t="s">
        <v>254</v>
      </c>
      <c r="T1285" s="14">
        <f>IF(OR(Tabela1[[#This Row],[Entrada]]="",Tabela1[[#This Row],[Saída]]=""), "", Tabela1[[#This Row],[Saída]]-Tabela1[[#This Row],[Entrada]])</f>
        <v>7.0138888888888862E-2</v>
      </c>
      <c r="U1285" s="15">
        <f>IF(OR('Controle de CT'!$R1285= "", 'Controle de CT'!$P1285= ""), "", 'Controle de CT'!$R1285-'Controle de CT'!$P1285)</f>
        <v>8.1249999999999933E-2</v>
      </c>
      <c r="V1285" s="1"/>
      <c r="W1285" s="2"/>
      <c r="X1285" s="2"/>
    </row>
    <row r="1286" spans="11:24" ht="15" hidden="1" customHeight="1">
      <c r="K1286" s="5">
        <v>46122</v>
      </c>
      <c r="L1286" s="8" t="s">
        <v>147</v>
      </c>
      <c r="M1286" s="9" t="str">
        <f>IF(Tabela1[[#This Row],[Motorista]]="","",IFERROR(_xlfn.XLOOKUP(Tabela1[[#This Row],[Motorista]],Base!A:A,Base!B:B),""))</f>
        <v>Transferência</v>
      </c>
      <c r="N1286" s="20" t="str">
        <f t="shared" si="57"/>
        <v>Fila de Carregamento</v>
      </c>
      <c r="O12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6" s="4">
        <v>0.7</v>
      </c>
      <c r="Q1286" s="4">
        <v>0.71805555555555556</v>
      </c>
      <c r="S1286" s="91" t="s">
        <v>254</v>
      </c>
      <c r="T1286" s="14" t="str">
        <f>IF(OR(Tabela1[[#This Row],[Entrada]]="",Tabela1[[#This Row],[Saída]]=""), "", Tabela1[[#This Row],[Saída]]-Tabela1[[#This Row],[Entrada]])</f>
        <v/>
      </c>
      <c r="U1286" s="15" t="str">
        <f>IF(OR('Controle de CT'!$R1286= "", 'Controle de CT'!$P1286= ""), "", 'Controle de CT'!$R1286-'Controle de CT'!$P1286)</f>
        <v/>
      </c>
      <c r="V1286" s="1" t="s">
        <v>220</v>
      </c>
      <c r="W1286" s="2"/>
      <c r="X1286" s="2"/>
    </row>
    <row r="1287" spans="11:24" ht="15" hidden="1" customHeight="1">
      <c r="K1287" s="5">
        <v>46122</v>
      </c>
      <c r="L1287" s="8" t="s">
        <v>113</v>
      </c>
      <c r="M1287" s="9" t="str">
        <f>IF(Tabela1[[#This Row],[Motorista]]="","",IFERROR(_xlfn.XLOOKUP(Tabela1[[#This Row],[Motorista]],Base!A:A,Base!B:B),""))</f>
        <v>Transferência</v>
      </c>
      <c r="N1287" s="20" t="str">
        <f t="shared" si="57"/>
        <v>Fila de Carregamento</v>
      </c>
      <c r="O12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7" s="4">
        <v>0.70833333333333337</v>
      </c>
      <c r="Q1287" s="4">
        <v>0.7270833333333333</v>
      </c>
      <c r="S1287" s="91" t="s">
        <v>254</v>
      </c>
      <c r="T1287" s="14" t="str">
        <f>IF(OR(Tabela1[[#This Row],[Entrada]]="",Tabela1[[#This Row],[Saída]]=""), "", Tabela1[[#This Row],[Saída]]-Tabela1[[#This Row],[Entrada]])</f>
        <v/>
      </c>
      <c r="U1287" s="15" t="str">
        <f>IF(OR('Controle de CT'!$R1287= "", 'Controle de CT'!$P1287= ""), "", 'Controle de CT'!$R1287-'Controle de CT'!$P1287)</f>
        <v/>
      </c>
      <c r="V1287" s="1"/>
      <c r="W1287" s="2"/>
      <c r="X1287" s="2"/>
    </row>
    <row r="1288" spans="11:24" ht="15" hidden="1" customHeight="1">
      <c r="K1288" s="5">
        <v>46122</v>
      </c>
      <c r="L1288" s="8" t="s">
        <v>162</v>
      </c>
      <c r="M1288" s="9" t="str">
        <f>IF(Tabela1[[#This Row],[Motorista]]="","",IFERROR(_xlfn.XLOOKUP(Tabela1[[#This Row],[Motorista]],Base!A:A,Base!B:B),""))</f>
        <v>FOB</v>
      </c>
      <c r="N1288" s="20" t="str">
        <f t="shared" si="57"/>
        <v>Finalizado</v>
      </c>
      <c r="O12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8" s="4">
        <v>0.72847222222222219</v>
      </c>
      <c r="Q1288" s="4">
        <v>0.73541666666666672</v>
      </c>
      <c r="R1288" s="2">
        <v>0.8041666666666667</v>
      </c>
      <c r="S1288" s="91" t="s">
        <v>254</v>
      </c>
      <c r="T1288" s="14">
        <f>IF(OR(Tabela1[[#This Row],[Entrada]]="",Tabela1[[#This Row],[Saída]]=""), "", Tabela1[[#This Row],[Saída]]-Tabela1[[#This Row],[Entrada]])</f>
        <v>6.8749999999999978E-2</v>
      </c>
      <c r="U1288" s="15">
        <f>IF(OR('Controle de CT'!$R1288= "", 'Controle de CT'!$P1288= ""), "", 'Controle de CT'!$R1288-'Controle de CT'!$P1288)</f>
        <v>7.5694444444444509E-2</v>
      </c>
      <c r="V1288" s="1"/>
      <c r="W1288" s="2"/>
      <c r="X1288" s="2"/>
    </row>
    <row r="1289" spans="11:24" ht="15" hidden="1" customHeight="1">
      <c r="K1289" s="5">
        <v>46122</v>
      </c>
      <c r="L1289" s="8" t="s">
        <v>49</v>
      </c>
      <c r="M1289" s="9" t="str">
        <f>IF(Tabela1[[#This Row],[Motorista]]="","",IFERROR(_xlfn.XLOOKUP(Tabela1[[#This Row],[Motorista]],Base!A:A,Base!B:B),""))</f>
        <v>CIF</v>
      </c>
      <c r="N1289" s="20" t="str">
        <f t="shared" si="57"/>
        <v>Finalizado</v>
      </c>
      <c r="O12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89" s="4">
        <v>0.60347222222222219</v>
      </c>
      <c r="Q1289" s="4">
        <v>0.64583333333333337</v>
      </c>
      <c r="R1289" s="2">
        <v>0.70208333333333328</v>
      </c>
      <c r="S1289" s="91" t="s">
        <v>254</v>
      </c>
      <c r="T1289" s="14">
        <f>IF(OR(Tabela1[[#This Row],[Entrada]]="",Tabela1[[#This Row],[Saída]]=""), "", Tabela1[[#This Row],[Saída]]-Tabela1[[#This Row],[Entrada]])</f>
        <v>5.6249999999999911E-2</v>
      </c>
      <c r="U1289" s="15">
        <f>IF(OR('Controle de CT'!$R1289= "", 'Controle de CT'!$P1289= ""), "", 'Controle de CT'!$R1289-'Controle de CT'!$P1289)</f>
        <v>9.8611111111111094E-2</v>
      </c>
      <c r="V1289" s="1" t="s">
        <v>361</v>
      </c>
      <c r="W1289" s="2"/>
      <c r="X1289" s="2"/>
    </row>
    <row r="1290" spans="11:24" ht="15" hidden="1" customHeight="1">
      <c r="K1290" s="5">
        <v>46122</v>
      </c>
      <c r="L1290" s="8" t="s">
        <v>187</v>
      </c>
      <c r="M1290" s="9" t="str">
        <f>IF(Tabela1[[#This Row],[Motorista]]="","",IFERROR(_xlfn.XLOOKUP(Tabela1[[#This Row],[Motorista]],Base!A:A,Base!B:B),""))</f>
        <v>Transferência</v>
      </c>
      <c r="N1290" s="20" t="str">
        <f t="shared" si="57"/>
        <v>Fila de Carregamento</v>
      </c>
      <c r="O12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0" s="4">
        <v>0.77777777777777779</v>
      </c>
      <c r="Q1290" s="4">
        <v>0.79583333333333328</v>
      </c>
      <c r="S1290" s="93" t="s">
        <v>254</v>
      </c>
      <c r="T1290" s="14" t="str">
        <f>IF(OR(Tabela1[[#This Row],[Entrada]]="",Tabela1[[#This Row],[Saída]]=""), "", Tabela1[[#This Row],[Saída]]-Tabela1[[#This Row],[Entrada]])</f>
        <v/>
      </c>
      <c r="U1290" s="15" t="str">
        <f>IF(OR('Controle de CT'!$R1290= "", 'Controle de CT'!$P1290= ""), "", 'Controle de CT'!$R1290-'Controle de CT'!$P1290)</f>
        <v/>
      </c>
      <c r="V1290" s="1"/>
      <c r="W1290" s="2"/>
      <c r="X1290" s="2"/>
    </row>
    <row r="1291" spans="11:24" ht="15" hidden="1" customHeight="1">
      <c r="K1291" s="5">
        <v>46123</v>
      </c>
      <c r="L1291" s="8" t="s">
        <v>52</v>
      </c>
      <c r="M1291" s="9" t="str">
        <f>IF(Tabela1[[#This Row],[Motorista]]="","",IFERROR(_xlfn.XLOOKUP(Tabela1[[#This Row],[Motorista]],Base!A:A,Base!B:B),""))</f>
        <v>CIF</v>
      </c>
      <c r="N1291" s="20" t="str">
        <f t="shared" ref="N1291" si="58">IF(R1291&lt;&gt;"","Finalizado", IF(Q1291&lt;&gt;"","Fila de Carregamento", IF(P1291&lt;&gt;"","Aguardando Entrada","")))</f>
        <v>Finalizado</v>
      </c>
      <c r="O12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1" s="4">
        <v>0.25069444444444444</v>
      </c>
      <c r="Q1291" s="4">
        <v>0.27291666666666664</v>
      </c>
      <c r="R1291" s="2">
        <v>0.3125</v>
      </c>
      <c r="S1291" s="94" t="s">
        <v>254</v>
      </c>
      <c r="T1291" s="1"/>
      <c r="U1291" s="15">
        <f>IF(OR('Controle de CT'!$R1291= "", 'Controle de CT'!$P1291= ""), "", 'Controle de CT'!$R1291-'Controle de CT'!$P1291)</f>
        <v>6.1805555555555558E-2</v>
      </c>
      <c r="V1291" s="1"/>
      <c r="W1291" s="2"/>
      <c r="X1291" s="2"/>
    </row>
    <row r="1292" spans="11:24" ht="15" hidden="1" customHeight="1">
      <c r="K1292" s="5">
        <v>46123</v>
      </c>
      <c r="L1292" s="8" t="s">
        <v>58</v>
      </c>
      <c r="M1292" s="9" t="str">
        <f>IF(Tabela1[[#This Row],[Motorista]]="","",IFERROR(_xlfn.XLOOKUP(Tabela1[[#This Row],[Motorista]],Base!A:A,Base!B:B),""))</f>
        <v xml:space="preserve">CIF </v>
      </c>
      <c r="N1292" s="20" t="str">
        <f t="shared" ref="N1292:N1308" si="59">IF(R1292&lt;&gt;"","Finalizado", IF(Q1292&lt;&gt;"","Fila de Carregamento", IF(P1292&lt;&gt;"","Aguardando Entrada","")))</f>
        <v>Finalizado</v>
      </c>
      <c r="O12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2" s="4">
        <v>0.25138888888888888</v>
      </c>
      <c r="Q1292" s="4">
        <v>0.27708333333333335</v>
      </c>
      <c r="R1292" s="2">
        <v>0.375</v>
      </c>
      <c r="S1292" s="95" t="s">
        <v>254</v>
      </c>
      <c r="T1292" s="14">
        <f>IF(OR(Tabela1[[#This Row],[Entrada]]="",Tabela1[[#This Row],[Saída]]=""), "", Tabela1[[#This Row],[Saída]]-Tabela1[[#This Row],[Entrada]])</f>
        <v>9.7916666666666652E-2</v>
      </c>
      <c r="U1292" s="15">
        <f>IF(OR('Controle de CT'!$R1292= "", 'Controle de CT'!$P1292= ""), "", 'Controle de CT'!$R1292-'Controle de CT'!$P1292)</f>
        <v>0.12361111111111112</v>
      </c>
      <c r="V1292" s="1" t="s">
        <v>220</v>
      </c>
      <c r="W1292" s="2"/>
      <c r="X1292" s="2"/>
    </row>
    <row r="1293" spans="11:24" ht="15" hidden="1" customHeight="1">
      <c r="K1293" s="5">
        <v>46123</v>
      </c>
      <c r="L1293" s="8" t="s">
        <v>55</v>
      </c>
      <c r="M1293" s="9" t="str">
        <f>IF(Tabela1[[#This Row],[Motorista]]="","",IFERROR(_xlfn.XLOOKUP(Tabela1[[#This Row],[Motorista]],Base!A:A,Base!B:B),""))</f>
        <v>CIF</v>
      </c>
      <c r="N1293" s="20" t="str">
        <f t="shared" si="59"/>
        <v>Finalizado</v>
      </c>
      <c r="O12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3" s="4">
        <v>0.25486111111111109</v>
      </c>
      <c r="Q1293" s="4">
        <v>0.28472222222222221</v>
      </c>
      <c r="R1293" s="2">
        <v>0.38263888888888886</v>
      </c>
      <c r="S1293" s="95" t="s">
        <v>254</v>
      </c>
      <c r="T1293" s="14">
        <f>IF(OR(Tabela1[[#This Row],[Entrada]]="",Tabela1[[#This Row],[Saída]]=""), "", Tabela1[[#This Row],[Saída]]-Tabela1[[#This Row],[Entrada]])</f>
        <v>9.7916666666666652E-2</v>
      </c>
      <c r="U1293" s="15">
        <f>IF(OR('Controle de CT'!$R1293= "", 'Controle de CT'!$P1293= ""), "", 'Controle de CT'!$R1293-'Controle de CT'!$P1293)</f>
        <v>0.12777777777777777</v>
      </c>
      <c r="V1293" s="1" t="s">
        <v>220</v>
      </c>
      <c r="W1293" s="2"/>
      <c r="X1293" s="2"/>
    </row>
    <row r="1294" spans="11:24" ht="15" hidden="1" customHeight="1">
      <c r="K1294" s="5">
        <v>46123</v>
      </c>
      <c r="L1294" s="8" t="s">
        <v>46</v>
      </c>
      <c r="M1294" s="9" t="str">
        <f>IF(Tabela1[[#This Row],[Motorista]]="","",IFERROR(_xlfn.XLOOKUP(Tabela1[[#This Row],[Motorista]],Base!A:A,Base!B:B),""))</f>
        <v>CIF</v>
      </c>
      <c r="N1294" s="20" t="str">
        <f t="shared" si="59"/>
        <v>Finalizado</v>
      </c>
      <c r="O12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4" s="4">
        <v>0.2638888888888889</v>
      </c>
      <c r="Q1294" s="4">
        <v>0.29583333333333334</v>
      </c>
      <c r="R1294" s="2">
        <v>0.41666666666666669</v>
      </c>
      <c r="S1294" s="95" t="s">
        <v>254</v>
      </c>
      <c r="T1294" s="14">
        <f>IF(OR(Tabela1[[#This Row],[Entrada]]="",Tabela1[[#This Row],[Saída]]=""), "", Tabela1[[#This Row],[Saída]]-Tabela1[[#This Row],[Entrada]])</f>
        <v>0.12083333333333335</v>
      </c>
      <c r="U1294" s="15">
        <f>IF(OR('Controle de CT'!$R1294= "", 'Controle de CT'!$P1294= ""), "", 'Controle de CT'!$R1294-'Controle de CT'!$P1294)</f>
        <v>0.15277777777777779</v>
      </c>
      <c r="V1294" s="1" t="s">
        <v>220</v>
      </c>
      <c r="W1294" s="2"/>
      <c r="X1294" s="2"/>
    </row>
    <row r="1295" spans="11:24" ht="15" hidden="1" customHeight="1">
      <c r="K1295" s="5">
        <v>46123</v>
      </c>
      <c r="L1295" s="8" t="s">
        <v>116</v>
      </c>
      <c r="M1295" s="9" t="str">
        <f>IF(Tabela1[[#This Row],[Motorista]]="","",IFERROR(_xlfn.XLOOKUP(Tabela1[[#This Row],[Motorista]],Base!A:A,Base!B:B),""))</f>
        <v xml:space="preserve">CIF </v>
      </c>
      <c r="N1295" s="20" t="str">
        <f t="shared" si="59"/>
        <v>Finalizado</v>
      </c>
      <c r="O12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5" s="4">
        <v>0.22430555555555556</v>
      </c>
      <c r="Q1295" s="4">
        <v>0.2638888888888889</v>
      </c>
      <c r="R1295" s="2">
        <v>0.29305555555555557</v>
      </c>
      <c r="S1295" s="94" t="s">
        <v>254</v>
      </c>
      <c r="T1295" s="14">
        <f>IF(OR(Tabela1[[#This Row],[Entrada]]="",Tabela1[[#This Row],[Saída]]=""), "", Tabela1[[#This Row],[Saída]]-Tabela1[[#This Row],[Entrada]])</f>
        <v>2.9166666666666674E-2</v>
      </c>
      <c r="U1295" s="15">
        <f>IF(OR('Controle de CT'!$R1295= "", 'Controle de CT'!$P1295= ""), "", 'Controle de CT'!$R1295-'Controle de CT'!$P1295)</f>
        <v>6.8750000000000006E-2</v>
      </c>
      <c r="V1295" s="1"/>
      <c r="W1295" s="2"/>
      <c r="X1295" s="2"/>
    </row>
    <row r="1296" spans="11:24" ht="15" hidden="1" customHeight="1">
      <c r="K1296" s="5">
        <v>46123</v>
      </c>
      <c r="L1296" s="8" t="s">
        <v>45</v>
      </c>
      <c r="M1296" s="9" t="str">
        <f>IF(Tabela1[[#This Row],[Motorista]]="","",IFERROR(_xlfn.XLOOKUP(Tabela1[[#This Row],[Motorista]],Base!A:A,Base!B:B),""))</f>
        <v>CIF</v>
      </c>
      <c r="N1296" s="20" t="str">
        <f t="shared" si="59"/>
        <v>Finalizado</v>
      </c>
      <c r="O12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296" s="4">
        <v>0.22916666666666666</v>
      </c>
      <c r="Q1296" s="4">
        <v>0.27152777777777776</v>
      </c>
      <c r="R1296" s="2">
        <v>0.29722222222222222</v>
      </c>
      <c r="S1296" s="94" t="s">
        <v>254</v>
      </c>
      <c r="T1296" s="14">
        <f>IF(OR(Tabela1[[#This Row],[Entrada]]="",Tabela1[[#This Row],[Saída]]=""), "", Tabela1[[#This Row],[Saída]]-Tabela1[[#This Row],[Entrada]])</f>
        <v>2.5694444444444464E-2</v>
      </c>
      <c r="U1296" s="15">
        <f>IF(OR('Controle de CT'!$R1296= "", 'Controle de CT'!$P1296= ""), "", 'Controle de CT'!$R1296-'Controle de CT'!$P1296)</f>
        <v>6.8055555555555564E-2</v>
      </c>
      <c r="V1296" s="1"/>
      <c r="W1296" s="2"/>
      <c r="X1296" s="2"/>
    </row>
    <row r="1297" spans="11:24" ht="15" hidden="1" customHeight="1">
      <c r="K1297" s="5">
        <v>46123</v>
      </c>
      <c r="L1297" s="8" t="s">
        <v>98</v>
      </c>
      <c r="M1297" s="9" t="str">
        <f>IF(Tabela1[[#This Row],[Motorista]]="","",IFERROR(_xlfn.XLOOKUP(Tabela1[[#This Row],[Motorista]],Base!A:A,Base!B:B),""))</f>
        <v>FOB</v>
      </c>
      <c r="N1297" s="20" t="str">
        <f>IF(R1297&lt;&gt;"","Finalizado", IF(Q1297&lt;&gt;"","Fila de Carregamento", IF(P1297&lt;&gt;"","Aguardando Entrada","")))</f>
        <v>Finalizado</v>
      </c>
      <c r="O12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7" s="4">
        <v>0.2326388888888889</v>
      </c>
      <c r="Q1297" s="4">
        <v>0.45902777777777776</v>
      </c>
      <c r="R1297" s="23">
        <v>0.49513888888888891</v>
      </c>
      <c r="S1297" s="95" t="s">
        <v>254</v>
      </c>
      <c r="T1297" s="14">
        <f>IF(OR(Tabela1[[#This Row],[Entrada]]="",Tabela1[[#This Row],[Saída]]=""), "", Tabela1[[#This Row],[Saída]]-Tabela1[[#This Row],[Entrada]])</f>
        <v>3.6111111111111149E-2</v>
      </c>
      <c r="U1297" s="15">
        <f>IF(OR('Controle de CT'!$R1297= "", 'Controle de CT'!$P1297= ""), "", 'Controle de CT'!$R1297-'Controle de CT'!$P1297)</f>
        <v>0.26250000000000001</v>
      </c>
      <c r="V1297" s="1" t="s">
        <v>170</v>
      </c>
      <c r="W1297" s="2"/>
      <c r="X1297" s="2"/>
    </row>
    <row r="1298" spans="11:24" ht="15" hidden="1" customHeight="1">
      <c r="K1298" s="5">
        <v>46123</v>
      </c>
      <c r="L1298" s="8" t="s">
        <v>257</v>
      </c>
      <c r="M1298" s="9" t="str">
        <f>IF(Tabela1[[#This Row],[Motorista]]="","",IFERROR(_xlfn.XLOOKUP(Tabela1[[#This Row],[Motorista]],Base!A:A,Base!B:B),""))</f>
        <v>FOB</v>
      </c>
      <c r="N1298" s="20" t="str">
        <f t="shared" si="59"/>
        <v>Aguardando Entrada</v>
      </c>
      <c r="O12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8" s="4">
        <v>0.26319444444444445</v>
      </c>
      <c r="Q1298" s="4"/>
      <c r="S1298" s="75"/>
      <c r="T1298" s="14" t="str">
        <f>IF(OR(Tabela1[[#This Row],[Entrada]]="",Tabela1[[#This Row],[Saída]]=""), "", Tabela1[[#This Row],[Saída]]-Tabela1[[#This Row],[Entrada]])</f>
        <v/>
      </c>
      <c r="U1298" s="15" t="str">
        <f>IF(OR('Controle de CT'!$R1298= "", 'Controle de CT'!$P1298= ""), "", 'Controle de CT'!$R1298-'Controle de CT'!$P1298)</f>
        <v/>
      </c>
      <c r="V1298" s="1"/>
      <c r="W1298" s="2"/>
      <c r="X1298" s="2"/>
    </row>
    <row r="1299" spans="11:24" ht="15" hidden="1" customHeight="1">
      <c r="K1299" s="5">
        <v>46123</v>
      </c>
      <c r="L1299" t="s">
        <v>92</v>
      </c>
      <c r="M1299" s="24" t="s">
        <v>63</v>
      </c>
      <c r="N1299" s="20" t="str">
        <f t="shared" si="59"/>
        <v>Aguardando Entrada</v>
      </c>
      <c r="O12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299" s="4">
        <v>0.2638888888888889</v>
      </c>
      <c r="Q1299" s="4"/>
      <c r="S1299" s="75"/>
      <c r="T1299" s="14" t="str">
        <f>IF(OR(Tabela1[[#This Row],[Entrada]]="",Tabela1[[#This Row],[Saída]]=""), "", Tabela1[[#This Row],[Saída]]-Tabela1[[#This Row],[Entrada]])</f>
        <v/>
      </c>
      <c r="U1299" s="15" t="str">
        <f>IF(OR('Controle de CT'!$R1299= "", 'Controle de CT'!$P1299= ""), "", 'Controle de CT'!$R1299-'Controle de CT'!$P1299)</f>
        <v/>
      </c>
      <c r="V1299" s="1"/>
      <c r="W1299" s="2"/>
      <c r="X1299" s="2"/>
    </row>
    <row r="1300" spans="11:24" ht="15" hidden="1" customHeight="1">
      <c r="K1300" s="5">
        <v>46123</v>
      </c>
      <c r="L1300" s="8" t="s">
        <v>145</v>
      </c>
      <c r="M1300" s="9" t="str">
        <f>IF(Tabela1[[#This Row],[Motorista]]="","",IFERROR(_xlfn.XLOOKUP(Tabela1[[#This Row],[Motorista]],Base!A:A,Base!B:B),""))</f>
        <v>FOB</v>
      </c>
      <c r="N1300" s="20" t="str">
        <f t="shared" si="59"/>
        <v>Finalizado</v>
      </c>
      <c r="O13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0" s="4">
        <v>0.28333333333333333</v>
      </c>
      <c r="Q1300" s="4">
        <v>0.31388888888888888</v>
      </c>
      <c r="R1300" s="2">
        <v>0.33680555555555558</v>
      </c>
      <c r="S1300" s="94" t="s">
        <v>254</v>
      </c>
      <c r="T1300" s="14">
        <f>IF(OR(Tabela1[[#This Row],[Entrada]]="",Tabela1[[#This Row],[Saída]]=""), "", Tabela1[[#This Row],[Saída]]-Tabela1[[#This Row],[Entrada]])</f>
        <v>2.2916666666666696E-2</v>
      </c>
      <c r="U1300" s="15">
        <f>IF(OR('Controle de CT'!$R1300= "", 'Controle de CT'!$P1300= ""), "", 'Controle de CT'!$R1300-'Controle de CT'!$P1300)</f>
        <v>5.3472222222222254E-2</v>
      </c>
      <c r="V1300" s="1"/>
      <c r="W1300" s="2"/>
      <c r="X1300" s="2"/>
    </row>
    <row r="1301" spans="11:24" ht="15" hidden="1" customHeight="1">
      <c r="K1301" s="5">
        <v>46123</v>
      </c>
      <c r="L1301" t="s">
        <v>115</v>
      </c>
      <c r="M1301" s="24" t="s">
        <v>62</v>
      </c>
      <c r="N1301" s="20" t="str">
        <f t="shared" si="59"/>
        <v>Fila de Carregamento</v>
      </c>
      <c r="O13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1" s="4">
        <v>0.31527777777777777</v>
      </c>
      <c r="Q1301" s="4">
        <v>0.4152777777777778</v>
      </c>
      <c r="S1301" s="75"/>
      <c r="T1301" s="14" t="str">
        <f>IF(OR(Tabela1[[#This Row],[Entrada]]="",Tabela1[[#This Row],[Saída]]=""), "", Tabela1[[#This Row],[Saída]]-Tabela1[[#This Row],[Entrada]])</f>
        <v/>
      </c>
      <c r="U1301" s="15" t="str">
        <f>IF(OR('Controle de CT'!$R1301= "", 'Controle de CT'!$P1301= ""), "", 'Controle de CT'!$R1301-'Controle de CT'!$P1301)</f>
        <v/>
      </c>
      <c r="V1301" s="1" t="s">
        <v>220</v>
      </c>
      <c r="W1301" s="2"/>
      <c r="X1301" s="2"/>
    </row>
    <row r="1302" spans="11:24" ht="15" hidden="1" customHeight="1">
      <c r="K1302" s="5">
        <v>46123</v>
      </c>
      <c r="L1302" s="8" t="s">
        <v>90</v>
      </c>
      <c r="M1302" s="9" t="str">
        <f>IF(Tabela1[[#This Row],[Motorista]]="","",IFERROR(_xlfn.XLOOKUP(Tabela1[[#This Row],[Motorista]],Base!A:A,Base!B:B),""))</f>
        <v>FOB</v>
      </c>
      <c r="N1302" s="20" t="str">
        <f t="shared" si="59"/>
        <v>Aguardando Entrada</v>
      </c>
      <c r="O13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2" s="4">
        <v>0.28541666666666665</v>
      </c>
      <c r="Q1302" s="4"/>
      <c r="S1302" s="75"/>
      <c r="T1302" s="14" t="str">
        <f>IF(OR(Tabela1[[#This Row],[Entrada]]="",Tabela1[[#This Row],[Saída]]=""), "", Tabela1[[#This Row],[Saída]]-Tabela1[[#This Row],[Entrada]])</f>
        <v/>
      </c>
      <c r="U1302" s="15" t="str">
        <f>IF(OR('Controle de CT'!$R1302= "", 'Controle de CT'!$P1302= ""), "", 'Controle de CT'!$R1302-'Controle de CT'!$P1302)</f>
        <v/>
      </c>
      <c r="V1302" s="1"/>
      <c r="W1302" s="2"/>
      <c r="X1302" s="2"/>
    </row>
    <row r="1303" spans="11:24" ht="15" hidden="1" customHeight="1">
      <c r="K1303" s="5">
        <v>46123</v>
      </c>
      <c r="L1303" s="8" t="s">
        <v>87</v>
      </c>
      <c r="M1303" s="9" t="str">
        <f>IF(Tabela1[[#This Row],[Motorista]]="","",IFERROR(_xlfn.XLOOKUP(Tabela1[[#This Row],[Motorista]],Base!A:A,Base!B:B),""))</f>
        <v>FOB</v>
      </c>
      <c r="N1303" s="20" t="str">
        <f t="shared" si="59"/>
        <v>Aguardando Entrada</v>
      </c>
      <c r="O13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3" s="4">
        <v>0.28888888888888886</v>
      </c>
      <c r="Q1303" s="4"/>
      <c r="S1303" s="75"/>
      <c r="T1303" s="14" t="str">
        <f>IF(OR(Tabela1[[#This Row],[Entrada]]="",Tabela1[[#This Row],[Saída]]=""), "", Tabela1[[#This Row],[Saída]]-Tabela1[[#This Row],[Entrada]])</f>
        <v/>
      </c>
      <c r="U1303" s="15" t="str">
        <f>IF(OR('Controle de CT'!$R1303= "", 'Controle de CT'!$P1303= ""), "", 'Controle de CT'!$R1303-'Controle de CT'!$P1303)</f>
        <v/>
      </c>
      <c r="V1303" s="1"/>
      <c r="W1303" s="2"/>
      <c r="X1303" s="2"/>
    </row>
    <row r="1304" spans="11:24" ht="15" hidden="1" customHeight="1">
      <c r="K1304" s="5">
        <v>46123</v>
      </c>
      <c r="L1304" s="8" t="s">
        <v>91</v>
      </c>
      <c r="M1304" s="9" t="str">
        <f>IF(Tabela1[[#This Row],[Motorista]]="","",IFERROR(_xlfn.XLOOKUP(Tabela1[[#This Row],[Motorista]],Base!A:A,Base!B:B),""))</f>
        <v>FOB</v>
      </c>
      <c r="N1304" s="20" t="str">
        <f t="shared" si="59"/>
        <v>Aguardando Entrada</v>
      </c>
      <c r="O13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4" s="4">
        <v>0.2951388888888889</v>
      </c>
      <c r="Q1304" s="4"/>
      <c r="S1304" s="75"/>
      <c r="T1304" s="14" t="str">
        <f>IF(OR(Tabela1[[#This Row],[Entrada]]="",Tabela1[[#This Row],[Saída]]=""), "", Tabela1[[#This Row],[Saída]]-Tabela1[[#This Row],[Entrada]])</f>
        <v/>
      </c>
      <c r="U1304" s="15" t="str">
        <f>IF(OR('Controle de CT'!$R1304= "", 'Controle de CT'!$P1304= ""), "", 'Controle de CT'!$R1304-'Controle de CT'!$P1304)</f>
        <v/>
      </c>
      <c r="V1304" s="1"/>
      <c r="W1304" s="2"/>
      <c r="X1304" s="2"/>
    </row>
    <row r="1305" spans="11:24" ht="15" hidden="1" customHeight="1">
      <c r="K1305" s="5">
        <v>46123</v>
      </c>
      <c r="L1305" s="8" t="s">
        <v>111</v>
      </c>
      <c r="M1305" s="9" t="str">
        <f>IF(Tabela1[[#This Row],[Motorista]]="","",IFERROR(_xlfn.XLOOKUP(Tabela1[[#This Row],[Motorista]],Base!A:A,Base!B:B),""))</f>
        <v>FOB</v>
      </c>
      <c r="N1305" s="20" t="str">
        <f t="shared" si="59"/>
        <v>Aguardando Entrada</v>
      </c>
      <c r="O13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5" s="4">
        <v>0.35416666666666669</v>
      </c>
      <c r="Q1305" s="4"/>
      <c r="S1305" s="75"/>
      <c r="T1305" s="14" t="str">
        <f>IF(OR(Tabela1[[#This Row],[Entrada]]="",Tabela1[[#This Row],[Saída]]=""), "", Tabela1[[#This Row],[Saída]]-Tabela1[[#This Row],[Entrada]])</f>
        <v/>
      </c>
      <c r="U1305" s="15" t="str">
        <f>IF(OR('Controle de CT'!$R1305= "", 'Controle de CT'!$P1305= ""), "", 'Controle de CT'!$R1305-'Controle de CT'!$P1305)</f>
        <v/>
      </c>
      <c r="V1305" s="1"/>
      <c r="W1305" s="2"/>
      <c r="X1305" s="2"/>
    </row>
    <row r="1306" spans="11:24" ht="15" hidden="1" customHeight="1">
      <c r="K1306" s="5">
        <v>46123</v>
      </c>
      <c r="L1306" s="8" t="s">
        <v>162</v>
      </c>
      <c r="M1306" s="9" t="str">
        <f>IF(Tabela1[[#This Row],[Motorista]]="","",IFERROR(_xlfn.XLOOKUP(Tabela1[[#This Row],[Motorista]],Base!A:A,Base!B:B),""))</f>
        <v>FOB</v>
      </c>
      <c r="N1306" s="20" t="str">
        <f t="shared" si="59"/>
        <v>Aguardando Entrada</v>
      </c>
      <c r="O13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6" s="4">
        <v>0.38055555555555554</v>
      </c>
      <c r="Q1306" s="4"/>
      <c r="S1306" s="75"/>
      <c r="T1306" s="14" t="str">
        <f>IF(OR(Tabela1[[#This Row],[Entrada]]="",Tabela1[[#This Row],[Saída]]=""), "", Tabela1[[#This Row],[Saída]]-Tabela1[[#This Row],[Entrada]])</f>
        <v/>
      </c>
      <c r="U1306" s="15" t="str">
        <f>IF(OR('Controle de CT'!$R1306= "", 'Controle de CT'!$P1306= ""), "", 'Controle de CT'!$R1306-'Controle de CT'!$P1306)</f>
        <v/>
      </c>
      <c r="V1306" s="1" t="s">
        <v>362</v>
      </c>
      <c r="W1306" s="2"/>
      <c r="X1306" s="2"/>
    </row>
    <row r="1307" spans="11:24" ht="15" hidden="1" customHeight="1">
      <c r="K1307" s="5">
        <v>46123</v>
      </c>
      <c r="L1307" s="8" t="s">
        <v>45</v>
      </c>
      <c r="M1307" s="9" t="str">
        <f>IF(Tabela1[[#This Row],[Motorista]]="","",IFERROR(_xlfn.XLOOKUP(Tabela1[[#This Row],[Motorista]],Base!A:A,Base!B:B),""))</f>
        <v>CIF</v>
      </c>
      <c r="N1307" s="20" t="str">
        <f t="shared" si="59"/>
        <v>Fila de Carregamento</v>
      </c>
      <c r="O13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07" s="4">
        <v>0.42986111111111114</v>
      </c>
      <c r="Q1307" s="4">
        <v>0.46527777777777779</v>
      </c>
      <c r="S1307" s="75"/>
      <c r="T1307" s="14" t="str">
        <f>IF(OR(Tabela1[[#This Row],[Entrada]]="",Tabela1[[#This Row],[Saída]]=""), "", Tabela1[[#This Row],[Saída]]-Tabela1[[#This Row],[Entrada]])</f>
        <v/>
      </c>
      <c r="U1307" s="15" t="str">
        <f>IF(OR('Controle de CT'!$R1307= "", 'Controle de CT'!$P1307= ""), "", 'Controle de CT'!$R1307-'Controle de CT'!$P1307)</f>
        <v/>
      </c>
      <c r="V1307" s="1"/>
      <c r="W1307" s="2"/>
      <c r="X1307" s="2"/>
    </row>
    <row r="1308" spans="11:24" ht="15" hidden="1" customHeight="1">
      <c r="K1308" s="5">
        <v>46125</v>
      </c>
      <c r="L1308" s="8" t="s">
        <v>116</v>
      </c>
      <c r="M1308" s="9" t="str">
        <f>IF(Tabela1[[#This Row],[Motorista]]="","",IFERROR(_xlfn.XLOOKUP(Tabela1[[#This Row],[Motorista]],Base!A:A,Base!B:B),""))</f>
        <v xml:space="preserve">CIF </v>
      </c>
      <c r="N1308" s="20" t="str">
        <f t="shared" si="59"/>
        <v>Finalizado</v>
      </c>
      <c r="O13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08" s="4">
        <v>0.21458333333333332</v>
      </c>
      <c r="Q1308" s="4">
        <v>0.26805555555555555</v>
      </c>
      <c r="R1308" s="2">
        <v>0.30069444444444443</v>
      </c>
      <c r="S1308" s="94" t="s">
        <v>254</v>
      </c>
      <c r="T1308" s="14">
        <f>IF(OR(Tabela1[[#This Row],[Entrada]]="",Tabela1[[#This Row],[Saída]]=""), "", Tabela1[[#This Row],[Saída]]-Tabela1[[#This Row],[Entrada]])</f>
        <v>3.2638888888888884E-2</v>
      </c>
      <c r="U1308" s="15">
        <f>IF(OR('Controle de CT'!$R1308= "", 'Controle de CT'!$P1308= ""), "", 'Controle de CT'!$R1308-'Controle de CT'!$P1308)</f>
        <v>8.611111111111111E-2</v>
      </c>
      <c r="V1308" s="1"/>
      <c r="W1308" s="2"/>
      <c r="X1308" s="2"/>
    </row>
    <row r="1309" spans="11:24" ht="15" hidden="1" customHeight="1">
      <c r="K1309" s="5">
        <v>46125</v>
      </c>
      <c r="L1309" s="8" t="s">
        <v>181</v>
      </c>
      <c r="M1309" s="9" t="str">
        <f>IF(Tabela1[[#This Row],[Motorista]]="","",IFERROR(_xlfn.XLOOKUP(Tabela1[[#This Row],[Motorista]],Base!A:A,Base!B:B),""))</f>
        <v>FOB</v>
      </c>
      <c r="N1309" s="20" t="str">
        <f t="shared" ref="N1309:N1325" si="60">IF(R1309&lt;&gt;"","Finalizado", IF(Q1309&lt;&gt;"","Fila de Carregamento", IF(P1309&lt;&gt;"","Aguardando Entrada","")))</f>
        <v>Finalizado</v>
      </c>
      <c r="O13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09" s="4">
        <v>0.21597222222222223</v>
      </c>
      <c r="Q1309" s="4">
        <v>0.29166666666666669</v>
      </c>
      <c r="R1309" s="23">
        <v>0.35555555555555557</v>
      </c>
      <c r="S1309" s="94" t="s">
        <v>254</v>
      </c>
      <c r="T1309" s="1"/>
      <c r="U1309" s="15">
        <f>IF(OR('Controle de CT'!$R1309= "", 'Controle de CT'!$P1309= ""), "", 'Controle de CT'!$R1309-'Controle de CT'!$P1309)</f>
        <v>0.13958333333333334</v>
      </c>
      <c r="V1309" s="1"/>
      <c r="W1309" s="2"/>
      <c r="X1309" s="2"/>
    </row>
    <row r="1310" spans="11:24" ht="15" hidden="1" customHeight="1">
      <c r="K1310" s="5">
        <v>46125</v>
      </c>
      <c r="L1310" s="8" t="s">
        <v>101</v>
      </c>
      <c r="M1310" s="9" t="str">
        <f>IF(Tabela1[[#This Row],[Motorista]]="","",IFERROR(_xlfn.XLOOKUP(Tabela1[[#This Row],[Motorista]],Base!A:A,Base!B:B),""))</f>
        <v>FOB</v>
      </c>
      <c r="N1310" s="20" t="str">
        <f t="shared" si="60"/>
        <v>Finalizado</v>
      </c>
      <c r="O13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10" s="4">
        <v>0.22152777777777777</v>
      </c>
      <c r="Q1310" s="4">
        <v>0.27916666666666667</v>
      </c>
      <c r="R1310" s="23">
        <v>0.34027777777777779</v>
      </c>
      <c r="S1310" s="94" t="s">
        <v>254</v>
      </c>
      <c r="T1310" s="1"/>
      <c r="U1310" s="15">
        <f>IF(OR('Controle de CT'!$R1310= "", 'Controle de CT'!$P1310= ""), "", 'Controle de CT'!$R1310-'Controle de CT'!$P1310)</f>
        <v>0.11875000000000002</v>
      </c>
      <c r="V1310" s="1"/>
      <c r="W1310" s="2"/>
      <c r="X1310" s="2"/>
    </row>
    <row r="1311" spans="11:24" ht="15" hidden="1" customHeight="1">
      <c r="K1311" s="5">
        <v>46125</v>
      </c>
      <c r="L1311" s="8" t="s">
        <v>57</v>
      </c>
      <c r="M1311" s="9" t="str">
        <f>IF(Tabela1[[#This Row],[Motorista]]="","",IFERROR(_xlfn.XLOOKUP(Tabela1[[#This Row],[Motorista]],Base!A:A,Base!B:B),""))</f>
        <v>CIF</v>
      </c>
      <c r="N1311" s="20" t="str">
        <f t="shared" si="60"/>
        <v>Finalizado</v>
      </c>
      <c r="O13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1" s="4">
        <v>0.2673611111111111</v>
      </c>
      <c r="Q1311" s="4">
        <v>0.27847222222222223</v>
      </c>
      <c r="R1311" s="23">
        <v>0.31041666666666667</v>
      </c>
      <c r="S1311" s="94" t="s">
        <v>254</v>
      </c>
      <c r="T1311" s="1"/>
      <c r="U1311" s="15">
        <f>IF(OR('Controle de CT'!$R1311= "", 'Controle de CT'!$P1311= ""), "", 'Controle de CT'!$R1311-'Controle de CT'!$P1311)</f>
        <v>4.3055555555555569E-2</v>
      </c>
      <c r="V1311" s="1"/>
      <c r="W1311" s="2"/>
      <c r="X1311" s="2"/>
    </row>
    <row r="1312" spans="11:24" ht="15" hidden="1" customHeight="1">
      <c r="K1312" s="5">
        <v>46125</v>
      </c>
      <c r="L1312" s="8" t="s">
        <v>55</v>
      </c>
      <c r="M1312" s="9" t="str">
        <f>IF(Tabela1[[#This Row],[Motorista]]="","",IFERROR(_xlfn.XLOOKUP(Tabela1[[#This Row],[Motorista]],Base!A:A,Base!B:B),""))</f>
        <v>CIF</v>
      </c>
      <c r="N1312" s="20" t="str">
        <f t="shared" si="60"/>
        <v>Finalizado</v>
      </c>
      <c r="O13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2" s="4">
        <v>0.27847222222222223</v>
      </c>
      <c r="Q1312" s="4">
        <v>0.29236111111111113</v>
      </c>
      <c r="R1312" s="23">
        <v>0.34097222222222223</v>
      </c>
      <c r="S1312" s="94" t="s">
        <v>254</v>
      </c>
      <c r="T1312" s="1"/>
      <c r="U1312" s="15">
        <f>IF(OR('Controle de CT'!$R1312= "", 'Controle de CT'!$P1312= ""), "", 'Controle de CT'!$R1312-'Controle de CT'!$P1312)</f>
        <v>6.25E-2</v>
      </c>
      <c r="V1312" s="1"/>
      <c r="W1312" s="2"/>
      <c r="X1312" s="2"/>
    </row>
    <row r="1313" spans="11:24" ht="15" hidden="1" customHeight="1">
      <c r="K1313" s="5">
        <v>46125</v>
      </c>
      <c r="L1313" s="8" t="s">
        <v>46</v>
      </c>
      <c r="M1313" s="9" t="str">
        <f>IF(Tabela1[[#This Row],[Motorista]]="","",IFERROR(_xlfn.XLOOKUP(Tabela1[[#This Row],[Motorista]],Base!A:A,Base!B:B),""))</f>
        <v>CIF</v>
      </c>
      <c r="N1313" s="20" t="str">
        <f t="shared" si="60"/>
        <v>Finalizado</v>
      </c>
      <c r="O13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3" s="4">
        <v>0.28055555555555556</v>
      </c>
      <c r="Q1313" s="4">
        <v>0.3</v>
      </c>
      <c r="R1313" s="23">
        <v>0.34861111111111109</v>
      </c>
      <c r="S1313" s="94" t="s">
        <v>254</v>
      </c>
      <c r="T1313" s="1"/>
      <c r="U1313" s="15">
        <f>IF(OR('Controle de CT'!$R1313= "", 'Controle de CT'!$P1313= ""), "", 'Controle de CT'!$R1313-'Controle de CT'!$P1313)</f>
        <v>6.8055555555555536E-2</v>
      </c>
      <c r="V1313" s="1"/>
      <c r="W1313" s="2"/>
      <c r="X1313" s="2"/>
    </row>
    <row r="1314" spans="11:24" ht="15" hidden="1" customHeight="1">
      <c r="K1314" s="5">
        <v>46125</v>
      </c>
      <c r="L1314" s="8" t="s">
        <v>235</v>
      </c>
      <c r="M1314" s="9" t="str">
        <f>IF(Tabela1[[#This Row],[Motorista]]="","",IFERROR(_xlfn.XLOOKUP(Tabela1[[#This Row],[Motorista]],Base!A:A,Base!B:B),""))</f>
        <v>Transferência</v>
      </c>
      <c r="N1314" s="20" t="str">
        <f t="shared" si="60"/>
        <v>Finalizado</v>
      </c>
      <c r="O13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14" s="4"/>
      <c r="Q1314" s="4">
        <v>0.32708333333333334</v>
      </c>
      <c r="R1314" s="23">
        <v>0.32708333333333334</v>
      </c>
      <c r="S1314" s="94" t="s">
        <v>254</v>
      </c>
      <c r="T1314" s="1"/>
      <c r="U1314" s="15" t="str">
        <f>IF(OR('Controle de CT'!$R1314= "", 'Controle de CT'!$P1314= ""), "", 'Controle de CT'!$R1314-'Controle de CT'!$P1314)</f>
        <v/>
      </c>
      <c r="V1314" s="1" t="s">
        <v>226</v>
      </c>
      <c r="W1314" s="2"/>
      <c r="X1314" s="2"/>
    </row>
    <row r="1315" spans="11:24" ht="15" hidden="1" customHeight="1">
      <c r="K1315" s="5">
        <v>46125</v>
      </c>
      <c r="L1315" t="s">
        <v>363</v>
      </c>
      <c r="M1315" s="24" t="s">
        <v>63</v>
      </c>
      <c r="N1315" s="20" t="str">
        <f t="shared" si="60"/>
        <v>Aguardando Entrada</v>
      </c>
      <c r="O13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15" s="4">
        <v>0.32291666666666669</v>
      </c>
      <c r="Q1315" s="4"/>
      <c r="R1315" s="23"/>
      <c r="S1315" s="16"/>
      <c r="T1315" s="1"/>
      <c r="U1315" s="15" t="str">
        <f>IF(OR('Controle de CT'!$R1315= "", 'Controle de CT'!$P1315= ""), "", 'Controle de CT'!$R1315-'Controle de CT'!$P1315)</f>
        <v/>
      </c>
      <c r="V1315" s="1" t="s">
        <v>364</v>
      </c>
      <c r="W1315" s="2"/>
      <c r="X1315" s="2"/>
    </row>
    <row r="1316" spans="11:24" ht="15" hidden="1" customHeight="1">
      <c r="K1316" s="5">
        <v>46125</v>
      </c>
      <c r="L1316" s="8" t="s">
        <v>121</v>
      </c>
      <c r="M1316" s="9" t="str">
        <f>IF(Tabela1[[#This Row],[Motorista]]="","",IFERROR(_xlfn.XLOOKUP(Tabela1[[#This Row],[Motorista]],Base!A:A,Base!B:B),""))</f>
        <v>CIF</v>
      </c>
      <c r="N1316" s="20" t="str">
        <f t="shared" si="60"/>
        <v>Finalizado</v>
      </c>
      <c r="O13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16" s="4">
        <v>0.30763888888888891</v>
      </c>
      <c r="Q1316" s="4">
        <v>0.33333333333333331</v>
      </c>
      <c r="R1316" s="23">
        <v>0.41666666666666669</v>
      </c>
      <c r="S1316" s="94" t="s">
        <v>254</v>
      </c>
      <c r="T1316" s="1"/>
      <c r="U1316" s="15">
        <f>IF(OR('Controle de CT'!$R1316= "", 'Controle de CT'!$P1316= ""), "", 'Controle de CT'!$R1316-'Controle de CT'!$P1316)</f>
        <v>0.10902777777777778</v>
      </c>
      <c r="V1316" s="1"/>
      <c r="W1316" s="2"/>
      <c r="X1316" s="2"/>
    </row>
    <row r="1317" spans="11:24" ht="15" hidden="1" customHeight="1">
      <c r="K1317" s="5">
        <v>46125</v>
      </c>
      <c r="L1317" t="s">
        <v>92</v>
      </c>
      <c r="M1317" s="24" t="s">
        <v>63</v>
      </c>
      <c r="N1317" s="20" t="str">
        <f t="shared" si="60"/>
        <v>Finalizado</v>
      </c>
      <c r="O13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7" s="4">
        <v>0.2986111111111111</v>
      </c>
      <c r="Q1317" s="4">
        <v>0.33611111111111114</v>
      </c>
      <c r="R1317" s="23">
        <v>0.36736111111111114</v>
      </c>
      <c r="S1317" s="94" t="s">
        <v>254</v>
      </c>
      <c r="T1317" s="1"/>
      <c r="U1317" s="15">
        <f>IF(OR('Controle de CT'!$R1317= "", 'Controle de CT'!$P1317= ""), "", 'Controle de CT'!$R1317-'Controle de CT'!$P1317)</f>
        <v>6.8750000000000033E-2</v>
      </c>
      <c r="V1317" s="1"/>
      <c r="W1317" s="2"/>
      <c r="X1317" s="2"/>
    </row>
    <row r="1318" spans="11:24" ht="15" hidden="1" customHeight="1">
      <c r="K1318" s="5">
        <v>46125</v>
      </c>
      <c r="L1318" s="8" t="s">
        <v>58</v>
      </c>
      <c r="M1318" s="9" t="str">
        <f>IF(Tabela1[[#This Row],[Motorista]]="","",IFERROR(_xlfn.XLOOKUP(Tabela1[[#This Row],[Motorista]],Base!A:A,Base!B:B),""))</f>
        <v xml:space="preserve">CIF </v>
      </c>
      <c r="N1318" s="20" t="str">
        <f t="shared" si="60"/>
        <v>Finalizado</v>
      </c>
      <c r="O13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18" s="4">
        <v>0.33194444444444443</v>
      </c>
      <c r="Q1318" s="4">
        <v>0.34375</v>
      </c>
      <c r="R1318" s="23">
        <v>0.38541666666666669</v>
      </c>
      <c r="S1318" s="94" t="s">
        <v>254</v>
      </c>
      <c r="T1318" s="1"/>
      <c r="U1318" s="15">
        <f>IF(OR('Controle de CT'!$R1318= "", 'Controle de CT'!$P1318= ""), "", 'Controle de CT'!$R1318-'Controle de CT'!$P1318)</f>
        <v>5.3472222222222254E-2</v>
      </c>
      <c r="V1318" s="1"/>
      <c r="W1318" s="2"/>
      <c r="X1318" s="2"/>
    </row>
    <row r="1319" spans="11:24" ht="15" hidden="1" customHeight="1">
      <c r="K1319" s="5">
        <v>46125</v>
      </c>
      <c r="L1319" s="8" t="s">
        <v>44</v>
      </c>
      <c r="M1319" s="9" t="str">
        <f>IF(Tabela1[[#This Row],[Motorista]]="","",IFERROR(_xlfn.XLOOKUP(Tabela1[[#This Row],[Motorista]],Base!A:A,Base!B:B),""))</f>
        <v>CIF</v>
      </c>
      <c r="N1319" s="20" t="str">
        <f>IF(R1319&lt;&gt;"","Finalizado", IF(Q1319&lt;&gt;"","Fila de Carregamento", IF(P1319&lt;&gt;"","Aguardando Entrada","")))</f>
        <v>Finalizado</v>
      </c>
      <c r="O13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19" s="4">
        <v>0.36319444444444443</v>
      </c>
      <c r="Q1319" s="4">
        <v>0.36388888888888887</v>
      </c>
      <c r="R1319" s="23">
        <v>0.44097222222222221</v>
      </c>
      <c r="S1319" s="94" t="s">
        <v>254</v>
      </c>
      <c r="T1319" s="14">
        <f>IF(OR(Tabela1[[#This Row],[Entrada]]="",Tabela1[[#This Row],[Saída]]=""), "", Tabela1[[#This Row],[Saída]]-Tabela1[[#This Row],[Entrada]])</f>
        <v>7.7083333333333337E-2</v>
      </c>
      <c r="U1319" s="15">
        <f>IF(OR('Controle de CT'!$R1319= "", 'Controle de CT'!$P1319= ""), "", 'Controle de CT'!$R1319-'Controle de CT'!$P1319)</f>
        <v>7.7777777777777779E-2</v>
      </c>
      <c r="V1319" s="1"/>
      <c r="W1319" s="2"/>
      <c r="X1319" s="2"/>
    </row>
    <row r="1320" spans="11:24" ht="15" hidden="1" customHeight="1">
      <c r="K1320" s="5">
        <v>46125</v>
      </c>
      <c r="L1320" s="8" t="s">
        <v>87</v>
      </c>
      <c r="M1320" s="9" t="str">
        <f>IF(Tabela1[[#This Row],[Motorista]]="","",IFERROR(_xlfn.XLOOKUP(Tabela1[[#This Row],[Motorista]],Base!A:A,Base!B:B),""))</f>
        <v>FOB</v>
      </c>
      <c r="N1320" s="20" t="str">
        <f t="shared" si="60"/>
        <v>Finalizado</v>
      </c>
      <c r="O13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0" s="4">
        <v>0.35833333333333334</v>
      </c>
      <c r="Q1320" s="4">
        <v>0.37847222222222221</v>
      </c>
      <c r="R1320" s="23">
        <v>0.40625</v>
      </c>
      <c r="S1320" s="94" t="s">
        <v>254</v>
      </c>
      <c r="T1320" s="1"/>
      <c r="U1320" s="15">
        <f>IF(OR('Controle de CT'!$R1320= "", 'Controle de CT'!$P1320= ""), "", 'Controle de CT'!$R1320-'Controle de CT'!$P1320)</f>
        <v>4.7916666666666663E-2</v>
      </c>
      <c r="V1320" s="1"/>
      <c r="W1320" s="2"/>
      <c r="X1320" s="2"/>
    </row>
    <row r="1321" spans="11:24" ht="15" hidden="1" customHeight="1">
      <c r="K1321" s="5">
        <v>46125</v>
      </c>
      <c r="L1321" t="s">
        <v>278</v>
      </c>
      <c r="M1321" s="24" t="s">
        <v>63</v>
      </c>
      <c r="N1321" s="20" t="str">
        <f t="shared" si="60"/>
        <v>Finalizado</v>
      </c>
      <c r="O13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1" s="4">
        <v>0.36249999999999999</v>
      </c>
      <c r="Q1321" s="4">
        <v>0.40347222222222223</v>
      </c>
      <c r="R1321" s="23">
        <v>0.44791666666666669</v>
      </c>
      <c r="S1321" s="94" t="s">
        <v>254</v>
      </c>
      <c r="T1321" s="1"/>
      <c r="U1321" s="15">
        <f>IF(OR('Controle de CT'!$R1321= "", 'Controle de CT'!$P1321= ""), "", 'Controle de CT'!$R1321-'Controle de CT'!$P1321)</f>
        <v>8.5416666666666696E-2</v>
      </c>
      <c r="V1321" s="1"/>
      <c r="W1321" s="2"/>
      <c r="X1321" s="2"/>
    </row>
    <row r="1322" spans="11:24" ht="15" hidden="1" customHeight="1">
      <c r="K1322" s="5">
        <v>46125</v>
      </c>
      <c r="L1322" s="8" t="s">
        <v>45</v>
      </c>
      <c r="M1322" s="9" t="str">
        <f>IF(Tabela1[[#This Row],[Motorista]]="","",IFERROR(_xlfn.XLOOKUP(Tabela1[[#This Row],[Motorista]],Base!A:A,Base!B:B),""))</f>
        <v>CIF</v>
      </c>
      <c r="N1322" s="20" t="str">
        <f t="shared" si="60"/>
        <v>Finalizado</v>
      </c>
      <c r="O13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2" s="4">
        <v>0.3659722222222222</v>
      </c>
      <c r="Q1322" s="4">
        <v>0.37013888888888891</v>
      </c>
      <c r="R1322" s="23">
        <v>0.40694444444444444</v>
      </c>
      <c r="S1322" s="94" t="s">
        <v>254</v>
      </c>
      <c r="T1322" s="1"/>
      <c r="U1322" s="15">
        <f>IF(OR('Controle de CT'!$R1322= "", 'Controle de CT'!$P1322= ""), "", 'Controle de CT'!$R1322-'Controle de CT'!$P1322)</f>
        <v>4.0972222222222243E-2</v>
      </c>
      <c r="V1322" s="1"/>
      <c r="W1322" s="2"/>
      <c r="X1322" s="2"/>
    </row>
    <row r="1323" spans="11:24" ht="15" hidden="1" customHeight="1">
      <c r="K1323" s="5">
        <v>46125</v>
      </c>
      <c r="L1323" s="8" t="s">
        <v>90</v>
      </c>
      <c r="M1323" s="9" t="str">
        <f>IF(Tabela1[[#This Row],[Motorista]]="","",IFERROR(_xlfn.XLOOKUP(Tabela1[[#This Row],[Motorista]],Base!A:A,Base!B:B),""))</f>
        <v>FOB</v>
      </c>
      <c r="N1323" s="20" t="str">
        <f t="shared" si="60"/>
        <v>Finalizado</v>
      </c>
      <c r="O13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3" s="4">
        <v>0.3840277777777778</v>
      </c>
      <c r="Q1323" s="4">
        <v>0.41458333333333336</v>
      </c>
      <c r="R1323" s="23">
        <v>0.78680555555555554</v>
      </c>
      <c r="S1323" s="94" t="s">
        <v>254</v>
      </c>
      <c r="T1323" s="1"/>
      <c r="U1323" s="15">
        <f>IF(OR('Controle de CT'!$R1323= "", 'Controle de CT'!$P1323= ""), "", 'Controle de CT'!$R1323-'Controle de CT'!$P1323)</f>
        <v>0.40277777777777773</v>
      </c>
      <c r="V1323" s="1"/>
      <c r="W1323" s="2"/>
      <c r="X1323" s="2"/>
    </row>
    <row r="1324" spans="11:24" ht="15" hidden="1" customHeight="1">
      <c r="K1324" s="5">
        <v>46125</v>
      </c>
      <c r="L1324" s="8" t="s">
        <v>42</v>
      </c>
      <c r="M1324" s="9" t="str">
        <f>IF(Tabela1[[#This Row],[Motorista]]="","",IFERROR(_xlfn.XLOOKUP(Tabela1[[#This Row],[Motorista]],Base!A:A,Base!B:B),""))</f>
        <v>CIF</v>
      </c>
      <c r="N1324" s="20" t="str">
        <f t="shared" si="60"/>
        <v>Fila de Carregamento</v>
      </c>
      <c r="O13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4" s="4">
        <v>0.40972222222222221</v>
      </c>
      <c r="Q1324" s="4">
        <v>0.41597222222222224</v>
      </c>
      <c r="R1324" s="23"/>
      <c r="S1324" s="94" t="s">
        <v>254</v>
      </c>
      <c r="T1324" s="1"/>
      <c r="U1324" s="15" t="str">
        <f>IF(OR('Controle de CT'!$R1324= "", 'Controle de CT'!$P1324= ""), "", 'Controle de CT'!$R1324-'Controle de CT'!$P1324)</f>
        <v/>
      </c>
      <c r="V1324" s="1" t="s">
        <v>365</v>
      </c>
      <c r="W1324" s="2"/>
      <c r="X1324" s="2"/>
    </row>
    <row r="1325" spans="11:24" ht="15" hidden="1" customHeight="1">
      <c r="K1325" s="5">
        <v>46125</v>
      </c>
      <c r="L1325" s="8" t="s">
        <v>47</v>
      </c>
      <c r="M1325" s="9" t="str">
        <f>IF(Tabela1[[#This Row],[Motorista]]="","",IFERROR(_xlfn.XLOOKUP(Tabela1[[#This Row],[Motorista]],Base!A:A,Base!B:B),""))</f>
        <v>CIF</v>
      </c>
      <c r="N1325" s="20" t="str">
        <f t="shared" si="60"/>
        <v>Fila de Carregamento</v>
      </c>
      <c r="O13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5" s="4">
        <v>0.42291666666666666</v>
      </c>
      <c r="Q1325" s="4">
        <v>0.4375</v>
      </c>
      <c r="R1325" s="23"/>
      <c r="S1325" s="94" t="s">
        <v>254</v>
      </c>
      <c r="T1325" s="1"/>
      <c r="U1325" s="15" t="str">
        <f>IF(OR('Controle de CT'!$R1325= "", 'Controle de CT'!$P1325= ""), "", 'Controle de CT'!$R1325-'Controle de CT'!$P1325)</f>
        <v/>
      </c>
      <c r="V1325" s="1" t="s">
        <v>366</v>
      </c>
      <c r="W1325" s="2"/>
      <c r="X1325" s="2"/>
    </row>
    <row r="1326" spans="11:24" ht="15" hidden="1" customHeight="1">
      <c r="K1326" s="5">
        <v>46125</v>
      </c>
      <c r="L1326" s="8" t="s">
        <v>135</v>
      </c>
      <c r="M1326" s="9" t="str">
        <f>IF(Tabela1[[#This Row],[Motorista]]="","",IFERROR(_xlfn.XLOOKUP(Tabela1[[#This Row],[Motorista]],Base!A:A,Base!B:B),""))</f>
        <v>Transferência</v>
      </c>
      <c r="N1326" s="20" t="str">
        <f t="shared" ref="N1326:N1334" si="61">IF(R1326&lt;&gt;"","Finalizado", IF(Q1326&lt;&gt;"","Fila de Carregamento", IF(P1326&lt;&gt;"","Aguardando Entrada","")))</f>
        <v>Aguardando Entrada</v>
      </c>
      <c r="O13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26" s="4">
        <v>0.43402777777777779</v>
      </c>
      <c r="Q1326" s="4"/>
      <c r="R1326" s="23"/>
      <c r="S1326" s="16"/>
      <c r="T1326" s="1"/>
      <c r="U1326" s="15" t="str">
        <f>IF(OR('Controle de CT'!$R1326= "", 'Controle de CT'!$P1326= ""), "", 'Controle de CT'!$R1326-'Controle de CT'!$P1326)</f>
        <v/>
      </c>
      <c r="V1326" s="1" t="s">
        <v>367</v>
      </c>
      <c r="W1326" s="2"/>
      <c r="X1326" s="2"/>
    </row>
    <row r="1327" spans="11:24" ht="15" hidden="1" customHeight="1">
      <c r="K1327" s="5">
        <v>46125</v>
      </c>
      <c r="L1327" s="8" t="s">
        <v>146</v>
      </c>
      <c r="M1327" s="9" t="str">
        <f>IF(Tabela1[[#This Row],[Motorista]]="","",IFERROR(_xlfn.XLOOKUP(Tabela1[[#This Row],[Motorista]],Base!A:A,Base!B:B),""))</f>
        <v>Transferência</v>
      </c>
      <c r="N1327" s="20" t="str">
        <f t="shared" si="61"/>
        <v>Finalizado</v>
      </c>
      <c r="O13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27" s="4">
        <v>0.42916666666666664</v>
      </c>
      <c r="Q1327" s="4">
        <v>0.44861111111111113</v>
      </c>
      <c r="R1327" s="23">
        <v>0.44861111111111113</v>
      </c>
      <c r="S1327" s="94" t="s">
        <v>254</v>
      </c>
      <c r="T1327" s="1"/>
      <c r="U1327" s="15">
        <f>IF(OR('Controle de CT'!$R1327= "", 'Controle de CT'!$P1327= ""), "", 'Controle de CT'!$R1327-'Controle de CT'!$P1327)</f>
        <v>1.9444444444444486E-2</v>
      </c>
      <c r="V1327" s="1" t="s">
        <v>226</v>
      </c>
      <c r="W1327" s="2"/>
      <c r="X1327" s="2"/>
    </row>
    <row r="1328" spans="11:24" ht="15" hidden="1" customHeight="1">
      <c r="K1328" s="5">
        <v>46125</v>
      </c>
      <c r="L1328" s="8" t="s">
        <v>57</v>
      </c>
      <c r="M1328" s="9" t="str">
        <f>IF(Tabela1[[#This Row],[Motorista]]="","",IFERROR(_xlfn.XLOOKUP(Tabela1[[#This Row],[Motorista]],Base!A:A,Base!B:B),""))</f>
        <v>CIF</v>
      </c>
      <c r="N1328" s="20" t="str">
        <f t="shared" si="61"/>
        <v>Finalizado</v>
      </c>
      <c r="O13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28" s="4">
        <v>0.49166666666666664</v>
      </c>
      <c r="Q1328" s="4">
        <v>0.51597222222222228</v>
      </c>
      <c r="R1328" s="23">
        <v>0.55347222222222225</v>
      </c>
      <c r="S1328" s="94" t="s">
        <v>254</v>
      </c>
      <c r="T1328" s="1"/>
      <c r="U1328" s="15">
        <f>IF(OR('Controle de CT'!$R1328= "", 'Controle de CT'!$P1328= ""), "", 'Controle de CT'!$R1328-'Controle de CT'!$P1328)</f>
        <v>6.1805555555555614E-2</v>
      </c>
      <c r="V1328" s="1"/>
      <c r="W1328" s="2"/>
      <c r="X1328" s="2"/>
    </row>
    <row r="1329" spans="11:24" ht="15" hidden="1" customHeight="1">
      <c r="K1329" s="5">
        <v>46125</v>
      </c>
      <c r="L1329" s="8" t="s">
        <v>46</v>
      </c>
      <c r="M1329" s="9" t="str">
        <f>IF(Tabela1[[#This Row],[Motorista]]="","",IFERROR(_xlfn.XLOOKUP(Tabela1[[#This Row],[Motorista]],Base!A:A,Base!B:B),""))</f>
        <v>CIF</v>
      </c>
      <c r="N1329" s="20" t="str">
        <f t="shared" si="61"/>
        <v>Finalizado</v>
      </c>
      <c r="O13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29" s="4">
        <v>0.49236111111111114</v>
      </c>
      <c r="Q1329" s="4">
        <v>0.51249999999999996</v>
      </c>
      <c r="R1329" s="23">
        <v>0.54236111111111107</v>
      </c>
      <c r="S1329" s="94" t="s">
        <v>254</v>
      </c>
      <c r="T1329" s="1"/>
      <c r="U1329" s="15">
        <f>IF(OR('Controle de CT'!$R1329= "", 'Controle de CT'!$P1329= ""), "", 'Controle de CT'!$R1329-'Controle de CT'!$P1329)</f>
        <v>4.9999999999999933E-2</v>
      </c>
      <c r="V1329" s="1" t="s">
        <v>368</v>
      </c>
      <c r="W1329" s="2"/>
      <c r="X1329" s="2"/>
    </row>
    <row r="1330" spans="11:24" ht="15" hidden="1" customHeight="1">
      <c r="K1330" s="5">
        <v>46125</v>
      </c>
      <c r="L1330" s="8" t="s">
        <v>55</v>
      </c>
      <c r="M1330" s="9" t="str">
        <f>IF(Tabela1[[#This Row],[Motorista]]="","",IFERROR(_xlfn.XLOOKUP(Tabela1[[#This Row],[Motorista]],Base!A:A,Base!B:B),""))</f>
        <v>CIF</v>
      </c>
      <c r="N1330" s="20" t="str">
        <f t="shared" si="61"/>
        <v>Finalizado</v>
      </c>
      <c r="O13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0" s="4">
        <v>0.45277777777777778</v>
      </c>
      <c r="Q1330" s="4">
        <v>0.45833333333333331</v>
      </c>
      <c r="R1330" s="23">
        <v>0.50138888888888888</v>
      </c>
      <c r="S1330" s="94" t="s">
        <v>254</v>
      </c>
      <c r="T1330" s="1"/>
      <c r="U1330" s="15">
        <f>IF(OR('Controle de CT'!$R1330= "", 'Controle de CT'!$P1330= ""), "", 'Controle de CT'!$R1330-'Controle de CT'!$P1330)</f>
        <v>4.8611111111111105E-2</v>
      </c>
      <c r="V1330" s="1"/>
      <c r="W1330" s="2"/>
      <c r="X1330" s="2"/>
    </row>
    <row r="1331" spans="11:24" ht="15" hidden="1" customHeight="1">
      <c r="K1331" s="5">
        <v>46125</v>
      </c>
      <c r="L1331" t="s">
        <v>92</v>
      </c>
      <c r="M1331" s="9" t="str">
        <f>IF(Tabela1[[#This Row],[Motorista]]="","",IFERROR(_xlfn.XLOOKUP(Tabela1[[#This Row],[Motorista]],Base!A:A,Base!B:B),""))</f>
        <v>FOB</v>
      </c>
      <c r="N1331" s="20" t="str">
        <f t="shared" si="61"/>
        <v>Finalizado</v>
      </c>
      <c r="O13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1" s="4">
        <v>0.4465277777777778</v>
      </c>
      <c r="Q1331" s="4">
        <v>0.46111111111111114</v>
      </c>
      <c r="R1331" s="23">
        <v>0.51249999999999996</v>
      </c>
      <c r="S1331" s="94" t="s">
        <v>254</v>
      </c>
      <c r="T1331" s="1"/>
      <c r="U1331" s="15">
        <f>IF(OR('Controle de CT'!$R1331= "", 'Controle de CT'!$P1331= ""), "", 'Controle de CT'!$R1331-'Controle de CT'!$P1331)</f>
        <v>6.5972222222222154E-2</v>
      </c>
      <c r="V1331" s="1"/>
      <c r="W1331" s="2"/>
      <c r="X1331" s="2"/>
    </row>
    <row r="1332" spans="11:24" ht="15" hidden="1" customHeight="1">
      <c r="K1332" s="5">
        <v>46125</v>
      </c>
      <c r="L1332" s="8" t="s">
        <v>98</v>
      </c>
      <c r="M1332" s="9" t="str">
        <f>IF(Tabela1[[#This Row],[Motorista]]="","",IFERROR(_xlfn.XLOOKUP(Tabela1[[#This Row],[Motorista]],Base!A:A,Base!B:B),""))</f>
        <v>FOB</v>
      </c>
      <c r="N1332" s="20" t="str">
        <f t="shared" si="61"/>
        <v>Finalizado</v>
      </c>
      <c r="O13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32" s="4">
        <v>0.43472222222222223</v>
      </c>
      <c r="Q1332" s="4">
        <v>0.44166666666666665</v>
      </c>
      <c r="R1332" s="23">
        <v>0.51111111111111107</v>
      </c>
      <c r="S1332" s="94" t="s">
        <v>254</v>
      </c>
      <c r="T1332" s="1"/>
      <c r="U1332" s="15">
        <f>IF(OR('Controle de CT'!$R1332= "", 'Controle de CT'!$P1332= ""), "", 'Controle de CT'!$R1332-'Controle de CT'!$P1332)</f>
        <v>7.638888888888884E-2</v>
      </c>
      <c r="V1332" s="1"/>
      <c r="W1332" s="2"/>
      <c r="X1332" s="2"/>
    </row>
    <row r="1333" spans="11:24" ht="15" hidden="1" customHeight="1">
      <c r="K1333" s="5">
        <v>46125</v>
      </c>
      <c r="L1333" t="s">
        <v>233</v>
      </c>
      <c r="M1333" s="24" t="s">
        <v>63</v>
      </c>
      <c r="N1333" s="20" t="str">
        <f t="shared" si="61"/>
        <v>Fila de Carregamento</v>
      </c>
      <c r="O13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33" s="4">
        <v>0.50208333333333333</v>
      </c>
      <c r="Q1333" s="4">
        <v>0.52708333333333335</v>
      </c>
      <c r="R1333" s="23"/>
      <c r="S1333" s="94" t="s">
        <v>254</v>
      </c>
      <c r="T1333" s="1"/>
      <c r="U1333" s="15" t="str">
        <f>IF(OR('Controle de CT'!$R1333= "", 'Controle de CT'!$P1333= ""), "", 'Controle de CT'!$R1333-'Controle de CT'!$P1333)</f>
        <v/>
      </c>
      <c r="V1333" s="1" t="s">
        <v>369</v>
      </c>
      <c r="W1333" s="2"/>
      <c r="X1333" s="2"/>
    </row>
    <row r="1334" spans="11:24" ht="15" hidden="1" customHeight="1">
      <c r="K1334" s="5">
        <v>46125</v>
      </c>
      <c r="L1334" t="s">
        <v>153</v>
      </c>
      <c r="M1334" s="24" t="s">
        <v>63</v>
      </c>
      <c r="N1334" s="20" t="str">
        <f t="shared" si="61"/>
        <v>Finalizado</v>
      </c>
      <c r="O13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34" s="4">
        <v>0.51944444444444449</v>
      </c>
      <c r="Q1334" s="4">
        <v>0.57222222222222219</v>
      </c>
      <c r="R1334" s="23">
        <v>0.57222222222222219</v>
      </c>
      <c r="S1334" s="94" t="s">
        <v>254</v>
      </c>
      <c r="T1334" s="1"/>
      <c r="U1334" s="15">
        <f>IF(OR('Controle de CT'!$R1334= "", 'Controle de CT'!$P1334= ""), "", 'Controle de CT'!$R1334-'Controle de CT'!$P1334)</f>
        <v>5.2777777777777701E-2</v>
      </c>
      <c r="V1334" s="1" t="s">
        <v>370</v>
      </c>
      <c r="W1334" s="2"/>
      <c r="X1334" s="2"/>
    </row>
    <row r="1335" spans="11:24" ht="15" hidden="1" customHeight="1">
      <c r="K1335" s="5">
        <v>46125</v>
      </c>
      <c r="L1335" s="8" t="s">
        <v>116</v>
      </c>
      <c r="M1335" s="9" t="str">
        <f>IF(Tabela1[[#This Row],[Motorista]]="","",IFERROR(_xlfn.XLOOKUP(Tabela1[[#This Row],[Motorista]],Base!A:A,Base!B:B),""))</f>
        <v xml:space="preserve">CIF </v>
      </c>
      <c r="N1335" s="20" t="str">
        <f t="shared" ref="N1335:N1345" si="62">IF(R1335&lt;&gt;"","Finalizado", IF(Q1335&lt;&gt;"","Fila de Carregamento", IF(P1335&lt;&gt;"","Aguardando Entrada","")))</f>
        <v>Finalizado</v>
      </c>
      <c r="O13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5" s="4">
        <v>0.56666666666666665</v>
      </c>
      <c r="Q1335" s="4">
        <v>0.57777777777777772</v>
      </c>
      <c r="R1335" s="23">
        <v>0.65833333333333333</v>
      </c>
      <c r="S1335" s="94" t="s">
        <v>254</v>
      </c>
      <c r="T1335" s="1"/>
      <c r="U1335" s="15">
        <f>IF(OR('Controle de CT'!$R1335= "", 'Controle de CT'!$P1335= ""), "", 'Controle de CT'!$R1335-'Controle de CT'!$P1335)</f>
        <v>9.1666666666666674E-2</v>
      </c>
      <c r="V1335" s="1"/>
      <c r="W1335" s="2"/>
      <c r="X1335" s="2"/>
    </row>
    <row r="1336" spans="11:24" ht="15" hidden="1" customHeight="1">
      <c r="K1336" s="5">
        <v>46125</v>
      </c>
      <c r="L1336" s="8" t="s">
        <v>89</v>
      </c>
      <c r="M1336" s="9" t="str">
        <f>IF(Tabela1[[#This Row],[Motorista]]="","",IFERROR(_xlfn.XLOOKUP(Tabela1[[#This Row],[Motorista]],Base!A:A,Base!B:B),""))</f>
        <v>FOB</v>
      </c>
      <c r="N1336" s="20" t="str">
        <f t="shared" si="62"/>
        <v>Finalizado</v>
      </c>
      <c r="O13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36" s="4">
        <v>0.56458333333333333</v>
      </c>
      <c r="Q1336" s="4">
        <v>0.5854166666666667</v>
      </c>
      <c r="R1336" s="23">
        <v>0.91111111111111109</v>
      </c>
      <c r="S1336" s="94" t="s">
        <v>254</v>
      </c>
      <c r="T1336" s="1"/>
      <c r="U1336" s="15">
        <f>IF(OR('Controle de CT'!$R1336= "", 'Controle de CT'!$P1336= ""), "", 'Controle de CT'!$R1336-'Controle de CT'!$P1336)</f>
        <v>0.34652777777777777</v>
      </c>
      <c r="V1336" s="1" t="s">
        <v>371</v>
      </c>
      <c r="W1336" s="2"/>
      <c r="X1336" s="2"/>
    </row>
    <row r="1337" spans="11:24" ht="15" hidden="1" customHeight="1">
      <c r="K1337" s="5">
        <v>46125</v>
      </c>
      <c r="L1337" s="8" t="s">
        <v>163</v>
      </c>
      <c r="M1337" s="9" t="str">
        <f>IF(Tabela1[[#This Row],[Motorista]]="","",IFERROR(_xlfn.XLOOKUP(Tabela1[[#This Row],[Motorista]],Base!A:A,Base!B:B),""))</f>
        <v>Transferência</v>
      </c>
      <c r="N1337" s="20" t="str">
        <f t="shared" si="62"/>
        <v>Fila de Carregamento</v>
      </c>
      <c r="O13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37" s="4">
        <v>0.61388888888888893</v>
      </c>
      <c r="Q1337" s="4">
        <v>0.67777777777777781</v>
      </c>
      <c r="R1337" s="23"/>
      <c r="S1337" s="94" t="s">
        <v>254</v>
      </c>
      <c r="T1337" s="1"/>
      <c r="U1337" s="15" t="str">
        <f>IF(OR('Controle de CT'!$R1337= "", 'Controle de CT'!$P1337= ""), "", 'Controle de CT'!$R1337-'Controle de CT'!$P1337)</f>
        <v/>
      </c>
      <c r="V1337" s="1"/>
      <c r="W1337" s="2"/>
      <c r="X1337" s="2"/>
    </row>
    <row r="1338" spans="11:24" ht="15" hidden="1" customHeight="1">
      <c r="K1338" s="5">
        <v>46125</v>
      </c>
      <c r="L1338" s="8" t="s">
        <v>58</v>
      </c>
      <c r="M1338" s="9" t="str">
        <f>IF(Tabela1[[#This Row],[Motorista]]="","",IFERROR(_xlfn.XLOOKUP(Tabela1[[#This Row],[Motorista]],Base!A:A,Base!B:B),""))</f>
        <v xml:space="preserve">CIF </v>
      </c>
      <c r="N1338" s="20" t="str">
        <f t="shared" si="62"/>
        <v>Finalizado</v>
      </c>
      <c r="O13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8" s="4">
        <v>0.59166666666666667</v>
      </c>
      <c r="Q1338" s="4">
        <v>0.62013888888888891</v>
      </c>
      <c r="R1338" s="23">
        <v>0.875</v>
      </c>
      <c r="S1338" s="94" t="s">
        <v>254</v>
      </c>
      <c r="T1338" s="1"/>
      <c r="U1338" s="15">
        <f>IF(OR('Controle de CT'!$R1338= "", 'Controle de CT'!$P1338= ""), "", 'Controle de CT'!$R1338-'Controle de CT'!$P1338)</f>
        <v>0.28333333333333333</v>
      </c>
      <c r="V1338" s="1" t="s">
        <v>220</v>
      </c>
      <c r="W1338" s="2"/>
      <c r="X1338" s="2"/>
    </row>
    <row r="1339" spans="11:24" ht="15" hidden="1" customHeight="1">
      <c r="K1339" s="5">
        <v>46125</v>
      </c>
      <c r="L1339" s="8" t="s">
        <v>135</v>
      </c>
      <c r="M1339" s="9" t="str">
        <f>IF(Tabela1[[#This Row],[Motorista]]="","",IFERROR(_xlfn.XLOOKUP(Tabela1[[#This Row],[Motorista]],Base!A:A,Base!B:B),""))</f>
        <v>Transferência</v>
      </c>
      <c r="N1339" s="20" t="str">
        <f t="shared" si="62"/>
        <v>Fila de Carregamento</v>
      </c>
      <c r="O13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39" s="4">
        <v>0.62361111111111112</v>
      </c>
      <c r="Q1339" s="4">
        <v>0.65625</v>
      </c>
      <c r="R1339" s="23"/>
      <c r="S1339" s="94" t="s">
        <v>254</v>
      </c>
      <c r="T1339" s="1"/>
      <c r="U1339" s="15" t="str">
        <f>IF(OR('Controle de CT'!$R1339= "", 'Controle de CT'!$P1339= ""), "", 'Controle de CT'!$R1339-'Controle de CT'!$P1339)</f>
        <v/>
      </c>
      <c r="V1339" s="1" t="s">
        <v>220</v>
      </c>
      <c r="W1339" s="2"/>
      <c r="X1339" s="2"/>
    </row>
    <row r="1340" spans="11:24" ht="15" hidden="1" customHeight="1">
      <c r="K1340" s="5">
        <v>46125</v>
      </c>
      <c r="L1340" s="8" t="s">
        <v>102</v>
      </c>
      <c r="M1340" s="9" t="str">
        <f>IF(Tabela1[[#This Row],[Motorista]]="","",IFERROR(_xlfn.XLOOKUP(Tabela1[[#This Row],[Motorista]],Base!A:A,Base!B:B),""))</f>
        <v>Transferência</v>
      </c>
      <c r="N1340" s="20" t="str">
        <f t="shared" si="62"/>
        <v>Aguardando Entrada</v>
      </c>
      <c r="O13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0" s="4">
        <v>0.59930555555555554</v>
      </c>
      <c r="Q1340" s="4"/>
      <c r="R1340" s="23"/>
      <c r="S1340" s="94" t="s">
        <v>254</v>
      </c>
      <c r="T1340" s="1"/>
      <c r="U1340" s="15" t="str">
        <f>IF(OR('Controle de CT'!$R1340= "", 'Controle de CT'!$P1340= ""), "", 'Controle de CT'!$R1340-'Controle de CT'!$P1340)</f>
        <v/>
      </c>
      <c r="V1340" s="1"/>
      <c r="W1340" s="2"/>
      <c r="X1340" s="2"/>
    </row>
    <row r="1341" spans="11:24" ht="15" hidden="1" customHeight="1">
      <c r="K1341" s="5">
        <v>46125</v>
      </c>
      <c r="L1341" s="8" t="s">
        <v>184</v>
      </c>
      <c r="M1341" s="9" t="str">
        <f>IF(Tabela1[[#This Row],[Motorista]]="","",IFERROR(_xlfn.XLOOKUP(Tabela1[[#This Row],[Motorista]],Base!A:A,Base!B:B),""))</f>
        <v>FOB</v>
      </c>
      <c r="N1341" s="20" t="str">
        <f t="shared" si="62"/>
        <v>Fila de Carregamento</v>
      </c>
      <c r="O13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1" s="4">
        <v>0.68055555555555558</v>
      </c>
      <c r="Q1341" s="4">
        <v>0.68888888888888888</v>
      </c>
      <c r="R1341" s="23"/>
      <c r="S1341" s="94" t="s">
        <v>254</v>
      </c>
      <c r="T1341" s="1"/>
      <c r="U1341" s="15" t="str">
        <f>IF(OR('Controle de CT'!$R1341= "", 'Controle de CT'!$P1341= ""), "", 'Controle de CT'!$R1341-'Controle de CT'!$P1341)</f>
        <v/>
      </c>
      <c r="V1341" s="1"/>
      <c r="W1341" s="2"/>
      <c r="X1341" s="2"/>
    </row>
    <row r="1342" spans="11:24" ht="15" hidden="1" customHeight="1">
      <c r="K1342" s="5">
        <v>46126</v>
      </c>
      <c r="L1342" s="8" t="s">
        <v>116</v>
      </c>
      <c r="M1342" s="9" t="str">
        <f>IF(Tabela1[[#This Row],[Motorista]]="","",IFERROR(_xlfn.XLOOKUP(Tabela1[[#This Row],[Motorista]],Base!A:A,Base!B:B),""))</f>
        <v xml:space="preserve">CIF </v>
      </c>
      <c r="N1342" s="20" t="str">
        <f t="shared" si="62"/>
        <v>Finalizado</v>
      </c>
      <c r="O13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42" s="4">
        <v>0.21666666666666667</v>
      </c>
      <c r="Q1342" s="4">
        <v>0.26180555555555557</v>
      </c>
      <c r="R1342" s="23">
        <v>0.3</v>
      </c>
      <c r="S1342" s="94" t="s">
        <v>254</v>
      </c>
      <c r="T1342" s="14">
        <f>IF(OR(Tabela1[[#This Row],[Entrada]]="",Tabela1[[#This Row],[Saída]]=""), "", Tabela1[[#This Row],[Saída]]-Tabela1[[#This Row],[Entrada]])</f>
        <v>3.819444444444442E-2</v>
      </c>
      <c r="U1342" s="15">
        <f>IF(OR('Controle de CT'!$R1342= "", 'Controle de CT'!$P1342= ""), "", 'Controle de CT'!$R1342-'Controle de CT'!$P1342)</f>
        <v>8.3333333333333315E-2</v>
      </c>
      <c r="V1342" s="1"/>
      <c r="W1342" s="2"/>
      <c r="X1342" s="2"/>
    </row>
    <row r="1343" spans="11:24" ht="15" hidden="1" customHeight="1">
      <c r="K1343" s="5">
        <v>46126</v>
      </c>
      <c r="L1343" s="8" t="s">
        <v>45</v>
      </c>
      <c r="M1343" s="9" t="str">
        <f>IF(Tabela1[[#This Row],[Motorista]]="","",IFERROR(_xlfn.XLOOKUP(Tabela1[[#This Row],[Motorista]],Base!A:A,Base!B:B),""))</f>
        <v>CIF</v>
      </c>
      <c r="N1343" s="20" t="str">
        <f t="shared" si="62"/>
        <v>Finalizado</v>
      </c>
      <c r="O13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3" s="2">
        <v>0.21944444444444444</v>
      </c>
      <c r="Q1343" s="2">
        <v>0.28263888888888888</v>
      </c>
      <c r="R1343" s="16">
        <v>0.33194444444444443</v>
      </c>
      <c r="S1343" s="94" t="s">
        <v>254</v>
      </c>
      <c r="T1343" s="14">
        <f>IF(OR(Tabela1[[#This Row],[Entrada]]="",Tabela1[[#This Row],[Saída]]=""), "", Tabela1[[#This Row],[Saída]]-Tabela1[[#This Row],[Entrada]])</f>
        <v>4.9305555555555547E-2</v>
      </c>
      <c r="U1343" s="15">
        <f>IF(OR('Controle de CT'!$R1343= "", 'Controle de CT'!$P1343= ""), "", 'Controle de CT'!$R1343-'Controle de CT'!$P1343)</f>
        <v>0.11249999999999999</v>
      </c>
      <c r="V1343" s="1"/>
      <c r="W1343" s="2"/>
      <c r="X1343" s="2"/>
    </row>
    <row r="1344" spans="11:24" ht="15" hidden="1" customHeight="1">
      <c r="K1344" s="5">
        <v>46126</v>
      </c>
      <c r="L1344" s="97" t="s">
        <v>372</v>
      </c>
      <c r="M1344" s="24" t="s">
        <v>63</v>
      </c>
      <c r="N1344" s="20" t="str">
        <f t="shared" si="62"/>
        <v>Finalizado</v>
      </c>
      <c r="O13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4" s="2">
        <v>0.23402777777777778</v>
      </c>
      <c r="Q1344" s="2">
        <v>0.32569444444444445</v>
      </c>
      <c r="R1344" s="16">
        <v>0.39930555555555558</v>
      </c>
      <c r="S1344" s="94" t="s">
        <v>254</v>
      </c>
      <c r="T1344" s="14">
        <f>IF(OR(Tabela1[[#This Row],[Entrada]]="",Tabela1[[#This Row],[Saída]]=""), "", Tabela1[[#This Row],[Saída]]-Tabela1[[#This Row],[Entrada]])</f>
        <v>7.3611111111111127E-2</v>
      </c>
      <c r="U1344" s="15">
        <f>IF(OR('Controle de CT'!$R1344= "", 'Controle de CT'!$P1344= ""), "", 'Controle de CT'!$R1344-'Controle de CT'!$P1344)</f>
        <v>0.1652777777777778</v>
      </c>
      <c r="V1344" s="1" t="s">
        <v>373</v>
      </c>
      <c r="W1344" s="2"/>
      <c r="X1344" s="2"/>
    </row>
    <row r="1345" spans="11:24" ht="15" hidden="1" customHeight="1">
      <c r="K1345" s="5">
        <v>46126</v>
      </c>
      <c r="L1345" s="8" t="s">
        <v>114</v>
      </c>
      <c r="M1345" s="9" t="str">
        <f>IF(Tabela1[[#This Row],[Motorista]]="","",IFERROR(_xlfn.XLOOKUP(Tabela1[[#This Row],[Motorista]],Base!A:A,Base!B:B),""))</f>
        <v>FOB</v>
      </c>
      <c r="N1345" s="20" t="str">
        <f t="shared" si="62"/>
        <v>Finalizado</v>
      </c>
      <c r="O13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5" s="2">
        <v>0.25624999999999998</v>
      </c>
      <c r="Q1345" s="2">
        <v>0.30208333333333331</v>
      </c>
      <c r="R1345" s="16">
        <v>0.30208333333333331</v>
      </c>
      <c r="S1345" s="94" t="s">
        <v>254</v>
      </c>
      <c r="T1345" s="14">
        <f>IF(OR(Tabela1[[#This Row],[Entrada]]="",Tabela1[[#This Row],[Saída]]=""), "", Tabela1[[#This Row],[Saída]]-Tabela1[[#This Row],[Entrada]])</f>
        <v>0</v>
      </c>
      <c r="U1345" s="15">
        <f>IF(OR('Controle de CT'!$R1345= "", 'Controle de CT'!$P1345= ""), "", 'Controle de CT'!$R1345-'Controle de CT'!$P1345)</f>
        <v>4.5833333333333337E-2</v>
      </c>
      <c r="V1345" s="1" t="s">
        <v>226</v>
      </c>
      <c r="W1345" s="2"/>
      <c r="X1345" s="2"/>
    </row>
    <row r="1346" spans="11:24" ht="15" hidden="1" customHeight="1">
      <c r="K1346" s="5">
        <v>46126</v>
      </c>
      <c r="L1346" s="8" t="s">
        <v>90</v>
      </c>
      <c r="M1346" s="9" t="str">
        <f>IF(Tabela1[[#This Row],[Motorista]]="","",IFERROR(_xlfn.XLOOKUP(Tabela1[[#This Row],[Motorista]],Base!A:A,Base!B:B),""))</f>
        <v>FOB</v>
      </c>
      <c r="N1346" s="20" t="str">
        <f t="shared" ref="N1346:N1358" si="63">IF(R1346&lt;&gt;"","Finalizado", IF(Q1346&lt;&gt;"","Fila de Carregamento", IF(P1346&lt;&gt;"","Aguardando Entrada","")))</f>
        <v>Finalizado</v>
      </c>
      <c r="O13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46" s="4">
        <v>0.25833333333333336</v>
      </c>
      <c r="Q1346" s="4">
        <v>0.31805555555555554</v>
      </c>
      <c r="R1346" s="23">
        <v>0.35902777777777778</v>
      </c>
      <c r="S1346" s="94" t="s">
        <v>254</v>
      </c>
      <c r="T1346" s="1"/>
      <c r="U1346" s="15">
        <f>IF(OR('Controle de CT'!$R1346= "", 'Controle de CT'!$P1346= ""), "", 'Controle de CT'!$R1346-'Controle de CT'!$P1346)</f>
        <v>0.10069444444444442</v>
      </c>
      <c r="V1346" s="1"/>
      <c r="W1346" s="2"/>
      <c r="X1346" s="2"/>
    </row>
    <row r="1347" spans="11:24" ht="15" hidden="1" customHeight="1">
      <c r="K1347" s="5">
        <v>46126</v>
      </c>
      <c r="L1347" s="8" t="s">
        <v>51</v>
      </c>
      <c r="M1347" s="9" t="str">
        <f>IF(Tabela1[[#This Row],[Motorista]]="","",IFERROR(_xlfn.XLOOKUP(Tabela1[[#This Row],[Motorista]],Base!A:A,Base!B:B),""))</f>
        <v>CIF</v>
      </c>
      <c r="N1347" s="20" t="str">
        <f t="shared" si="63"/>
        <v>Fila de Carregamento</v>
      </c>
      <c r="O13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7" s="4">
        <v>0.27569444444444446</v>
      </c>
      <c r="Q1347" s="4">
        <v>0.29375000000000001</v>
      </c>
      <c r="R1347" s="23"/>
      <c r="S1347" s="16"/>
      <c r="T1347" s="1"/>
      <c r="U1347" s="15" t="str">
        <f>IF(OR('Controle de CT'!$R1347= "", 'Controle de CT'!$P1347= ""), "", 'Controle de CT'!$R1347-'Controle de CT'!$P1347)</f>
        <v/>
      </c>
      <c r="V1347" s="1"/>
      <c r="W1347" s="2"/>
      <c r="X1347" s="2"/>
    </row>
    <row r="1348" spans="11:24" ht="15" hidden="1" customHeight="1">
      <c r="K1348" s="5">
        <v>46126</v>
      </c>
      <c r="L1348" t="s">
        <v>92</v>
      </c>
      <c r="M1348" s="24" t="s">
        <v>63</v>
      </c>
      <c r="N1348" s="20" t="str">
        <f t="shared" si="63"/>
        <v>Finalizado</v>
      </c>
      <c r="O13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8" s="4">
        <v>0.31111111111111112</v>
      </c>
      <c r="Q1348" s="4"/>
      <c r="R1348" s="23">
        <v>0.37291666666666667</v>
      </c>
      <c r="S1348" s="94" t="s">
        <v>254</v>
      </c>
      <c r="T1348" s="1"/>
      <c r="U1348" s="15">
        <f>IF(OR('Controle de CT'!$R1348= "", 'Controle de CT'!$P1348= ""), "", 'Controle de CT'!$R1348-'Controle de CT'!$P1348)</f>
        <v>6.1805555555555558E-2</v>
      </c>
      <c r="V1348" s="1"/>
      <c r="W1348" s="2"/>
      <c r="X1348" s="2"/>
    </row>
    <row r="1349" spans="11:24" ht="15" hidden="1" customHeight="1">
      <c r="K1349" s="5">
        <v>46126</v>
      </c>
      <c r="L1349" s="8" t="s">
        <v>183</v>
      </c>
      <c r="M1349" s="9" t="str">
        <f>IF(Tabela1[[#This Row],[Motorista]]="","",IFERROR(_xlfn.XLOOKUP(Tabela1[[#This Row],[Motorista]],Base!A:A,Base!B:B),""))</f>
        <v>FOB</v>
      </c>
      <c r="N1349" s="20" t="str">
        <f t="shared" si="63"/>
        <v>Finalizado</v>
      </c>
      <c r="O13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49" s="4">
        <v>0.24791666666666667</v>
      </c>
      <c r="Q1349" s="4">
        <v>0.35416666666666669</v>
      </c>
      <c r="R1349" s="23">
        <v>0.42222222222222222</v>
      </c>
      <c r="S1349" s="94" t="s">
        <v>254</v>
      </c>
      <c r="T1349" s="1"/>
      <c r="U1349" s="15">
        <f>IF(OR('Controle de CT'!$R1349= "", 'Controle de CT'!$P1349= ""), "", 'Controle de CT'!$R1349-'Controle de CT'!$P1349)</f>
        <v>0.17430555555555555</v>
      </c>
      <c r="V1349" s="1"/>
      <c r="W1349" s="2"/>
      <c r="X1349" s="2"/>
    </row>
    <row r="1350" spans="11:24" ht="15" hidden="1" customHeight="1">
      <c r="K1350" s="5">
        <v>46126</v>
      </c>
      <c r="L1350" s="8" t="s">
        <v>87</v>
      </c>
      <c r="M1350" s="9" t="str">
        <f>IF(Tabela1[[#This Row],[Motorista]]="","",IFERROR(_xlfn.XLOOKUP(Tabela1[[#This Row],[Motorista]],Base!A:A,Base!B:B),""))</f>
        <v>FOB</v>
      </c>
      <c r="N1350" s="20" t="str">
        <f t="shared" si="63"/>
        <v>Finalizado</v>
      </c>
      <c r="O13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0" s="4">
        <v>0.34583333333333333</v>
      </c>
      <c r="Q1350" s="4">
        <v>0.37708333333333333</v>
      </c>
      <c r="R1350" s="23">
        <v>0.41736111111111113</v>
      </c>
      <c r="S1350" s="94" t="s">
        <v>254</v>
      </c>
      <c r="T1350" s="1"/>
      <c r="U1350" s="15">
        <f>IF(OR('Controle de CT'!$R1350= "", 'Controle de CT'!$P1350= ""), "", 'Controle de CT'!$R1350-'Controle de CT'!$P1350)</f>
        <v>7.1527777777777801E-2</v>
      </c>
      <c r="V1350" s="1"/>
      <c r="W1350" s="2"/>
      <c r="X1350" s="2"/>
    </row>
    <row r="1351" spans="11:24" ht="15" hidden="1" customHeight="1">
      <c r="K1351" s="5">
        <v>46126</v>
      </c>
      <c r="L1351" s="8" t="s">
        <v>95</v>
      </c>
      <c r="M1351" s="9" t="str">
        <f>IF(Tabela1[[#This Row],[Motorista]]="","",IFERROR(_xlfn.XLOOKUP(Tabela1[[#This Row],[Motorista]],Base!A:A,Base!B:B),""))</f>
        <v>FOB</v>
      </c>
      <c r="N1351" s="20" t="str">
        <f t="shared" si="63"/>
        <v>Finalizado</v>
      </c>
      <c r="O13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1" s="4">
        <v>0.35833333333333334</v>
      </c>
      <c r="Q1351" s="4">
        <v>0.37430555555555556</v>
      </c>
      <c r="R1351" s="23">
        <v>0.41180555555555554</v>
      </c>
      <c r="S1351" s="94" t="s">
        <v>254</v>
      </c>
      <c r="T1351" s="1"/>
      <c r="U1351" s="15">
        <f>IF(OR('Controle de CT'!$R1351= "", 'Controle de CT'!$P1351= ""), "", 'Controle de CT'!$R1351-'Controle de CT'!$P1351)</f>
        <v>5.3472222222222199E-2</v>
      </c>
      <c r="V1351" s="1"/>
      <c r="W1351" s="2"/>
      <c r="X1351" s="2"/>
    </row>
    <row r="1352" spans="11:24" ht="15" hidden="1" customHeight="1">
      <c r="K1352" s="5">
        <v>46126</v>
      </c>
      <c r="L1352" s="8" t="s">
        <v>121</v>
      </c>
      <c r="M1352" s="9" t="str">
        <f>IF(Tabela1[[#This Row],[Motorista]]="","",IFERROR(_xlfn.XLOOKUP(Tabela1[[#This Row],[Motorista]],Base!A:A,Base!B:B),""))</f>
        <v>CIF</v>
      </c>
      <c r="N1352" s="20" t="str">
        <f t="shared" si="63"/>
        <v>Fila de Carregamento</v>
      </c>
      <c r="O13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2" s="4">
        <v>0.37291666666666667</v>
      </c>
      <c r="Q1352" s="4">
        <v>0.39166666666666666</v>
      </c>
      <c r="R1352" s="23"/>
      <c r="S1352" s="16"/>
      <c r="T1352" s="1"/>
      <c r="U1352" s="15" t="str">
        <f>IF(OR('Controle de CT'!$R1352= "", 'Controle de CT'!$P1352= ""), "", 'Controle de CT'!$R1352-'Controle de CT'!$P1352)</f>
        <v/>
      </c>
      <c r="V1352" s="1"/>
      <c r="W1352" s="2"/>
      <c r="X1352" s="2"/>
    </row>
    <row r="1353" spans="11:24" ht="15" hidden="1" customHeight="1">
      <c r="K1353" s="5">
        <v>46126</v>
      </c>
      <c r="L1353" s="8" t="s">
        <v>46</v>
      </c>
      <c r="M1353" s="9" t="str">
        <f>IF(Tabela1[[#This Row],[Motorista]]="","",IFERROR(_xlfn.XLOOKUP(Tabela1[[#This Row],[Motorista]],Base!A:A,Base!B:B),""))</f>
        <v>CIF</v>
      </c>
      <c r="N1353" s="20" t="str">
        <f t="shared" si="63"/>
        <v>Finalizado</v>
      </c>
      <c r="O13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3" s="4">
        <v>0.4284722222222222</v>
      </c>
      <c r="Q1353" s="4">
        <v>0.45</v>
      </c>
      <c r="R1353" s="23">
        <v>0.45</v>
      </c>
      <c r="S1353" s="94" t="s">
        <v>254</v>
      </c>
      <c r="T1353" s="1"/>
      <c r="U1353" s="15">
        <f>IF(OR('Controle de CT'!$R1353= "", 'Controle de CT'!$P1353= ""), "", 'Controle de CT'!$R1353-'Controle de CT'!$P1353)</f>
        <v>2.1527777777777812E-2</v>
      </c>
      <c r="V1353" s="1" t="s">
        <v>374</v>
      </c>
      <c r="W1353" s="2"/>
      <c r="X1353" s="2"/>
    </row>
    <row r="1354" spans="11:24" ht="15" hidden="1" customHeight="1">
      <c r="K1354" s="5">
        <v>46126</v>
      </c>
      <c r="L1354" s="8" t="s">
        <v>116</v>
      </c>
      <c r="M1354" s="9" t="str">
        <f>IF(Tabela1[[#This Row],[Motorista]]="","",IFERROR(_xlfn.XLOOKUP(Tabela1[[#This Row],[Motorista]],Base!A:A,Base!B:B),""))</f>
        <v xml:space="preserve">CIF </v>
      </c>
      <c r="N1354" s="20" t="str">
        <f t="shared" si="63"/>
        <v>Aguardando Entrada</v>
      </c>
      <c r="O13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54" s="4">
        <v>0.4597222222222222</v>
      </c>
      <c r="Q1354" s="4"/>
      <c r="R1354" s="23"/>
      <c r="S1354" s="16"/>
      <c r="T1354" s="1"/>
      <c r="U1354" s="15" t="str">
        <f>IF(OR('Controle de CT'!$R1354= "", 'Controle de CT'!$P1354= ""), "", 'Controle de CT'!$R1354-'Controle de CT'!$P1354)</f>
        <v/>
      </c>
      <c r="V1354" s="1"/>
      <c r="W1354" s="2"/>
      <c r="X1354" s="2"/>
    </row>
    <row r="1355" spans="11:24" ht="15" hidden="1" customHeight="1">
      <c r="K1355" s="5">
        <v>46126</v>
      </c>
      <c r="L1355" s="8" t="s">
        <v>90</v>
      </c>
      <c r="M1355" s="9" t="str">
        <f>IF(Tabela1[[#This Row],[Motorista]]="","",IFERROR(_xlfn.XLOOKUP(Tabela1[[#This Row],[Motorista]],Base!A:A,Base!B:B),""))</f>
        <v>FOB</v>
      </c>
      <c r="N1355" s="20" t="str">
        <f t="shared" si="63"/>
        <v>Aguardando Entrada</v>
      </c>
      <c r="O13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55" s="4">
        <v>0.47499999999999998</v>
      </c>
      <c r="Q1355" s="4"/>
      <c r="R1355" s="23"/>
      <c r="S1355" s="16"/>
      <c r="T1355" s="1"/>
      <c r="U1355" s="15" t="str">
        <f>IF(OR('Controle de CT'!$R1355= "", 'Controle de CT'!$P1355= ""), "", 'Controle de CT'!$R1355-'Controle de CT'!$P1355)</f>
        <v/>
      </c>
      <c r="V1355" s="1"/>
      <c r="W1355" s="2"/>
      <c r="X1355" s="2"/>
    </row>
    <row r="1356" spans="11:24" ht="15" hidden="1" customHeight="1">
      <c r="K1356" s="5">
        <v>46126</v>
      </c>
      <c r="L1356" s="8" t="s">
        <v>117</v>
      </c>
      <c r="M1356" s="9" t="str">
        <f>IF(Tabela1[[#This Row],[Motorista]]="","",IFERROR(_xlfn.XLOOKUP(Tabela1[[#This Row],[Motorista]],Base!A:A,Base!B:B),""))</f>
        <v>FOB</v>
      </c>
      <c r="N1356" s="20" t="str">
        <f t="shared" si="63"/>
        <v>Aguardando Entrada</v>
      </c>
      <c r="O13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6" s="4">
        <v>0.46597222222222223</v>
      </c>
      <c r="Q1356" s="4"/>
      <c r="R1356" s="23"/>
      <c r="S1356" s="16"/>
      <c r="T1356" s="1"/>
      <c r="U1356" s="15" t="str">
        <f>IF(OR('Controle de CT'!$R1356= "", 'Controle de CT'!$P1356= ""), "", 'Controle de CT'!$R1356-'Controle de CT'!$P1356)</f>
        <v/>
      </c>
      <c r="V1356" s="1"/>
      <c r="W1356" s="2"/>
      <c r="X1356" s="2"/>
    </row>
    <row r="1357" spans="11:24" ht="15" hidden="1" customHeight="1">
      <c r="K1357" s="5">
        <v>46126</v>
      </c>
      <c r="L1357" s="8" t="s">
        <v>112</v>
      </c>
      <c r="M1357" s="9" t="str">
        <f>IF(Tabela1[[#This Row],[Motorista]]="","",IFERROR(_xlfn.XLOOKUP(Tabela1[[#This Row],[Motorista]],Base!A:A,Base!B:B),""))</f>
        <v>FOB</v>
      </c>
      <c r="N1357" s="20" t="str">
        <f t="shared" si="63"/>
        <v>Aguardando Entrada</v>
      </c>
      <c r="O13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7" s="4">
        <v>0.50138888888888888</v>
      </c>
      <c r="Q1357" s="4"/>
      <c r="R1357" s="23"/>
      <c r="S1357" s="16"/>
      <c r="T1357" s="1"/>
      <c r="U1357" s="15" t="str">
        <f>IF(OR('Controle de CT'!$R1357= "", 'Controle de CT'!$P1357= ""), "", 'Controle de CT'!$R1357-'Controle de CT'!$P1357)</f>
        <v/>
      </c>
      <c r="V1357" s="1"/>
      <c r="W1357" s="2"/>
      <c r="X1357" s="2"/>
    </row>
    <row r="1358" spans="11:24" ht="15" hidden="1" customHeight="1">
      <c r="K1358" s="5">
        <v>46126</v>
      </c>
      <c r="L1358" s="8" t="s">
        <v>125</v>
      </c>
      <c r="M1358" s="9" t="str">
        <f>IF(Tabela1[[#This Row],[Motorista]]="","",IFERROR(_xlfn.XLOOKUP(Tabela1[[#This Row],[Motorista]],Base!A:A,Base!B:B),""))</f>
        <v>FOB</v>
      </c>
      <c r="N1358" s="20" t="str">
        <f t="shared" si="63"/>
        <v>Fila de Carregamento</v>
      </c>
      <c r="O13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8" s="4">
        <v>0.72916666666666663</v>
      </c>
      <c r="Q1358" s="4">
        <v>0.73958333333333337</v>
      </c>
      <c r="R1358" s="23"/>
      <c r="S1358" s="16"/>
      <c r="T1358" s="1"/>
      <c r="U1358" s="15" t="str">
        <f>IF(OR('Controle de CT'!$R1358= "", 'Controle de CT'!$P1358= ""), "", 'Controle de CT'!$R1358-'Controle de CT'!$P1358)</f>
        <v/>
      </c>
      <c r="V1358" s="1"/>
      <c r="W1358" s="2"/>
      <c r="X1358" s="2"/>
    </row>
    <row r="1359" spans="11:24" ht="15" hidden="1" customHeight="1">
      <c r="K1359" s="5">
        <v>46127</v>
      </c>
      <c r="L1359" s="8" t="s">
        <v>116</v>
      </c>
      <c r="M1359" s="9" t="str">
        <f>IF(Tabela1[[#This Row],[Motorista]]="","",IFERROR(_xlfn.XLOOKUP(Tabela1[[#This Row],[Motorista]],Base!A:A,Base!B:B),""))</f>
        <v xml:space="preserve">CIF </v>
      </c>
      <c r="N1359" s="20" t="str">
        <f t="shared" ref="N1359" si="64">IF(R1359&lt;&gt;"","Finalizado", IF(Q1359&lt;&gt;"","Fila de Carregamento", IF(P1359&lt;&gt;"","Aguardando Entrada","")))</f>
        <v>Finalizado</v>
      </c>
      <c r="O13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59" s="4">
        <v>0.21527777777777779</v>
      </c>
      <c r="Q1359" s="4">
        <v>0.26666666666666666</v>
      </c>
      <c r="R1359" s="23">
        <v>0.33680555555555558</v>
      </c>
      <c r="S1359" s="94" t="s">
        <v>254</v>
      </c>
      <c r="T1359" s="1"/>
      <c r="U1359" s="15">
        <f>IF(OR('Controle de CT'!$R1359= "", 'Controle de CT'!$P1359= ""), "", 'Controle de CT'!$R1359-'Controle de CT'!$P1359)</f>
        <v>0.12152777777777779</v>
      </c>
      <c r="V1359" s="1"/>
      <c r="W1359" s="2"/>
      <c r="X1359" s="2"/>
    </row>
    <row r="1360" spans="11:24" ht="15" hidden="1" customHeight="1">
      <c r="K1360" s="5">
        <v>46127</v>
      </c>
      <c r="L1360" t="s">
        <v>278</v>
      </c>
      <c r="M1360" s="24" t="s">
        <v>63</v>
      </c>
      <c r="N1360" s="20" t="str">
        <f t="shared" ref="N1360:N1375" si="65">IF(R1360&lt;&gt;"","Finalizado", IF(Q1360&lt;&gt;"","Fila de Carregamento", IF(P1360&lt;&gt;"","Aguardando Entrada","")))</f>
        <v>Finalizado</v>
      </c>
      <c r="O13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0" s="4">
        <v>0.2298611111111111</v>
      </c>
      <c r="Q1360" s="4">
        <v>0.3298611111111111</v>
      </c>
      <c r="R1360" s="23">
        <v>0.38472222222222224</v>
      </c>
      <c r="S1360" s="94" t="s">
        <v>254</v>
      </c>
      <c r="T1360" s="1"/>
      <c r="U1360" s="15">
        <f>IF(OR('Controle de CT'!$R1360= "", 'Controle de CT'!$P1360= ""), "", 'Controle de CT'!$R1360-'Controle de CT'!$P1360)</f>
        <v>0.15486111111111114</v>
      </c>
      <c r="V1360" s="1" t="s">
        <v>170</v>
      </c>
      <c r="W1360" s="2"/>
      <c r="X1360" s="2"/>
    </row>
    <row r="1361" spans="11:24" ht="15" hidden="1" customHeight="1">
      <c r="K1361" s="5">
        <v>46127</v>
      </c>
      <c r="L1361" s="8" t="s">
        <v>45</v>
      </c>
      <c r="M1361" s="9" t="str">
        <f>IF(Tabela1[[#This Row],[Motorista]]="","",IFERROR(_xlfn.XLOOKUP(Tabela1[[#This Row],[Motorista]],Base!A:A,Base!B:B),""))</f>
        <v>CIF</v>
      </c>
      <c r="N1361" s="20" t="str">
        <f t="shared" si="65"/>
        <v>Finalizado</v>
      </c>
      <c r="O13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61" s="4">
        <v>0.2361111111111111</v>
      </c>
      <c r="Q1361" s="4">
        <v>0.26527777777777778</v>
      </c>
      <c r="R1361" s="23">
        <v>0.30763888888888891</v>
      </c>
      <c r="S1361" s="94" t="s">
        <v>254</v>
      </c>
      <c r="T1361" s="1"/>
      <c r="U1361" s="15">
        <f>IF(OR('Controle de CT'!$R1361= "", 'Controle de CT'!$P1361= ""), "", 'Controle de CT'!$R1361-'Controle de CT'!$P1361)</f>
        <v>7.1527777777777801E-2</v>
      </c>
      <c r="V1361" s="1"/>
      <c r="W1361" s="2"/>
      <c r="X1361" s="2"/>
    </row>
    <row r="1362" spans="11:24" ht="15" hidden="1" customHeight="1">
      <c r="K1362" s="5">
        <v>46127</v>
      </c>
      <c r="L1362" s="8" t="s">
        <v>52</v>
      </c>
      <c r="M1362" s="9" t="str">
        <f>IF(Tabela1[[#This Row],[Motorista]]="","",IFERROR(_xlfn.XLOOKUP(Tabela1[[#This Row],[Motorista]],Base!A:A,Base!B:B),""))</f>
        <v>CIF</v>
      </c>
      <c r="N1362" s="20" t="str">
        <f t="shared" si="65"/>
        <v>Finalizado</v>
      </c>
      <c r="O13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62" s="4">
        <v>0.25555555555555554</v>
      </c>
      <c r="Q1362" s="4">
        <v>0.26944444444444443</v>
      </c>
      <c r="R1362" s="23">
        <v>0.32777777777777778</v>
      </c>
      <c r="S1362" s="94" t="s">
        <v>254</v>
      </c>
      <c r="T1362" s="1"/>
      <c r="U1362" s="15">
        <f>IF(OR('Controle de CT'!$R1362= "", 'Controle de CT'!$P1362= ""), "", 'Controle de CT'!$R1362-'Controle de CT'!$P1362)</f>
        <v>7.2222222222222243E-2</v>
      </c>
      <c r="V1362" s="1"/>
      <c r="W1362" s="2"/>
      <c r="X1362" s="2"/>
    </row>
    <row r="1363" spans="11:24" ht="15" hidden="1" customHeight="1">
      <c r="K1363" s="5">
        <v>46127</v>
      </c>
      <c r="L1363" s="8" t="s">
        <v>105</v>
      </c>
      <c r="M1363" s="9" t="str">
        <f>IF(Tabela1[[#This Row],[Motorista]]="","",IFERROR(_xlfn.XLOOKUP(Tabela1[[#This Row],[Motorista]],Base!A:A,Base!B:B),""))</f>
        <v>Transferência</v>
      </c>
      <c r="N1363" s="20" t="str">
        <f t="shared" si="65"/>
        <v>Aguardando Entrada</v>
      </c>
      <c r="O13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63" s="4">
        <v>0.25694444444444442</v>
      </c>
      <c r="Q1363" s="4"/>
      <c r="R1363" s="23"/>
      <c r="S1363" s="16"/>
      <c r="T1363" s="1"/>
      <c r="U1363" s="15" t="str">
        <f>IF(OR('Controle de CT'!$R1363= "", 'Controle de CT'!$P1363= ""), "", 'Controle de CT'!$R1363-'Controle de CT'!$P1363)</f>
        <v/>
      </c>
      <c r="V1363" s="1"/>
      <c r="W1363" s="2"/>
      <c r="X1363" s="2"/>
    </row>
    <row r="1364" spans="11:24" ht="15" hidden="1" customHeight="1">
      <c r="K1364" s="5">
        <v>46127</v>
      </c>
      <c r="L1364" s="8" t="s">
        <v>90</v>
      </c>
      <c r="M1364" s="9" t="str">
        <f>IF(Tabela1[[#This Row],[Motorista]]="","",IFERROR(_xlfn.XLOOKUP(Tabela1[[#This Row],[Motorista]],Base!A:A,Base!B:B),""))</f>
        <v>FOB</v>
      </c>
      <c r="N1364" s="20" t="str">
        <f t="shared" si="65"/>
        <v>Finalizado</v>
      </c>
      <c r="O13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4" s="4">
        <v>0.25833333333333336</v>
      </c>
      <c r="Q1364" s="4"/>
      <c r="R1364" s="23">
        <v>0.43402777777777779</v>
      </c>
      <c r="S1364" s="94" t="s">
        <v>254</v>
      </c>
      <c r="T1364" s="1"/>
      <c r="U1364" s="15">
        <f>IF(OR('Controle de CT'!$R1364= "", 'Controle de CT'!$P1364= ""), "", 'Controle de CT'!$R1364-'Controle de CT'!$P1364)</f>
        <v>0.17569444444444443</v>
      </c>
      <c r="V1364" s="1"/>
      <c r="W1364" s="2"/>
      <c r="X1364" s="2"/>
    </row>
    <row r="1365" spans="11:24" ht="15" hidden="1" customHeight="1">
      <c r="K1365" s="5">
        <v>46127</v>
      </c>
      <c r="L1365" s="8" t="s">
        <v>255</v>
      </c>
      <c r="M1365" s="24" t="s">
        <v>62</v>
      </c>
      <c r="N1365" s="20" t="str">
        <f t="shared" si="65"/>
        <v>Finalizado</v>
      </c>
      <c r="O13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65" s="4">
        <v>0.26180555555555557</v>
      </c>
      <c r="Q1365" s="4">
        <v>0.30625000000000002</v>
      </c>
      <c r="R1365" s="23">
        <v>0.34305555555555556</v>
      </c>
      <c r="S1365" s="94" t="s">
        <v>254</v>
      </c>
      <c r="T1365" s="1"/>
      <c r="U1365" s="15">
        <f>IF(OR('Controle de CT'!$R1365= "", 'Controle de CT'!$P1365= ""), "", 'Controle de CT'!$R1365-'Controle de CT'!$P1365)</f>
        <v>8.1249999999999989E-2</v>
      </c>
      <c r="V1365" s="1"/>
      <c r="W1365" s="2"/>
      <c r="X1365" s="2"/>
    </row>
    <row r="1366" spans="11:24" ht="15" hidden="1" customHeight="1">
      <c r="K1366" s="5">
        <v>46127</v>
      </c>
      <c r="L1366" s="8" t="s">
        <v>96</v>
      </c>
      <c r="M1366" s="9" t="str">
        <f>IF(Tabela1[[#This Row],[Motorista]]="","",IFERROR(_xlfn.XLOOKUP(Tabela1[[#This Row],[Motorista]],Base!A:A,Base!B:B),""))</f>
        <v>Transferência</v>
      </c>
      <c r="N1366" s="20" t="str">
        <f t="shared" si="65"/>
        <v>Aguardando Entrada</v>
      </c>
      <c r="O13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6" s="4">
        <v>0.2673611111111111</v>
      </c>
      <c r="Q1366" s="4"/>
      <c r="R1366" s="23"/>
      <c r="S1366" s="16"/>
      <c r="T1366" s="1"/>
      <c r="U1366" s="15" t="str">
        <f>IF(OR('Controle de CT'!$R1366= "", 'Controle de CT'!$P1366= ""), "", 'Controle de CT'!$R1366-'Controle de CT'!$P1366)</f>
        <v/>
      </c>
      <c r="V1366" s="1"/>
      <c r="W1366" s="2"/>
      <c r="X1366" s="2"/>
    </row>
    <row r="1367" spans="11:24" ht="15" hidden="1" customHeight="1">
      <c r="K1367" s="5">
        <v>46127</v>
      </c>
      <c r="L1367" s="8" t="s">
        <v>51</v>
      </c>
      <c r="M1367" s="9" t="str">
        <f>IF(Tabela1[[#This Row],[Motorista]]="","",IFERROR(_xlfn.XLOOKUP(Tabela1[[#This Row],[Motorista]],Base!A:A,Base!B:B),""))</f>
        <v>CIF</v>
      </c>
      <c r="N1367" s="20" t="str">
        <f t="shared" si="65"/>
        <v>Finalizado</v>
      </c>
      <c r="O13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67" s="4">
        <v>0.27500000000000002</v>
      </c>
      <c r="Q1367" s="4">
        <v>0.29236111111111113</v>
      </c>
      <c r="R1367" s="23">
        <v>0.3527777777777778</v>
      </c>
      <c r="S1367" s="94" t="s">
        <v>254</v>
      </c>
      <c r="T1367" s="1"/>
      <c r="U1367" s="15">
        <f>IF(OR('Controle de CT'!$R1367= "", 'Controle de CT'!$P1367= ""), "", 'Controle de CT'!$R1367-'Controle de CT'!$P1367)</f>
        <v>7.7777777777777779E-2</v>
      </c>
      <c r="V1367" s="1"/>
      <c r="W1367" s="2"/>
      <c r="X1367" s="2"/>
    </row>
    <row r="1368" spans="11:24" ht="15" hidden="1" customHeight="1">
      <c r="K1368" s="5">
        <v>46127</v>
      </c>
      <c r="L1368" s="8" t="s">
        <v>57</v>
      </c>
      <c r="M1368" s="9" t="str">
        <f>IF(Tabela1[[#This Row],[Motorista]]="","",IFERROR(_xlfn.XLOOKUP(Tabela1[[#This Row],[Motorista]],Base!A:A,Base!B:B),""))</f>
        <v>CIF</v>
      </c>
      <c r="N1368" s="20" t="str">
        <f t="shared" si="65"/>
        <v>Finalizado</v>
      </c>
      <c r="O13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8" s="4">
        <v>0.29097222222222224</v>
      </c>
      <c r="Q1368" s="4">
        <v>0.32430555555555557</v>
      </c>
      <c r="R1368" s="23">
        <v>0.35972222222222222</v>
      </c>
      <c r="S1368" s="94" t="s">
        <v>254</v>
      </c>
      <c r="T1368" s="1"/>
      <c r="U1368" s="15">
        <f>IF(OR('Controle de CT'!$R1368= "", 'Controle de CT'!$P1368= ""), "", 'Controle de CT'!$R1368-'Controle de CT'!$P1368)</f>
        <v>6.8749999999999978E-2</v>
      </c>
      <c r="V1368" s="1"/>
      <c r="W1368" s="2"/>
      <c r="X1368" s="2"/>
    </row>
    <row r="1369" spans="11:24" ht="15" hidden="1" customHeight="1">
      <c r="K1369" s="5">
        <v>46127</v>
      </c>
      <c r="L1369" t="s">
        <v>375</v>
      </c>
      <c r="M1369" s="24" t="s">
        <v>63</v>
      </c>
      <c r="N1369" s="20" t="str">
        <f t="shared" si="65"/>
        <v>Finalizado</v>
      </c>
      <c r="O13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69" s="4">
        <v>0.30069444444444443</v>
      </c>
      <c r="Q1369" s="4"/>
      <c r="R1369" s="23">
        <v>0.38750000000000001</v>
      </c>
      <c r="S1369" s="94" t="s">
        <v>254</v>
      </c>
      <c r="T1369" s="1"/>
      <c r="U1369" s="15">
        <f>IF(OR('Controle de CT'!$R1369= "", 'Controle de CT'!$P1369= ""), "", 'Controle de CT'!$R1369-'Controle de CT'!$P1369)</f>
        <v>8.680555555555558E-2</v>
      </c>
      <c r="V1369" s="1"/>
      <c r="W1369" s="2"/>
      <c r="X1369" s="2"/>
    </row>
    <row r="1370" spans="11:24" ht="15" hidden="1" customHeight="1">
      <c r="K1370" s="5">
        <v>46127</v>
      </c>
      <c r="L1370" s="8" t="s">
        <v>87</v>
      </c>
      <c r="M1370" s="9" t="str">
        <f>IF(Tabela1[[#This Row],[Motorista]]="","",IFERROR(_xlfn.XLOOKUP(Tabela1[[#This Row],[Motorista]],Base!A:A,Base!B:B),""))</f>
        <v>FOB</v>
      </c>
      <c r="N1370" s="20" t="str">
        <f t="shared" si="65"/>
        <v>Aguardando Entrada</v>
      </c>
      <c r="O13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0" s="4">
        <v>0.31805555555555554</v>
      </c>
      <c r="Q1370" s="4"/>
      <c r="R1370" s="23"/>
      <c r="S1370" s="16"/>
      <c r="T1370" s="1"/>
      <c r="U1370" s="15" t="str">
        <f>IF(OR('Controle de CT'!$R1370= "", 'Controle de CT'!$P1370= ""), "", 'Controle de CT'!$R1370-'Controle de CT'!$P1370)</f>
        <v/>
      </c>
      <c r="V1370" s="1"/>
      <c r="W1370" s="2"/>
      <c r="X1370" s="2"/>
    </row>
    <row r="1371" spans="11:24" ht="15" hidden="1" customHeight="1">
      <c r="K1371" s="5">
        <v>46127</v>
      </c>
      <c r="L1371" t="s">
        <v>92</v>
      </c>
      <c r="M1371" s="24" t="s">
        <v>63</v>
      </c>
      <c r="N1371" s="20" t="str">
        <f t="shared" si="65"/>
        <v>Finalizado</v>
      </c>
      <c r="O13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1" s="4">
        <v>0.3034722222222222</v>
      </c>
      <c r="Q1371" s="4">
        <v>0.33819444444444446</v>
      </c>
      <c r="R1371" s="23">
        <v>0.38263888888888886</v>
      </c>
      <c r="S1371" s="94" t="s">
        <v>254</v>
      </c>
      <c r="T1371" s="1"/>
      <c r="U1371" s="15">
        <f>IF(OR('Controle de CT'!$R1371= "", 'Controle de CT'!$P1371= ""), "", 'Controle de CT'!$R1371-'Controle de CT'!$P1371)</f>
        <v>7.9166666666666663E-2</v>
      </c>
      <c r="V1371" s="1"/>
      <c r="W1371" s="2"/>
      <c r="X1371" s="2"/>
    </row>
    <row r="1372" spans="11:24" ht="15" hidden="1" customHeight="1">
      <c r="K1372" s="5">
        <v>46127</v>
      </c>
      <c r="L1372" s="8" t="s">
        <v>125</v>
      </c>
      <c r="M1372" s="9" t="str">
        <f>IF(Tabela1[[#This Row],[Motorista]]="","",IFERROR(_xlfn.XLOOKUP(Tabela1[[#This Row],[Motorista]],Base!A:A,Base!B:B),""))</f>
        <v>FOB</v>
      </c>
      <c r="N1372" s="20" t="str">
        <f t="shared" si="65"/>
        <v>Aguardando Entrada</v>
      </c>
      <c r="O13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2" s="4">
        <v>0.32847222222222222</v>
      </c>
      <c r="Q1372" s="4"/>
      <c r="R1372" s="23"/>
      <c r="S1372" s="94" t="s">
        <v>254</v>
      </c>
      <c r="T1372" s="1"/>
      <c r="U1372" s="15" t="str">
        <f>IF(OR('Controle de CT'!$R1372= "", 'Controle de CT'!$P1372= ""), "", 'Controle de CT'!$R1372-'Controle de CT'!$P1372)</f>
        <v/>
      </c>
      <c r="V1372" s="1"/>
      <c r="W1372" s="2"/>
      <c r="X1372" s="2"/>
    </row>
    <row r="1373" spans="11:24" ht="15" hidden="1" customHeight="1">
      <c r="K1373" s="5">
        <v>46127</v>
      </c>
      <c r="L1373" s="8" t="s">
        <v>121</v>
      </c>
      <c r="M1373" s="9" t="str">
        <f>IF(Tabela1[[#This Row],[Motorista]]="","",IFERROR(_xlfn.XLOOKUP(Tabela1[[#This Row],[Motorista]],Base!A:A,Base!B:B),""))</f>
        <v>CIF</v>
      </c>
      <c r="N1373" s="20" t="str">
        <f t="shared" si="65"/>
        <v>Finalizado</v>
      </c>
      <c r="O13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3" s="4">
        <v>0.3527777777777778</v>
      </c>
      <c r="Q1373" s="4">
        <v>0.51527777777777772</v>
      </c>
      <c r="R1373" s="23">
        <v>0.60277777777777775</v>
      </c>
      <c r="S1373" s="94" t="s">
        <v>254</v>
      </c>
      <c r="T1373" s="1"/>
      <c r="U1373" s="15">
        <f>IF(OR('Controle de CT'!$R1373= "", 'Controle de CT'!$P1373= ""), "", 'Controle de CT'!$R1373-'Controle de CT'!$P1373)</f>
        <v>0.24999999999999994</v>
      </c>
      <c r="V1373" s="1"/>
      <c r="W1373" s="2"/>
      <c r="X1373" s="2"/>
    </row>
    <row r="1374" spans="11:24" ht="15" hidden="1" customHeight="1">
      <c r="K1374" s="5">
        <v>46127</v>
      </c>
      <c r="L1374" s="8" t="s">
        <v>360</v>
      </c>
      <c r="M1374" s="9" t="str">
        <f>IF(Tabela1[[#This Row],[Motorista]]="","",IFERROR(_xlfn.XLOOKUP(Tabela1[[#This Row],[Motorista]],Base!A:A,Base!B:B),""))</f>
        <v>Transferência</v>
      </c>
      <c r="N1374" s="20" t="str">
        <f t="shared" si="65"/>
        <v/>
      </c>
      <c r="O13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4" s="4"/>
      <c r="Q1374" s="4"/>
      <c r="R1374" s="23"/>
      <c r="S1374" s="16"/>
      <c r="T1374" s="1"/>
      <c r="U1374" s="15" t="str">
        <f>IF(OR('Controle de CT'!$R1374= "", 'Controle de CT'!$P1374= ""), "", 'Controle de CT'!$R1374-'Controle de CT'!$P1374)</f>
        <v/>
      </c>
      <c r="V1374" s="1"/>
      <c r="W1374" s="2"/>
      <c r="X1374" s="2"/>
    </row>
    <row r="1375" spans="11:24" ht="15" hidden="1" customHeight="1">
      <c r="K1375" s="5">
        <v>46127</v>
      </c>
      <c r="L1375" s="8" t="s">
        <v>45</v>
      </c>
      <c r="M1375" s="9" t="str">
        <f>IF(Tabela1[[#This Row],[Motorista]]="","",IFERROR(_xlfn.XLOOKUP(Tabela1[[#This Row],[Motorista]],Base!A:A,Base!B:B),""))</f>
        <v>CIF</v>
      </c>
      <c r="N1375" s="20" t="str">
        <f t="shared" si="65"/>
        <v>Fila de Carregamento</v>
      </c>
      <c r="O13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75" s="4"/>
      <c r="Q1375" s="4">
        <v>0.40763888888888888</v>
      </c>
      <c r="R1375" s="23"/>
      <c r="S1375" s="16"/>
      <c r="T1375" s="1"/>
      <c r="U1375" s="15" t="str">
        <f>IF(OR('Controle de CT'!$R1375= "", 'Controle de CT'!$P1375= ""), "", 'Controle de CT'!$R1375-'Controle de CT'!$P1375)</f>
        <v/>
      </c>
      <c r="V1375" s="1"/>
      <c r="W1375" s="2"/>
      <c r="X1375" s="2"/>
    </row>
    <row r="1376" spans="11:24" ht="15" hidden="1" customHeight="1">
      <c r="K1376" s="5">
        <v>46127</v>
      </c>
      <c r="L1376" s="8" t="s">
        <v>52</v>
      </c>
      <c r="M1376" s="9" t="str">
        <f>IF(Tabela1[[#This Row],[Motorista]]="","",IFERROR(_xlfn.XLOOKUP(Tabela1[[#This Row],[Motorista]],Base!A:A,Base!B:B),""))</f>
        <v>CIF</v>
      </c>
      <c r="N1376" s="20" t="str">
        <f t="shared" ref="N1376:N1384" si="66">IF(R1376&lt;&gt;"","Finalizado", IF(Q1376&lt;&gt;"","Fila de Carregamento", IF(P1376&lt;&gt;"","Aguardando Entrada","")))</f>
        <v>Finalizado</v>
      </c>
      <c r="O13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76" s="4"/>
      <c r="Q1376" s="4"/>
      <c r="R1376" s="23">
        <v>0.51527777777777772</v>
      </c>
      <c r="S1376" s="94" t="s">
        <v>254</v>
      </c>
      <c r="T1376" s="1"/>
      <c r="U1376" s="15" t="str">
        <f>IF(OR('Controle de CT'!$R1376= "", 'Controle de CT'!$P1376= ""), "", 'Controle de CT'!$R1376-'Controle de CT'!$P1376)</f>
        <v/>
      </c>
      <c r="V1376" s="1"/>
      <c r="W1376" s="2"/>
      <c r="X1376" s="2"/>
    </row>
    <row r="1377" spans="11:24" ht="15" hidden="1" customHeight="1">
      <c r="K1377" s="5">
        <v>46127</v>
      </c>
      <c r="L1377" s="8" t="s">
        <v>255</v>
      </c>
      <c r="M1377" s="9">
        <f>IF(Tabela1[[#This Row],[Motorista]]="","",IFERROR(_xlfn.XLOOKUP(Tabela1[[#This Row],[Motorista]],Base!A:A,Base!B:B),""))</f>
        <v>0</v>
      </c>
      <c r="N1377" s="20" t="str">
        <f t="shared" si="66"/>
        <v>Finalizado</v>
      </c>
      <c r="O13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77" s="4">
        <v>0.45763888888888887</v>
      </c>
      <c r="Q1377" s="4"/>
      <c r="R1377" s="23">
        <v>0.5131944444444444</v>
      </c>
      <c r="S1377" s="94" t="s">
        <v>254</v>
      </c>
      <c r="T1377" s="1"/>
      <c r="U1377" s="15">
        <f>IF(OR('Controle de CT'!$R1377= "", 'Controle de CT'!$P1377= ""), "", 'Controle de CT'!$R1377-'Controle de CT'!$P1377)</f>
        <v>5.5555555555555525E-2</v>
      </c>
      <c r="V1377" s="1"/>
      <c r="W1377" s="2"/>
      <c r="X1377" s="2"/>
    </row>
    <row r="1378" spans="11:24" ht="15" hidden="1" customHeight="1">
      <c r="K1378" s="5">
        <v>46127</v>
      </c>
      <c r="L1378" s="8" t="s">
        <v>51</v>
      </c>
      <c r="M1378" s="9" t="str">
        <f>IF(Tabela1[[#This Row],[Motorista]]="","",IFERROR(_xlfn.XLOOKUP(Tabela1[[#This Row],[Motorista]],Base!A:A,Base!B:B),""))</f>
        <v>CIF</v>
      </c>
      <c r="N1378" s="20" t="str">
        <f t="shared" si="66"/>
        <v>Aguardando Entrada</v>
      </c>
      <c r="O13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78" s="4">
        <v>0.47152777777777777</v>
      </c>
      <c r="Q1378" s="4"/>
      <c r="R1378" s="23"/>
      <c r="S1378" s="16"/>
      <c r="T1378" s="1"/>
      <c r="U1378" s="15" t="str">
        <f>IF(OR('Controle de CT'!$R1378= "", 'Controle de CT'!$P1378= ""), "", 'Controle de CT'!$R1378-'Controle de CT'!$P1378)</f>
        <v/>
      </c>
      <c r="V1378" s="1"/>
      <c r="W1378" s="2"/>
      <c r="X1378" s="2"/>
    </row>
    <row r="1379" spans="11:24" ht="15" hidden="1" customHeight="1">
      <c r="K1379" s="5">
        <v>46127</v>
      </c>
      <c r="L1379" t="s">
        <v>292</v>
      </c>
      <c r="M1379" s="9" t="str">
        <f>IF(Tabela1[[#This Row],[Motorista]]="","",IFERROR(_xlfn.XLOOKUP(Tabela1[[#This Row],[Motorista]],Base!A:A,Base!B:B),""))</f>
        <v>Transferência</v>
      </c>
      <c r="N1379" s="20" t="str">
        <f t="shared" si="66"/>
        <v/>
      </c>
      <c r="O13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79" s="4"/>
      <c r="Q1379" s="4"/>
      <c r="R1379" s="23"/>
      <c r="S1379" s="16"/>
      <c r="T1379" s="1"/>
      <c r="U1379" s="15" t="str">
        <f>IF(OR('Controle de CT'!$R1379= "", 'Controle de CT'!$P1379= ""), "", 'Controle de CT'!$R1379-'Controle de CT'!$P1379)</f>
        <v/>
      </c>
      <c r="V1379" s="1"/>
      <c r="W1379" s="2"/>
      <c r="X1379" s="2"/>
    </row>
    <row r="1380" spans="11:24" ht="15" hidden="1" customHeight="1">
      <c r="K1380" s="5">
        <v>46127</v>
      </c>
      <c r="L1380" t="s">
        <v>153</v>
      </c>
      <c r="M1380" s="9" t="str">
        <f>IF(Tabela1[[#This Row],[Motorista]]="","",IFERROR(_xlfn.XLOOKUP(Tabela1[[#This Row],[Motorista]],Base!A:A,Base!B:B),""))</f>
        <v>FOB</v>
      </c>
      <c r="N1380" s="20" t="str">
        <f t="shared" si="66"/>
        <v>Finalizado</v>
      </c>
      <c r="O13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0" s="4">
        <v>0.5625</v>
      </c>
      <c r="Q1380" s="4">
        <v>0.61111111111111116</v>
      </c>
      <c r="R1380" s="23">
        <v>0.70833333333333337</v>
      </c>
      <c r="S1380" s="94" t="s">
        <v>254</v>
      </c>
      <c r="T1380" s="1"/>
      <c r="U1380" s="15">
        <f>IF(OR('Controle de CT'!$R1380= "", 'Controle de CT'!$P1380= ""), "", 'Controle de CT'!$R1380-'Controle de CT'!$P1380)</f>
        <v>0.14583333333333337</v>
      </c>
      <c r="V1380" s="1"/>
      <c r="W1380" s="2"/>
      <c r="X1380" s="2"/>
    </row>
    <row r="1381" spans="11:24" ht="15" hidden="1" customHeight="1">
      <c r="K1381" s="5">
        <v>46127</v>
      </c>
      <c r="L1381" s="8" t="s">
        <v>231</v>
      </c>
      <c r="M1381" s="9" t="str">
        <f>IF(Tabela1[[#This Row],[Motorista]]="","",IFERROR(_xlfn.XLOOKUP(Tabela1[[#This Row],[Motorista]],Base!A:A,Base!B:B),""))</f>
        <v>Transferência</v>
      </c>
      <c r="N1381" s="20" t="str">
        <f t="shared" si="66"/>
        <v>Finalizado</v>
      </c>
      <c r="O13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1" s="4">
        <v>0.65833333333333333</v>
      </c>
      <c r="Q1381" s="4">
        <v>0.70277777777777772</v>
      </c>
      <c r="R1381" s="23">
        <v>0.83333333333333337</v>
      </c>
      <c r="S1381" s="94" t="s">
        <v>254</v>
      </c>
      <c r="T1381" s="1"/>
      <c r="U1381" s="15">
        <f>IF(OR('Controle de CT'!$R1381= "", 'Controle de CT'!$P1381= ""), "", 'Controle de CT'!$R1381-'Controle de CT'!$P1381)</f>
        <v>0.17500000000000004</v>
      </c>
      <c r="V1381" s="1" t="s">
        <v>226</v>
      </c>
      <c r="W1381" s="2"/>
      <c r="X1381" s="2"/>
    </row>
    <row r="1382" spans="11:24" ht="15" hidden="1" customHeight="1">
      <c r="K1382" s="5">
        <v>46127</v>
      </c>
      <c r="L1382" s="8" t="s">
        <v>112</v>
      </c>
      <c r="M1382" s="9" t="str">
        <f>IF(Tabela1[[#This Row],[Motorista]]="","",IFERROR(_xlfn.XLOOKUP(Tabela1[[#This Row],[Motorista]],Base!A:A,Base!B:B),""))</f>
        <v>FOB</v>
      </c>
      <c r="N1382" s="20" t="str">
        <f t="shared" si="66"/>
        <v>Fila de Carregamento</v>
      </c>
      <c r="O13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2" s="4">
        <v>0.625</v>
      </c>
      <c r="Q1382" s="4">
        <v>0.65069444444444446</v>
      </c>
      <c r="R1382" s="23"/>
      <c r="S1382" s="16"/>
      <c r="T1382" s="1"/>
      <c r="U1382" s="15" t="str">
        <f>IF(OR('Controle de CT'!$R1382= "", 'Controle de CT'!$P1382= ""), "", 'Controle de CT'!$R1382-'Controle de CT'!$P1382)</f>
        <v/>
      </c>
      <c r="V1382" s="1"/>
      <c r="W1382" s="2"/>
      <c r="X1382" s="2"/>
    </row>
    <row r="1383" spans="11:24" ht="15" hidden="1" customHeight="1">
      <c r="K1383" s="5">
        <v>46127</v>
      </c>
      <c r="L1383" s="8" t="s">
        <v>105</v>
      </c>
      <c r="M1383" s="9" t="str">
        <f>IF(Tabela1[[#This Row],[Motorista]]="","",IFERROR(_xlfn.XLOOKUP(Tabela1[[#This Row],[Motorista]],Base!A:A,Base!B:B),""))</f>
        <v>Transferência</v>
      </c>
      <c r="N1383" s="20" t="str">
        <f t="shared" si="66"/>
        <v>Aguardando Entrada</v>
      </c>
      <c r="O13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83" s="4">
        <v>0.65277777777777779</v>
      </c>
      <c r="Q1383" s="4"/>
      <c r="R1383" s="23"/>
      <c r="S1383" s="16"/>
      <c r="T1383" s="1"/>
      <c r="U1383" s="15" t="str">
        <f>IF(OR('Controle de CT'!$R1383= "", 'Controle de CT'!$P1383= ""), "", 'Controle de CT'!$R1383-'Controle de CT'!$P1383)</f>
        <v/>
      </c>
      <c r="V1383" s="1"/>
      <c r="W1383" s="2"/>
      <c r="X1383" s="2"/>
    </row>
    <row r="1384" spans="11:24" ht="15" hidden="1" customHeight="1">
      <c r="K1384" s="5">
        <v>46127</v>
      </c>
      <c r="L1384" s="8" t="s">
        <v>89</v>
      </c>
      <c r="M1384" s="9" t="str">
        <f>IF(Tabela1[[#This Row],[Motorista]]="","",IFERROR(_xlfn.XLOOKUP(Tabela1[[#This Row],[Motorista]],Base!A:A,Base!B:B),""))</f>
        <v>FOB</v>
      </c>
      <c r="N1384" s="20" t="str">
        <f t="shared" si="66"/>
        <v>Finalizado</v>
      </c>
      <c r="O13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4" s="4">
        <v>0.70277777777777772</v>
      </c>
      <c r="Q1384" s="4">
        <v>0.73750000000000004</v>
      </c>
      <c r="R1384" s="23">
        <v>0.79166666666666663</v>
      </c>
      <c r="S1384" s="94" t="s">
        <v>254</v>
      </c>
      <c r="T1384" s="14">
        <f>IF(OR(Tabela1[[#This Row],[Entrada]]="",Tabela1[[#This Row],[Saída]]=""), "", Tabela1[[#This Row],[Saída]]-Tabela1[[#This Row],[Entrada]])</f>
        <v>5.4166666666666585E-2</v>
      </c>
      <c r="U1384" s="15">
        <f>IF(OR('Controle de CT'!$R1384= "", 'Controle de CT'!$P1384= ""), "", 'Controle de CT'!$R1384-'Controle de CT'!$P1384)</f>
        <v>8.8888888888888906E-2</v>
      </c>
      <c r="V1384" s="1"/>
      <c r="W1384" s="2"/>
      <c r="X1384" s="2"/>
    </row>
    <row r="1385" spans="11:24" ht="15" hidden="1" customHeight="1">
      <c r="K1385" s="5">
        <v>46128</v>
      </c>
      <c r="L1385" s="8" t="s">
        <v>52</v>
      </c>
      <c r="M1385" s="9" t="str">
        <f>IF(Tabela1[[#This Row],[Motorista]]="","",IFERROR(_xlfn.XLOOKUP(Tabela1[[#This Row],[Motorista]],Base!A:A,Base!B:B),""))</f>
        <v>CIF</v>
      </c>
      <c r="N1385" s="20" t="str">
        <f>IF(R1385&lt;&gt;"","Finalizado", IF(Q1385&lt;&gt;"","Fila de Carregamento", IF(P1385&lt;&gt;"","Aguardando Entrada","")))</f>
        <v>Finalizado</v>
      </c>
      <c r="O13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5" s="4">
        <v>0.25277777777777777</v>
      </c>
      <c r="Q1385" s="4">
        <v>0.27430555555555558</v>
      </c>
      <c r="R1385" s="23">
        <v>0.32500000000000001</v>
      </c>
      <c r="S1385" s="94" t="s">
        <v>254</v>
      </c>
      <c r="T1385" s="14">
        <f>IF(OR(Tabela1[[#This Row],[Entrada]]="",Tabela1[[#This Row],[Saída]]=""), "", Tabela1[[#This Row],[Saída]]-Tabela1[[#This Row],[Entrada]])</f>
        <v>5.0694444444444431E-2</v>
      </c>
      <c r="U1385" s="15">
        <f>IF(OR('Controle de CT'!$R1385= "", 'Controle de CT'!$P1385= ""), "", 'Controle de CT'!$R1385-'Controle de CT'!$P1385)</f>
        <v>7.2222222222222243E-2</v>
      </c>
      <c r="V1385" s="1" t="s">
        <v>376</v>
      </c>
      <c r="W1385" s="2"/>
      <c r="X1385" s="2"/>
    </row>
    <row r="1386" spans="11:24" ht="15" hidden="1" customHeight="1">
      <c r="K1386" s="5">
        <v>46128</v>
      </c>
      <c r="L1386" s="8" t="s">
        <v>58</v>
      </c>
      <c r="M1386" s="9" t="str">
        <f>IF(Tabela1[[#This Row],[Motorista]]="","",IFERROR(_xlfn.XLOOKUP(Tabela1[[#This Row],[Motorista]],Base!A:A,Base!B:B),""))</f>
        <v xml:space="preserve">CIF </v>
      </c>
      <c r="N1386" s="20" t="str">
        <f>IF(R1386&lt;&gt;"","Finalizado", IF(Q1386&lt;&gt;"","Fila de Carregamento", IF(P1386&lt;&gt;"","Aguardando Entrada","")))</f>
        <v>Finalizado</v>
      </c>
      <c r="O13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86" s="4">
        <v>0.25347222222222221</v>
      </c>
      <c r="Q1386" s="4">
        <v>0.28749999999999998</v>
      </c>
      <c r="R1386" s="23">
        <v>0.39305555555555555</v>
      </c>
      <c r="S1386" s="94" t="s">
        <v>254</v>
      </c>
      <c r="T1386" s="1"/>
      <c r="U1386" s="15">
        <f>IF(OR('Controle de CT'!$R1386= "", 'Controle de CT'!$P1386= ""), "", 'Controle de CT'!$R1386-'Controle de CT'!$P1386)</f>
        <v>0.13958333333333334</v>
      </c>
      <c r="V1386" s="1" t="s">
        <v>377</v>
      </c>
      <c r="W1386" s="2"/>
      <c r="X1386" s="2"/>
    </row>
    <row r="1387" spans="11:24" ht="15" hidden="1" customHeight="1">
      <c r="K1387" s="5">
        <v>46128</v>
      </c>
      <c r="L1387" s="8" t="s">
        <v>48</v>
      </c>
      <c r="M1387" s="9" t="str">
        <f>IF(Tabela1[[#This Row],[Motorista]]="","",IFERROR(_xlfn.XLOOKUP(Tabela1[[#This Row],[Motorista]],Base!A:A,Base!B:B),""))</f>
        <v>CIF</v>
      </c>
      <c r="N1387" s="20" t="str">
        <f t="shared" ref="N1387:N1404" si="67">IF(R1387&lt;&gt;"","Finalizado", IF(Q1387&lt;&gt;"","Fila de Carregamento", IF(P1387&lt;&gt;"","Aguardando Entrada","")))</f>
        <v>Finalizado</v>
      </c>
      <c r="O13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7" s="4">
        <v>0.26041666666666669</v>
      </c>
      <c r="Q1387" s="4">
        <v>0.40138888888888891</v>
      </c>
      <c r="R1387" s="23">
        <v>0.44513888888888886</v>
      </c>
      <c r="S1387" s="94" t="s">
        <v>254</v>
      </c>
      <c r="T1387" s="1"/>
      <c r="U1387" s="15">
        <f>IF(OR('Controle de CT'!$R1387= "", 'Controle de CT'!$P1387= ""), "", 'Controle de CT'!$R1387-'Controle de CT'!$P1387)</f>
        <v>0.18472222222222218</v>
      </c>
      <c r="V1387" s="1" t="s">
        <v>378</v>
      </c>
      <c r="W1387" s="2"/>
      <c r="X1387" s="2"/>
    </row>
    <row r="1388" spans="11:24" ht="15" hidden="1" customHeight="1">
      <c r="K1388" s="5">
        <v>46128</v>
      </c>
      <c r="L1388" s="8" t="s">
        <v>46</v>
      </c>
      <c r="M1388" s="9" t="str">
        <f>IF(Tabela1[[#This Row],[Motorista]]="","",IFERROR(_xlfn.XLOOKUP(Tabela1[[#This Row],[Motorista]],Base!A:A,Base!B:B),""))</f>
        <v>CIF</v>
      </c>
      <c r="N1388" s="20" t="str">
        <f>IF(R1388&lt;&gt;"","Finalizado", IF(Q1388&lt;&gt;"","Fila de Carregamento", IF(P1388&lt;&gt;"","Aguardando Entrada","")))</f>
        <v>Finalizado</v>
      </c>
      <c r="O13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88" s="4">
        <v>0.27152777777777776</v>
      </c>
      <c r="Q1388" s="4">
        <v>0.30972222222222223</v>
      </c>
      <c r="R1388" s="23">
        <v>0.36319444444444443</v>
      </c>
      <c r="S1388" s="94" t="s">
        <v>254</v>
      </c>
      <c r="T1388" s="14">
        <f>IF(OR(Tabela1[[#This Row],[Entrada]]="",Tabela1[[#This Row],[Saída]]=""), "", Tabela1[[#This Row],[Saída]]-Tabela1[[#This Row],[Entrada]])</f>
        <v>5.3472222222222199E-2</v>
      </c>
      <c r="U1388" s="15">
        <f>IF(OR('Controle de CT'!$R1388= "", 'Controle de CT'!$P1388= ""), "", 'Controle de CT'!$R1388-'Controle de CT'!$P1388)</f>
        <v>9.1666666666666674E-2</v>
      </c>
      <c r="V1388" s="1" t="s">
        <v>378</v>
      </c>
      <c r="W1388" s="2"/>
      <c r="X1388" s="2"/>
    </row>
    <row r="1389" spans="11:24" ht="15" hidden="1" customHeight="1">
      <c r="K1389" s="5">
        <v>46128</v>
      </c>
      <c r="L1389" s="8" t="s">
        <v>49</v>
      </c>
      <c r="M1389" s="9" t="str">
        <f>IF(Tabela1[[#This Row],[Motorista]]="","",IFERROR(_xlfn.XLOOKUP(Tabela1[[#This Row],[Motorista]],Base!A:A,Base!B:B),""))</f>
        <v>CIF</v>
      </c>
      <c r="N1389" s="20" t="str">
        <f>IF(R1389&lt;&gt;"","Finalizado", IF(Q1389&lt;&gt;"","Fila de Carregamento", IF(P1389&lt;&gt;"","Aguardando Entrada","")))</f>
        <v>Aguardando Entrada</v>
      </c>
      <c r="O13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89" s="4">
        <v>0.30277777777777776</v>
      </c>
      <c r="Q1389" s="4"/>
      <c r="R1389" s="23"/>
      <c r="S1389" s="16"/>
      <c r="T1389" s="14" t="str">
        <f>IF(OR(Tabela1[[#This Row],[Entrada]]="",Tabela1[[#This Row],[Saída]]=""), "", Tabela1[[#This Row],[Saída]]-Tabela1[[#This Row],[Entrada]])</f>
        <v/>
      </c>
      <c r="U1389" s="15" t="str">
        <f>IF(OR('Controle de CT'!$R1389= "", 'Controle de CT'!$P1389= ""), "", 'Controle de CT'!$R1389-'Controle de CT'!$P1389)</f>
        <v/>
      </c>
      <c r="V1389" s="1" t="s">
        <v>379</v>
      </c>
      <c r="W1389" s="2"/>
      <c r="X1389" s="2"/>
    </row>
    <row r="1390" spans="11:24" ht="15" hidden="1" customHeight="1">
      <c r="K1390" s="5">
        <v>46128</v>
      </c>
      <c r="L1390" s="8" t="s">
        <v>116</v>
      </c>
      <c r="M1390" s="9" t="str">
        <f>IF(Tabela1[[#This Row],[Motorista]]="","",IFERROR(_xlfn.XLOOKUP(Tabela1[[#This Row],[Motorista]],Base!A:A,Base!B:B),""))</f>
        <v xml:space="preserve">CIF </v>
      </c>
      <c r="N1390" s="20" t="str">
        <f t="shared" si="67"/>
        <v>Finalizado</v>
      </c>
      <c r="O13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90" s="4">
        <v>0.21527777777777779</v>
      </c>
      <c r="Q1390" s="4">
        <v>0.26458333333333334</v>
      </c>
      <c r="R1390" s="23">
        <v>0.31527777777777777</v>
      </c>
      <c r="S1390" s="94" t="s">
        <v>254</v>
      </c>
      <c r="T1390" s="1"/>
      <c r="U1390" s="15">
        <f>IF(OR('Controle de CT'!$R1390= "", 'Controle de CT'!$P1390= ""), "", 'Controle de CT'!$R1390-'Controle de CT'!$P1390)</f>
        <v>9.9999999999999978E-2</v>
      </c>
      <c r="V1390" s="1"/>
      <c r="W1390" s="2"/>
      <c r="X1390" s="2"/>
    </row>
    <row r="1391" spans="11:24" ht="15" hidden="1" customHeight="1">
      <c r="K1391" s="5">
        <v>46128</v>
      </c>
      <c r="L1391" s="8" t="s">
        <v>101</v>
      </c>
      <c r="M1391" s="9" t="str">
        <f>IF(Tabela1[[#This Row],[Motorista]]="","",IFERROR(_xlfn.XLOOKUP(Tabela1[[#This Row],[Motorista]],Base!A:A,Base!B:B),""))</f>
        <v>FOB</v>
      </c>
      <c r="N1391" s="20" t="str">
        <f t="shared" si="67"/>
        <v>Finalizado</v>
      </c>
      <c r="O13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1" s="4">
        <v>0.22152777777777777</v>
      </c>
      <c r="Q1391" s="4">
        <v>0.29722222222222222</v>
      </c>
      <c r="R1391" s="23">
        <v>0.34166666666666667</v>
      </c>
      <c r="S1391" s="94" t="s">
        <v>254</v>
      </c>
      <c r="T1391" s="1"/>
      <c r="U1391" s="15">
        <f>IF(OR('Controle de CT'!$R1391= "", 'Controle de CT'!$P1391= ""), "", 'Controle de CT'!$R1391-'Controle de CT'!$P1391)</f>
        <v>0.12013888888888891</v>
      </c>
      <c r="V1391" s="1"/>
      <c r="W1391" s="2"/>
      <c r="X1391" s="2"/>
    </row>
    <row r="1392" spans="11:24" ht="15" hidden="1" customHeight="1">
      <c r="K1392" s="5">
        <v>46128</v>
      </c>
      <c r="L1392" t="s">
        <v>278</v>
      </c>
      <c r="M1392" s="24" t="s">
        <v>63</v>
      </c>
      <c r="N1392" s="20" t="str">
        <f>IF(R1392&lt;&gt;"","Finalizado", IF(Q1392&lt;&gt;"","Fila de Carregamento", IF(P1392&lt;&gt;"","Aguardando Entrada","")))</f>
        <v>Finalizado</v>
      </c>
      <c r="O13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2" s="4">
        <v>0.23125000000000001</v>
      </c>
      <c r="Q1392" s="4">
        <v>0.29305555555555557</v>
      </c>
      <c r="R1392" s="23">
        <v>0.35069444444444442</v>
      </c>
      <c r="S1392" s="94" t="s">
        <v>254</v>
      </c>
      <c r="T1392" s="14">
        <f>IF(OR(Tabela1[[#This Row],[Entrada]]="",Tabela1[[#This Row],[Saída]]=""), "", Tabela1[[#This Row],[Saída]]-Tabela1[[#This Row],[Entrada]])</f>
        <v>5.7638888888888851E-2</v>
      </c>
      <c r="U1392" s="15">
        <f>IF(OR('Controle de CT'!$R1392= "", 'Controle de CT'!$P1392= ""), "", 'Controle de CT'!$R1392-'Controle de CT'!$P1392)</f>
        <v>0.11944444444444441</v>
      </c>
      <c r="V1392" s="1"/>
      <c r="W1392" s="2"/>
      <c r="X1392" s="2"/>
    </row>
    <row r="1393" spans="11:24" ht="15" hidden="1" customHeight="1">
      <c r="K1393" s="5">
        <v>46128</v>
      </c>
      <c r="L1393" s="8" t="s">
        <v>45</v>
      </c>
      <c r="M1393" s="9" t="str">
        <f>IF(Tabela1[[#This Row],[Motorista]]="","",IFERROR(_xlfn.XLOOKUP(Tabela1[[#This Row],[Motorista]],Base!A:A,Base!B:B),""))</f>
        <v>CIF</v>
      </c>
      <c r="N1393" s="20" t="str">
        <f t="shared" si="67"/>
        <v>Finalizado</v>
      </c>
      <c r="O13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3" s="4">
        <v>0.23541666666666666</v>
      </c>
      <c r="Q1393" s="4">
        <v>0.27430555555555558</v>
      </c>
      <c r="R1393" s="23">
        <v>0.31874999999999998</v>
      </c>
      <c r="S1393" s="94" t="s">
        <v>254</v>
      </c>
      <c r="T1393" s="1"/>
      <c r="U1393" s="15">
        <f>IF(OR('Controle de CT'!$R1393= "", 'Controle de CT'!$P1393= ""), "", 'Controle de CT'!$R1393-'Controle de CT'!$P1393)</f>
        <v>8.3333333333333315E-2</v>
      </c>
      <c r="V1393" s="1"/>
      <c r="W1393" s="2"/>
      <c r="X1393" s="2"/>
    </row>
    <row r="1394" spans="11:24" ht="15" hidden="1" customHeight="1">
      <c r="K1394" s="5">
        <v>46128</v>
      </c>
      <c r="L1394" s="8" t="s">
        <v>90</v>
      </c>
      <c r="M1394" s="9" t="str">
        <f>IF(Tabela1[[#This Row],[Motorista]]="","",IFERROR(_xlfn.XLOOKUP(Tabela1[[#This Row],[Motorista]],Base!A:A,Base!B:B),""))</f>
        <v>FOB</v>
      </c>
      <c r="N1394" s="20" t="str">
        <f t="shared" si="67"/>
        <v>Finalizado</v>
      </c>
      <c r="O13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94" s="4">
        <v>0.25833333333333336</v>
      </c>
      <c r="Q1394" s="4">
        <v>0.2986111111111111</v>
      </c>
      <c r="R1394" s="23">
        <v>0.35486111111111113</v>
      </c>
      <c r="S1394" s="94" t="s">
        <v>254</v>
      </c>
      <c r="T1394" s="1"/>
      <c r="U1394" s="15">
        <f>IF(OR('Controle de CT'!$R1394= "", 'Controle de CT'!$P1394= ""), "", 'Controle de CT'!$R1394-'Controle de CT'!$P1394)</f>
        <v>9.6527777777777768E-2</v>
      </c>
      <c r="V1394" s="1"/>
      <c r="W1394" s="2"/>
      <c r="X1394" s="2"/>
    </row>
    <row r="1395" spans="11:24" ht="15" hidden="1" customHeight="1">
      <c r="K1395" s="5">
        <v>46128</v>
      </c>
      <c r="L1395" s="8" t="s">
        <v>87</v>
      </c>
      <c r="M1395" s="9" t="str">
        <f>IF(Tabela1[[#This Row],[Motorista]]="","",IFERROR(_xlfn.XLOOKUP(Tabela1[[#This Row],[Motorista]],Base!A:A,Base!B:B),""))</f>
        <v>FOB</v>
      </c>
      <c r="N1395" s="20" t="str">
        <f>IF(R1395&lt;&gt;"","Finalizado", IF(Q1395&lt;&gt;"","Fila de Carregamento", IF(P1395&lt;&gt;"","Aguardando Entrada","")))</f>
        <v>Finalizado</v>
      </c>
      <c r="O13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95" s="4">
        <v>0.29166666666666669</v>
      </c>
      <c r="Q1395" s="4">
        <v>0.3</v>
      </c>
      <c r="R1395" s="23">
        <v>0.39374999999999999</v>
      </c>
      <c r="S1395" s="94" t="s">
        <v>254</v>
      </c>
      <c r="T1395" s="14">
        <f>IF(OR(Tabela1[[#This Row],[Entrada]]="",Tabela1[[#This Row],[Saída]]=""), "", Tabela1[[#This Row],[Saída]]-Tabela1[[#This Row],[Entrada]])</f>
        <v>9.375E-2</v>
      </c>
      <c r="U1395" s="15">
        <f>IF(OR('Controle de CT'!$R1395= "", 'Controle de CT'!$P1395= ""), "", 'Controle de CT'!$R1395-'Controle de CT'!$P1395)</f>
        <v>0.1020833333333333</v>
      </c>
      <c r="V1395" s="1" t="s">
        <v>377</v>
      </c>
      <c r="W1395" s="2"/>
      <c r="X1395" s="2"/>
    </row>
    <row r="1396" spans="11:24" ht="15" hidden="1" customHeight="1">
      <c r="K1396" s="5">
        <v>46128</v>
      </c>
      <c r="L1396" t="s">
        <v>375</v>
      </c>
      <c r="M1396" s="24" t="s">
        <v>63</v>
      </c>
      <c r="N1396" s="20" t="str">
        <f t="shared" si="67"/>
        <v>Finalizado</v>
      </c>
      <c r="O13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6" s="4">
        <v>0.29375000000000001</v>
      </c>
      <c r="Q1396" s="4">
        <v>0.32500000000000001</v>
      </c>
      <c r="R1396" s="23">
        <v>0.40972222222222221</v>
      </c>
      <c r="S1396" s="94" t="s">
        <v>254</v>
      </c>
      <c r="T1396" s="1"/>
      <c r="U1396" s="15">
        <f>IF(OR('Controle de CT'!$R1396= "", 'Controle de CT'!$P1396= ""), "", 'Controle de CT'!$R1396-'Controle de CT'!$P1396)</f>
        <v>0.1159722222222222</v>
      </c>
      <c r="V1396" s="1"/>
      <c r="W1396" s="2"/>
      <c r="X1396" s="2"/>
    </row>
    <row r="1397" spans="11:24" ht="15" hidden="1" customHeight="1">
      <c r="K1397" s="5">
        <v>46128</v>
      </c>
      <c r="L1397" t="s">
        <v>92</v>
      </c>
      <c r="M1397" s="9" t="str">
        <f>IF(Tabela1[[#This Row],[Motorista]]="","",IFERROR(_xlfn.XLOOKUP(Tabela1[[#This Row],[Motorista]],Base!A:A,Base!B:B),""))</f>
        <v>FOB</v>
      </c>
      <c r="N1397" s="20" t="str">
        <f t="shared" si="67"/>
        <v>Finalizado</v>
      </c>
      <c r="O13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397" s="4">
        <v>0.30625000000000002</v>
      </c>
      <c r="Q1397" s="4">
        <v>0.35138888888888886</v>
      </c>
      <c r="R1397" s="23">
        <v>0.40555555555555556</v>
      </c>
      <c r="S1397" s="94" t="s">
        <v>254</v>
      </c>
      <c r="T1397" s="1"/>
      <c r="U1397" s="15">
        <f>IF(OR('Controle de CT'!$R1397= "", 'Controle de CT'!$P1397= ""), "", 'Controle de CT'!$R1397-'Controle de CT'!$P1397)</f>
        <v>9.9305555555555536E-2</v>
      </c>
      <c r="V1397" s="1"/>
      <c r="W1397" s="2"/>
      <c r="X1397" s="2"/>
    </row>
    <row r="1398" spans="11:24" ht="15" hidden="1" customHeight="1">
      <c r="K1398" s="5">
        <v>46128</v>
      </c>
      <c r="L1398" s="8" t="s">
        <v>380</v>
      </c>
      <c r="M1398" s="9" t="s">
        <v>63</v>
      </c>
      <c r="N1398" s="20" t="str">
        <f t="shared" si="67"/>
        <v>Fila de Carregamento</v>
      </c>
      <c r="O13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8" s="4">
        <v>0.31041666666666667</v>
      </c>
      <c r="Q1398" s="4">
        <v>0.43680555555555556</v>
      </c>
      <c r="R1398" s="23"/>
      <c r="S1398" s="94" t="s">
        <v>254</v>
      </c>
      <c r="T1398" s="1"/>
      <c r="U1398" s="15" t="str">
        <f>IF(OR('Controle de CT'!$R1398= "", 'Controle de CT'!$P1398= ""), "", 'Controle de CT'!$R1398-'Controle de CT'!$P1398)</f>
        <v/>
      </c>
      <c r="V1398" s="1" t="s">
        <v>381</v>
      </c>
      <c r="W1398" s="2"/>
      <c r="X1398" s="2"/>
    </row>
    <row r="1399" spans="11:24" ht="15" hidden="1" customHeight="1">
      <c r="K1399" s="5">
        <v>46128</v>
      </c>
      <c r="L1399" s="8" t="s">
        <v>98</v>
      </c>
      <c r="M1399" s="9" t="str">
        <f>IF(Tabela1[[#This Row],[Motorista]]="","",IFERROR(_xlfn.XLOOKUP(Tabela1[[#This Row],[Motorista]],Base!A:A,Base!B:B),""))</f>
        <v>FOB</v>
      </c>
      <c r="N1399" s="20" t="str">
        <f t="shared" si="67"/>
        <v>Finalizado</v>
      </c>
      <c r="O13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399" s="4">
        <v>0.33611111111111114</v>
      </c>
      <c r="Q1399" s="4">
        <v>0.40347222222222223</v>
      </c>
      <c r="R1399" s="23">
        <v>0.46250000000000002</v>
      </c>
      <c r="S1399" s="94" t="s">
        <v>254</v>
      </c>
      <c r="T1399" s="1"/>
      <c r="U1399" s="15">
        <f>IF(OR('Controle de CT'!$R1399= "", 'Controle de CT'!$P1399= ""), "", 'Controle de CT'!$R1399-'Controle de CT'!$P1399)</f>
        <v>0.12638888888888888</v>
      </c>
      <c r="V1399" s="1"/>
      <c r="W1399" s="2"/>
      <c r="X1399" s="2"/>
    </row>
    <row r="1400" spans="11:24" ht="15" hidden="1" customHeight="1">
      <c r="K1400" s="5">
        <v>46128</v>
      </c>
      <c r="L1400" t="s">
        <v>106</v>
      </c>
      <c r="M1400" s="9" t="str">
        <f>IF(Tabela1[[#This Row],[Motorista]]="","",IFERROR(_xlfn.XLOOKUP(Tabela1[[#This Row],[Motorista]],Base!A:A,Base!B:B),""))</f>
        <v>FOB</v>
      </c>
      <c r="N1400" s="20" t="str">
        <f t="shared" si="67"/>
        <v>Fila de Carregamento</v>
      </c>
      <c r="O14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0" s="4"/>
      <c r="Q1400" s="4">
        <v>0.43958333333333333</v>
      </c>
      <c r="R1400" s="23"/>
      <c r="S1400" s="94" t="s">
        <v>254</v>
      </c>
      <c r="T1400" s="1"/>
      <c r="U1400" s="15" t="str">
        <f>IF(OR('Controle de CT'!$R1400= "", 'Controle de CT'!$P1400= ""), "", 'Controle de CT'!$R1400-'Controle de CT'!$P1400)</f>
        <v/>
      </c>
      <c r="V1400" s="1"/>
      <c r="W1400" s="2"/>
      <c r="X1400" s="2"/>
    </row>
    <row r="1401" spans="11:24" ht="15" hidden="1" customHeight="1">
      <c r="K1401" s="5">
        <v>46128</v>
      </c>
      <c r="L1401" t="s">
        <v>292</v>
      </c>
      <c r="M1401" s="24" t="s">
        <v>64</v>
      </c>
      <c r="N1401" s="20" t="str">
        <f t="shared" si="67"/>
        <v>Aguardando Entrada</v>
      </c>
      <c r="O14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1" s="4">
        <v>0.33333333333333331</v>
      </c>
      <c r="Q1401" s="4"/>
      <c r="R1401" s="23"/>
      <c r="S1401" s="94" t="s">
        <v>254</v>
      </c>
      <c r="T1401" s="1"/>
      <c r="U1401" s="15" t="str">
        <f>IF(OR('Controle de CT'!$R1401= "", 'Controle de CT'!$P1401= ""), "", 'Controle de CT'!$R1401-'Controle de CT'!$P1401)</f>
        <v/>
      </c>
      <c r="V1401" s="1"/>
      <c r="W1401" s="2"/>
      <c r="X1401" s="2"/>
    </row>
    <row r="1402" spans="11:24" ht="15" hidden="1" customHeight="1">
      <c r="K1402" s="5">
        <v>46128</v>
      </c>
      <c r="L1402" s="8" t="s">
        <v>122</v>
      </c>
      <c r="M1402" s="9" t="str">
        <f>IF(Tabela1[[#This Row],[Motorista]]="","",IFERROR(_xlfn.XLOOKUP(Tabela1[[#This Row],[Motorista]],Base!A:A,Base!B:B),""))</f>
        <v>FOB</v>
      </c>
      <c r="N1402" s="20" t="str">
        <f t="shared" si="67"/>
        <v>Finalizado</v>
      </c>
      <c r="O14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2" s="4">
        <v>0.40416666666666667</v>
      </c>
      <c r="Q1402" s="4">
        <v>0.4201388888888889</v>
      </c>
      <c r="R1402" s="23">
        <v>0.45833333333333331</v>
      </c>
      <c r="S1402" s="94" t="s">
        <v>254</v>
      </c>
      <c r="T1402" s="1"/>
      <c r="U1402" s="15">
        <f>IF(OR('Controle de CT'!$R1402= "", 'Controle de CT'!$P1402= ""), "", 'Controle de CT'!$R1402-'Controle de CT'!$P1402)</f>
        <v>5.4166666666666641E-2</v>
      </c>
      <c r="V1402" s="1"/>
      <c r="W1402" s="2"/>
      <c r="X1402" s="2"/>
    </row>
    <row r="1403" spans="11:24" ht="15" hidden="1" customHeight="1">
      <c r="K1403" s="5">
        <v>46128</v>
      </c>
      <c r="L1403" s="8" t="s">
        <v>382</v>
      </c>
      <c r="M1403" s="9" t="str">
        <f>IF(Tabela1[[#This Row],[Motorista]]="","",IFERROR(_xlfn.XLOOKUP(Tabela1[[#This Row],[Motorista]],Base!A:A,Base!B:B),""))</f>
        <v>FOB</v>
      </c>
      <c r="N1403" s="20" t="str">
        <f t="shared" si="67"/>
        <v>Fila de Carregamento</v>
      </c>
      <c r="O14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3" s="4">
        <v>0.41180555555555554</v>
      </c>
      <c r="Q1403" s="4">
        <v>0.42777777777777776</v>
      </c>
      <c r="R1403" s="23"/>
      <c r="S1403" s="94" t="s">
        <v>254</v>
      </c>
      <c r="T1403" s="1"/>
      <c r="U1403" s="15" t="str">
        <f>IF(OR('Controle de CT'!$R1403= "", 'Controle de CT'!$P1403= ""), "", 'Controle de CT'!$R1403-'Controle de CT'!$P1403)</f>
        <v/>
      </c>
      <c r="V1403" s="1"/>
      <c r="W1403" s="2"/>
      <c r="X1403" s="2"/>
    </row>
    <row r="1404" spans="11:24" ht="15" hidden="1" customHeight="1">
      <c r="K1404" s="5">
        <v>46128</v>
      </c>
      <c r="L1404" s="8" t="s">
        <v>49</v>
      </c>
      <c r="M1404" s="9" t="str">
        <f>IF(Tabela1[[#This Row],[Motorista]]="","",IFERROR(_xlfn.XLOOKUP(Tabela1[[#This Row],[Motorista]],Base!A:A,Base!B:B),""))</f>
        <v>CIF</v>
      </c>
      <c r="N1404" s="20" t="str">
        <f t="shared" si="67"/>
        <v/>
      </c>
      <c r="O14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04" s="4"/>
      <c r="Q1404" s="4"/>
      <c r="R1404" s="23"/>
      <c r="S1404" s="16"/>
      <c r="T1404" s="1"/>
      <c r="U1404" s="15" t="str">
        <f>IF(OR('Controle de CT'!$R1404= "", 'Controle de CT'!$P1404= ""), "", 'Controle de CT'!$R1404-'Controle de CT'!$P1404)</f>
        <v/>
      </c>
      <c r="V1404" s="1" t="s">
        <v>383</v>
      </c>
      <c r="W1404" s="2"/>
      <c r="X1404" s="2"/>
    </row>
    <row r="1405" spans="11:24" ht="15" hidden="1" customHeight="1">
      <c r="K1405" s="5">
        <v>46128</v>
      </c>
      <c r="L1405" s="8" t="s">
        <v>384</v>
      </c>
      <c r="M1405" s="9">
        <f>IF(Tabela1[[#This Row],[Motorista]]="","",IFERROR(_xlfn.XLOOKUP(Tabela1[[#This Row],[Motorista]],Base!A:A,Base!B:B),""))</f>
        <v>0</v>
      </c>
      <c r="N1405" s="20" t="str">
        <f t="shared" ref="N1405:N1418" si="68">IF(R1405&lt;&gt;"","Finalizado", IF(Q1405&lt;&gt;"","Fila de Carregamento", IF(P1405&lt;&gt;"","Aguardando Entrada","")))</f>
        <v>Aguardando Entrada</v>
      </c>
      <c r="O14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5" s="4">
        <v>0.46875</v>
      </c>
      <c r="Q1405" s="4"/>
      <c r="R1405" s="23"/>
      <c r="S1405" s="16"/>
      <c r="T1405" s="1"/>
      <c r="U1405" s="15" t="str">
        <f>IF(OR('Controle de CT'!$R1405= "", 'Controle de CT'!$P1405= ""), "", 'Controle de CT'!$R1405-'Controle de CT'!$P1405)</f>
        <v/>
      </c>
      <c r="V1405" s="1"/>
      <c r="W1405" s="2"/>
      <c r="X1405" s="2"/>
    </row>
    <row r="1406" spans="11:24" ht="15" hidden="1" customHeight="1">
      <c r="K1406" s="5">
        <v>46128</v>
      </c>
      <c r="L1406" s="8" t="s">
        <v>116</v>
      </c>
      <c r="M1406" s="9" t="str">
        <f>IF(Tabela1[[#This Row],[Motorista]]="","",IFERROR(_xlfn.XLOOKUP(Tabela1[[#This Row],[Motorista]],Base!A:A,Base!B:B),""))</f>
        <v xml:space="preserve">CIF </v>
      </c>
      <c r="N1406" s="20" t="str">
        <f t="shared" si="68"/>
        <v>Finalizado</v>
      </c>
      <c r="O14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06" s="4">
        <v>0.46875</v>
      </c>
      <c r="Q1406" s="4"/>
      <c r="R1406" s="23">
        <v>0.5180555555555556</v>
      </c>
      <c r="S1406" s="16"/>
      <c r="T1406" s="1"/>
      <c r="U1406" s="15">
        <f>IF(OR('Controle de CT'!$R1406= "", 'Controle de CT'!$P1406= ""), "", 'Controle de CT'!$R1406-'Controle de CT'!$P1406)</f>
        <v>4.9305555555555602E-2</v>
      </c>
      <c r="V1406" s="1"/>
      <c r="W1406" s="2"/>
      <c r="X1406" s="2"/>
    </row>
    <row r="1407" spans="11:24" ht="15" hidden="1" customHeight="1">
      <c r="K1407" s="5">
        <v>46128</v>
      </c>
      <c r="L1407" t="s">
        <v>92</v>
      </c>
      <c r="M1407" s="9" t="str">
        <f>IF(Tabela1[[#This Row],[Motorista]]="","",IFERROR(_xlfn.XLOOKUP(Tabela1[[#This Row],[Motorista]],Base!A:A,Base!B:B),""))</f>
        <v>FOB</v>
      </c>
      <c r="N1407" s="20" t="str">
        <f t="shared" si="68"/>
        <v>Finalizado</v>
      </c>
      <c r="O14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07" s="4">
        <v>0.4826388888888889</v>
      </c>
      <c r="Q1407" s="4"/>
      <c r="R1407" s="23">
        <v>0.52777777777777779</v>
      </c>
      <c r="S1407" s="16"/>
      <c r="T1407" s="1"/>
      <c r="U1407" s="15">
        <f>IF(OR('Controle de CT'!$R1407= "", 'Controle de CT'!$P1407= ""), "", 'Controle de CT'!$R1407-'Controle de CT'!$P1407)</f>
        <v>4.5138888888888895E-2</v>
      </c>
      <c r="V1407" s="1"/>
      <c r="W1407" s="2"/>
      <c r="X1407" s="2"/>
    </row>
    <row r="1408" spans="11:24" ht="15" hidden="1" customHeight="1">
      <c r="K1408" s="5">
        <v>46128</v>
      </c>
      <c r="L1408" s="8" t="s">
        <v>385</v>
      </c>
      <c r="M1408" s="9" t="str">
        <f>IF(Tabela1[[#This Row],[Motorista]]="","",IFERROR(_xlfn.XLOOKUP(Tabela1[[#This Row],[Motorista]],Base!A:A,Base!B:B),""))</f>
        <v/>
      </c>
      <c r="N1408" s="20" t="str">
        <f t="shared" si="68"/>
        <v>Aguardando Entrada</v>
      </c>
      <c r="O14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08" s="4">
        <v>0.45833333333333331</v>
      </c>
      <c r="Q1408" s="4"/>
      <c r="R1408" s="23"/>
      <c r="S1408" s="16"/>
      <c r="T1408" s="1"/>
      <c r="U1408" s="15" t="str">
        <f>IF(OR('Controle de CT'!$R1408= "", 'Controle de CT'!$P1408= ""), "", 'Controle de CT'!$R1408-'Controle de CT'!$P1408)</f>
        <v/>
      </c>
      <c r="V1408" s="1" t="s">
        <v>386</v>
      </c>
      <c r="W1408" s="2"/>
      <c r="X1408" s="2"/>
    </row>
    <row r="1409" spans="11:24" ht="15" hidden="1" customHeight="1">
      <c r="K1409" s="5">
        <v>46128</v>
      </c>
      <c r="L1409" s="8" t="s">
        <v>58</v>
      </c>
      <c r="M1409" s="9" t="str">
        <f>IF(Tabela1[[#This Row],[Motorista]]="","",IFERROR(_xlfn.XLOOKUP(Tabela1[[#This Row],[Motorista]],Base!A:A,Base!B:B),""))</f>
        <v xml:space="preserve">CIF </v>
      </c>
      <c r="N1409" s="20" t="str">
        <f t="shared" si="68"/>
        <v>Finalizado</v>
      </c>
      <c r="O14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09" s="4">
        <v>0.47152777777777777</v>
      </c>
      <c r="Q1409" s="4">
        <v>0.54027777777777775</v>
      </c>
      <c r="R1409" s="23">
        <v>0.58680555555555558</v>
      </c>
      <c r="S1409" s="16"/>
      <c r="T1409" s="1"/>
      <c r="U1409" s="15">
        <f>IF(OR('Controle de CT'!$R1409= "", 'Controle de CT'!$P1409= ""), "", 'Controle de CT'!$R1409-'Controle de CT'!$P1409)</f>
        <v>0.11527777777777781</v>
      </c>
      <c r="V1409" s="1"/>
      <c r="W1409" s="2"/>
      <c r="X1409" s="2"/>
    </row>
    <row r="1410" spans="11:24" ht="15" hidden="1" customHeight="1">
      <c r="K1410" s="5">
        <v>46128</v>
      </c>
      <c r="L1410" s="8" t="s">
        <v>90</v>
      </c>
      <c r="M1410" s="9" t="str">
        <f>IF(Tabela1[[#This Row],[Motorista]]="","",IFERROR(_xlfn.XLOOKUP(Tabela1[[#This Row],[Motorista]],Base!A:A,Base!B:B),""))</f>
        <v>FOB</v>
      </c>
      <c r="N1410" s="20" t="str">
        <f t="shared" si="68"/>
        <v>Fila de Carregamento</v>
      </c>
      <c r="O14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10" s="4">
        <v>0.49444444444444446</v>
      </c>
      <c r="Q1410" s="4">
        <v>0.58194444444444449</v>
      </c>
      <c r="R1410" s="23"/>
      <c r="S1410" s="16"/>
      <c r="T1410" s="1"/>
      <c r="U1410" s="15" t="str">
        <f>IF(OR('Controle de CT'!$R1410= "", 'Controle de CT'!$P1410= ""), "", 'Controle de CT'!$R1410-'Controle de CT'!$P1410)</f>
        <v/>
      </c>
      <c r="V1410" s="1"/>
      <c r="W1410" s="2"/>
      <c r="X1410" s="2"/>
    </row>
    <row r="1411" spans="11:24" ht="15" hidden="1" customHeight="1">
      <c r="K1411" s="5">
        <v>46128</v>
      </c>
      <c r="L1411" s="8" t="s">
        <v>102</v>
      </c>
      <c r="M1411" s="9" t="str">
        <f>IF(Tabela1[[#This Row],[Motorista]]="","",IFERROR(_xlfn.XLOOKUP(Tabela1[[#This Row],[Motorista]],Base!A:A,Base!B:B),""))</f>
        <v>Transferência</v>
      </c>
      <c r="N1411" s="20" t="str">
        <f t="shared" si="68"/>
        <v>Aguardando Entrada</v>
      </c>
      <c r="O14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1" s="4">
        <v>0.51458333333333328</v>
      </c>
      <c r="Q1411" s="4"/>
      <c r="R1411" s="23"/>
      <c r="S1411" s="16"/>
      <c r="T1411" s="1"/>
      <c r="U1411" s="15" t="str">
        <f>IF(OR('Controle de CT'!$R1411= "", 'Controle de CT'!$P1411= ""), "", 'Controle de CT'!$R1411-'Controle de CT'!$P1411)</f>
        <v/>
      </c>
      <c r="V1411" s="1"/>
      <c r="W1411" s="2"/>
      <c r="X1411" s="2"/>
    </row>
    <row r="1412" spans="11:24" ht="15" hidden="1" customHeight="1">
      <c r="K1412" s="5">
        <v>46128</v>
      </c>
      <c r="L1412" s="8" t="s">
        <v>135</v>
      </c>
      <c r="M1412" s="9" t="str">
        <f>IF(Tabela1[[#This Row],[Motorista]]="","",IFERROR(_xlfn.XLOOKUP(Tabela1[[#This Row],[Motorista]],Base!A:A,Base!B:B),""))</f>
        <v>Transferência</v>
      </c>
      <c r="N1412" s="20" t="str">
        <f t="shared" si="68"/>
        <v>Fila de Carregamento</v>
      </c>
      <c r="O14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2" s="4">
        <v>0.61388888888888893</v>
      </c>
      <c r="Q1412" s="4">
        <v>0.625</v>
      </c>
      <c r="R1412" s="23"/>
      <c r="S1412" s="16"/>
      <c r="T1412" s="1"/>
      <c r="U1412" s="15" t="str">
        <f>IF(OR('Controle de CT'!$R1412= "", 'Controle de CT'!$P1412= ""), "", 'Controle de CT'!$R1412-'Controle de CT'!$P1412)</f>
        <v/>
      </c>
      <c r="V1412" s="1" t="s">
        <v>250</v>
      </c>
      <c r="W1412" s="2"/>
      <c r="X1412" s="2"/>
    </row>
    <row r="1413" spans="11:24" ht="15" hidden="1" customHeight="1">
      <c r="K1413" s="5">
        <v>46128</v>
      </c>
      <c r="L1413" s="8" t="s">
        <v>87</v>
      </c>
      <c r="M1413" s="9" t="str">
        <f>IF(Tabela1[[#This Row],[Motorista]]="","",IFERROR(_xlfn.XLOOKUP(Tabela1[[#This Row],[Motorista]],Base!A:A,Base!B:B),""))</f>
        <v>FOB</v>
      </c>
      <c r="N1413" s="20" t="str">
        <f t="shared" si="68"/>
        <v>Aguardando Entrada</v>
      </c>
      <c r="O14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13" s="4">
        <v>0.62361111111111112</v>
      </c>
      <c r="Q1413" s="4"/>
      <c r="R1413" s="23"/>
      <c r="S1413" s="16"/>
      <c r="T1413" s="1"/>
      <c r="U1413" s="15" t="str">
        <f>IF(OR('Controle de CT'!$R1413= "", 'Controle de CT'!$P1413= ""), "", 'Controle de CT'!$R1413-'Controle de CT'!$P1413)</f>
        <v/>
      </c>
      <c r="V1413" s="1"/>
      <c r="W1413" s="2"/>
      <c r="X1413" s="2"/>
    </row>
    <row r="1414" spans="11:24" ht="15" hidden="1" customHeight="1">
      <c r="K1414" s="5">
        <v>46128</v>
      </c>
      <c r="L1414" s="8" t="s">
        <v>111</v>
      </c>
      <c r="M1414" s="9" t="str">
        <f>IF(Tabela1[[#This Row],[Motorista]]="","",IFERROR(_xlfn.XLOOKUP(Tabela1[[#This Row],[Motorista]],Base!A:A,Base!B:B),""))</f>
        <v>FOB</v>
      </c>
      <c r="N1414" s="20" t="str">
        <f t="shared" si="68"/>
        <v>Fila de Carregamento</v>
      </c>
      <c r="O14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4" s="4">
        <v>0.62638888888888888</v>
      </c>
      <c r="Q1414" s="4">
        <v>0.68680555555555556</v>
      </c>
      <c r="R1414" s="23"/>
      <c r="S1414" s="16"/>
      <c r="T1414" s="1"/>
      <c r="U1414" s="15" t="str">
        <f>IF(OR('Controle de CT'!$R1414= "", 'Controle de CT'!$P1414= ""), "", 'Controle de CT'!$R1414-'Controle de CT'!$P1414)</f>
        <v/>
      </c>
      <c r="V1414" s="1" t="s">
        <v>226</v>
      </c>
      <c r="W1414" s="2"/>
      <c r="X1414" s="2"/>
    </row>
    <row r="1415" spans="11:24" ht="15" hidden="1" customHeight="1">
      <c r="K1415" s="5">
        <v>46128</v>
      </c>
      <c r="L1415" s="8" t="s">
        <v>112</v>
      </c>
      <c r="M1415" s="9" t="str">
        <f>IF(Tabela1[[#This Row],[Motorista]]="","",IFERROR(_xlfn.XLOOKUP(Tabela1[[#This Row],[Motorista]],Base!A:A,Base!B:B),""))</f>
        <v>FOB</v>
      </c>
      <c r="N1415" s="20" t="str">
        <f t="shared" si="68"/>
        <v>Fila de Carregamento</v>
      </c>
      <c r="O14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5" s="4">
        <v>0.62430555555555556</v>
      </c>
      <c r="Q1415" s="4">
        <v>0.66111111111111109</v>
      </c>
      <c r="R1415" s="23"/>
      <c r="S1415" s="16"/>
      <c r="T1415" s="14" t="str">
        <f>IF(OR(Tabela1[[#This Row],[Entrada]]="",Tabela1[[#This Row],[Saída]]=""), "", Tabela1[[#This Row],[Saída]]-Tabela1[[#This Row],[Entrada]])</f>
        <v/>
      </c>
      <c r="U1415" s="15" t="str">
        <f>IF(OR('Controle de CT'!$R1415= "", 'Controle de CT'!$P1415= ""), "", 'Controle de CT'!$R1415-'Controle de CT'!$P1415)</f>
        <v/>
      </c>
      <c r="V1415" s="1" t="s">
        <v>226</v>
      </c>
      <c r="W1415" s="2"/>
      <c r="X1415" s="2"/>
    </row>
    <row r="1416" spans="11:24" ht="15" hidden="1" customHeight="1">
      <c r="K1416" s="5">
        <v>46128</v>
      </c>
      <c r="L1416" s="8" t="s">
        <v>127</v>
      </c>
      <c r="M1416" s="9" t="str">
        <f>IF(Tabela1[[#This Row],[Motorista]]="","",IFERROR(_xlfn.XLOOKUP(Tabela1[[#This Row],[Motorista]],Base!A:A,Base!B:B),""))</f>
        <v>Transferência</v>
      </c>
      <c r="N1416" s="20" t="str">
        <f t="shared" si="68"/>
        <v>Aguardando Entrada</v>
      </c>
      <c r="O14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6" s="4">
        <v>0.64027777777777772</v>
      </c>
      <c r="Q1416" s="4"/>
      <c r="R1416" s="23"/>
      <c r="S1416" s="16"/>
      <c r="T1416" s="14" t="str">
        <f>IF(OR(Tabela1[[#This Row],[Entrada]]="",Tabela1[[#This Row],[Saída]]=""), "", Tabela1[[#This Row],[Saída]]-Tabela1[[#This Row],[Entrada]])</f>
        <v/>
      </c>
      <c r="U1416" s="15" t="str">
        <f>IF(OR('Controle de CT'!$R1416= "", 'Controle de CT'!$P1416= ""), "", 'Controle de CT'!$R1416-'Controle de CT'!$P1416)</f>
        <v/>
      </c>
      <c r="V1416" s="1"/>
      <c r="W1416" s="2"/>
      <c r="X1416" s="2"/>
    </row>
    <row r="1417" spans="11:24" ht="15" hidden="1" customHeight="1">
      <c r="K1417" s="5">
        <v>46128</v>
      </c>
      <c r="L1417" s="8" t="s">
        <v>183</v>
      </c>
      <c r="M1417" s="9" t="str">
        <f>IF(Tabela1[[#This Row],[Motorista]]="","",IFERROR(_xlfn.XLOOKUP(Tabela1[[#This Row],[Motorista]],Base!A:A,Base!B:B),""))</f>
        <v>FOB</v>
      </c>
      <c r="N1417" s="20" t="str">
        <f t="shared" si="68"/>
        <v>Fila de Carregamento</v>
      </c>
      <c r="O14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17" s="2">
        <v>0.83263888888888893</v>
      </c>
      <c r="Q1417" s="2">
        <v>0.84027777777777779</v>
      </c>
      <c r="R1417" s="16"/>
      <c r="S1417" s="16"/>
      <c r="T1417" s="14" t="str">
        <f>IF(OR(Tabela1[[#This Row],[Entrada]]="",Tabela1[[#This Row],[Saída]]=""), "", Tabela1[[#This Row],[Saída]]-Tabela1[[#This Row],[Entrada]])</f>
        <v/>
      </c>
      <c r="U1417" s="15" t="str">
        <f>IF(OR('Controle de CT'!$R1417= "", 'Controle de CT'!$P1417= ""), "", 'Controle de CT'!$R1417-'Controle de CT'!$P1417)</f>
        <v/>
      </c>
      <c r="V1417" s="1" t="s">
        <v>387</v>
      </c>
      <c r="W1417" s="2"/>
      <c r="X1417" s="2"/>
    </row>
    <row r="1418" spans="11:24" ht="15" hidden="1" customHeight="1">
      <c r="K1418" s="5">
        <v>46129</v>
      </c>
      <c r="L1418" s="8" t="s">
        <v>116</v>
      </c>
      <c r="M1418" s="9" t="str">
        <f>IF(Tabela1[[#This Row],[Motorista]]="","",IFERROR(_xlfn.XLOOKUP(Tabela1[[#This Row],[Motorista]],Base!A:A,Base!B:B),""))</f>
        <v xml:space="preserve">CIF </v>
      </c>
      <c r="N1418" s="20" t="str">
        <f t="shared" si="68"/>
        <v>Finalizado</v>
      </c>
      <c r="O14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18" s="2">
        <v>0.21805555555555556</v>
      </c>
      <c r="Q1418" s="2">
        <v>0.27708333333333335</v>
      </c>
      <c r="R1418" s="16">
        <v>0.32013888888888886</v>
      </c>
      <c r="S1418" s="94" t="s">
        <v>254</v>
      </c>
      <c r="T1418" s="14">
        <f>IF(OR(Tabela1[[#This Row],[Entrada]]="",Tabela1[[#This Row],[Saída]]=""), "", Tabela1[[#This Row],[Saída]]-Tabela1[[#This Row],[Entrada]])</f>
        <v>4.3055555555555514E-2</v>
      </c>
      <c r="U1418" s="15">
        <f>IF(OR('Controle de CT'!$R1418= "", 'Controle de CT'!$P1418= ""), "", 'Controle de CT'!$R1418-'Controle de CT'!$P1418)</f>
        <v>0.1020833333333333</v>
      </c>
      <c r="V1418" s="1"/>
      <c r="W1418" s="2"/>
      <c r="X1418" s="2"/>
    </row>
    <row r="1419" spans="11:24" ht="15" hidden="1" customHeight="1">
      <c r="K1419" s="5">
        <v>46129</v>
      </c>
      <c r="L1419" s="8" t="s">
        <v>52</v>
      </c>
      <c r="M1419" s="9" t="str">
        <f>IF(Tabela1[[#This Row],[Motorista]]="","",IFERROR(_xlfn.XLOOKUP(Tabela1[[#This Row],[Motorista]],Base!A:A,Base!B:B),""))</f>
        <v>CIF</v>
      </c>
      <c r="N1419" s="20" t="str">
        <f>IF(R1419&lt;&gt;"","Finalizado", IF(Q1419&lt;&gt;"","Fila de Carregamento", IF(P1419&lt;&gt;"","Aguardando Entrada","")))</f>
        <v>Finalizado</v>
      </c>
      <c r="O14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19" s="4">
        <v>0.25138888888888888</v>
      </c>
      <c r="Q1419" s="4">
        <v>0.27152777777777776</v>
      </c>
      <c r="R1419" s="23">
        <v>0.30416666666666664</v>
      </c>
      <c r="S1419" s="94" t="s">
        <v>254</v>
      </c>
      <c r="T1419" s="15">
        <f>IF(OR('Controle de CT'!$R1419= "", 'Controle de CT'!$P1419= ""), "", 'Controle de CT'!$R1419-'Controle de CT'!$P1419)</f>
        <v>5.2777777777777757E-2</v>
      </c>
      <c r="U1419" s="1"/>
      <c r="V1419" s="1"/>
      <c r="W1419" s="2"/>
      <c r="X1419" s="2"/>
    </row>
    <row r="1420" spans="11:24" ht="15" hidden="1" customHeight="1">
      <c r="K1420" s="5">
        <v>46129</v>
      </c>
      <c r="L1420" s="8" t="s">
        <v>48</v>
      </c>
      <c r="M1420" s="9" t="str">
        <f>IF(Tabela1[[#This Row],[Motorista]]="","",IFERROR(_xlfn.XLOOKUP(Tabela1[[#This Row],[Motorista]],Base!A:A,Base!B:B),""))</f>
        <v>CIF</v>
      </c>
      <c r="N1420" s="20" t="str">
        <f>IF(R1420&lt;&gt;"","Finalizado", IF(Q1420&lt;&gt;"","Fila de Carregamento", IF(P1420&lt;&gt;"","Aguardando Entrada","")))</f>
        <v>Finalizado</v>
      </c>
      <c r="O14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0" s="4">
        <v>0.2590277777777778</v>
      </c>
      <c r="Q1420" s="4">
        <v>0.28055555555555556</v>
      </c>
      <c r="R1420" s="23">
        <v>0.28055555555555556</v>
      </c>
      <c r="S1420" s="94" t="s">
        <v>254</v>
      </c>
      <c r="T1420" s="15">
        <f>IF(OR('Controle de CT'!$R1420= "", 'Controle de CT'!$P1420= ""), "", 'Controle de CT'!$R1420-'Controle de CT'!$P1420)</f>
        <v>2.1527777777777757E-2</v>
      </c>
      <c r="U1420" s="1"/>
      <c r="V1420" s="1"/>
      <c r="W1420" s="2"/>
      <c r="X1420" s="2"/>
    </row>
    <row r="1421" spans="11:24" ht="15" hidden="1" customHeight="1">
      <c r="K1421" s="5">
        <v>46129</v>
      </c>
      <c r="L1421" s="8" t="s">
        <v>58</v>
      </c>
      <c r="M1421" s="9" t="str">
        <f>IF(Tabela1[[#This Row],[Motorista]]="","",IFERROR(_xlfn.XLOOKUP(Tabela1[[#This Row],[Motorista]],Base!A:A,Base!B:B),""))</f>
        <v xml:space="preserve">CIF </v>
      </c>
      <c r="N1421" s="20" t="str">
        <f t="shared" ref="N1421:N1431" si="69">IF(R1421&lt;&gt;"","Finalizado", IF(Q1421&lt;&gt;"","Fila de Carregamento", IF(P1421&lt;&gt;"","Aguardando Entrada","")))</f>
        <v>Finalizado</v>
      </c>
      <c r="O14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21" s="4">
        <v>0.27430555555555558</v>
      </c>
      <c r="Q1421" s="4">
        <v>0.29097222222222224</v>
      </c>
      <c r="R1421" s="23">
        <v>0.3298611111111111</v>
      </c>
      <c r="S1421" s="94" t="s">
        <v>254</v>
      </c>
      <c r="T1421" s="15">
        <f>IF(OR('Controle de CT'!$R1421= "", 'Controle de CT'!$P1421= ""), "", 'Controle de CT'!$R1421-'Controle de CT'!$P1421)</f>
        <v>5.5555555555555525E-2</v>
      </c>
      <c r="U1421" s="1"/>
      <c r="V1421" s="1"/>
      <c r="W1421" s="2"/>
      <c r="X1421" s="2"/>
    </row>
    <row r="1422" spans="11:24" ht="15" hidden="1" customHeight="1">
      <c r="K1422" s="5">
        <v>46129</v>
      </c>
      <c r="L1422" s="8" t="s">
        <v>46</v>
      </c>
      <c r="M1422" s="9" t="str">
        <f>IF(Tabela1[[#This Row],[Motorista]]="","",IFERROR(_xlfn.XLOOKUP(Tabela1[[#This Row],[Motorista]],Base!A:A,Base!B:B),""))</f>
        <v>CIF</v>
      </c>
      <c r="N1422" s="20" t="str">
        <f t="shared" si="69"/>
        <v>Finalizado</v>
      </c>
      <c r="O14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22" s="4">
        <v>0.27569444444444446</v>
      </c>
      <c r="Q1422" s="4">
        <v>0.30277777777777776</v>
      </c>
      <c r="R1422" s="23">
        <v>0.37916666666666665</v>
      </c>
      <c r="S1422" s="94" t="s">
        <v>254</v>
      </c>
      <c r="T1422" s="15">
        <f>IF(OR('Controle de CT'!$R1422= "", 'Controle de CT'!$P1422= ""), "", 'Controle de CT'!$R1422-'Controle de CT'!$P1422)</f>
        <v>0.10347222222222219</v>
      </c>
      <c r="U1422" s="1"/>
      <c r="V1422" s="1"/>
      <c r="W1422" s="2"/>
      <c r="X1422" s="2"/>
    </row>
    <row r="1423" spans="11:24" ht="15" hidden="1" customHeight="1">
      <c r="K1423" s="5">
        <v>46129</v>
      </c>
      <c r="L1423" s="8" t="s">
        <v>87</v>
      </c>
      <c r="M1423" s="9" t="str">
        <f>IF(Tabela1[[#This Row],[Motorista]]="","",IFERROR(_xlfn.XLOOKUP(Tabela1[[#This Row],[Motorista]],Base!A:A,Base!B:B),""))</f>
        <v>FOB</v>
      </c>
      <c r="N1423" s="20" t="str">
        <f t="shared" si="69"/>
        <v>Finalizado</v>
      </c>
      <c r="O14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3" s="4">
        <v>0.31111111111111112</v>
      </c>
      <c r="Q1423" s="4">
        <v>0.33333333333333331</v>
      </c>
      <c r="R1423" s="23">
        <v>0.41736111111111113</v>
      </c>
      <c r="S1423" s="94" t="s">
        <v>254</v>
      </c>
      <c r="T1423" s="15">
        <f>IF(OR('Controle de CT'!$R1423= "", 'Controle de CT'!$P1423= ""), "", 'Controle de CT'!$R1423-'Controle de CT'!$P1423)</f>
        <v>0.10625000000000001</v>
      </c>
      <c r="U1423" s="1"/>
      <c r="V1423" s="1" t="s">
        <v>388</v>
      </c>
      <c r="W1423" s="2"/>
      <c r="X1423" s="2"/>
    </row>
    <row r="1424" spans="11:24" ht="15" hidden="1" customHeight="1">
      <c r="K1424" s="5">
        <v>46129</v>
      </c>
      <c r="L1424" t="s">
        <v>375</v>
      </c>
      <c r="M1424" s="24" t="s">
        <v>63</v>
      </c>
      <c r="N1424" s="20" t="str">
        <f t="shared" si="69"/>
        <v>Finalizado</v>
      </c>
      <c r="O14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4" s="4">
        <v>0.32430555555555557</v>
      </c>
      <c r="Q1424" s="4">
        <v>0.36944444444444446</v>
      </c>
      <c r="R1424" s="23">
        <v>0.43472222222222223</v>
      </c>
      <c r="S1424" s="94" t="s">
        <v>254</v>
      </c>
      <c r="T1424" s="15">
        <f>IF(OR('Controle de CT'!$R1424= "", 'Controle de CT'!$P1424= ""), "", 'Controle de CT'!$R1424-'Controle de CT'!$P1424)</f>
        <v>0.11041666666666666</v>
      </c>
      <c r="U1424" s="1"/>
      <c r="V1424" s="1"/>
      <c r="W1424" s="2"/>
      <c r="X1424" s="2"/>
    </row>
    <row r="1425" spans="11:24" ht="15" hidden="1" customHeight="1">
      <c r="K1425" s="5">
        <v>46129</v>
      </c>
      <c r="L1425" t="s">
        <v>92</v>
      </c>
      <c r="M1425" s="24" t="s">
        <v>63</v>
      </c>
      <c r="N1425" s="20" t="str">
        <f t="shared" si="69"/>
        <v>Finalizado</v>
      </c>
      <c r="O14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5" s="4">
        <v>0.32430555555555557</v>
      </c>
      <c r="Q1425" s="4">
        <v>0.34583333333333333</v>
      </c>
      <c r="R1425" s="4">
        <v>0.34583333333333333</v>
      </c>
      <c r="S1425" s="94" t="s">
        <v>254</v>
      </c>
      <c r="T1425" s="15">
        <f>IF(OR('Controle de CT'!$R1425= "", 'Controle de CT'!$P1425= ""), "", 'Controle de CT'!$R1425-'Controle de CT'!$P1425)</f>
        <v>2.1527777777777757E-2</v>
      </c>
      <c r="U1425" s="1"/>
      <c r="V1425" s="1" t="s">
        <v>226</v>
      </c>
      <c r="W1425" s="2"/>
      <c r="X1425" s="2"/>
    </row>
    <row r="1426" spans="11:24" ht="15" hidden="1" customHeight="1">
      <c r="K1426" s="5">
        <v>46129</v>
      </c>
      <c r="L1426" t="s">
        <v>106</v>
      </c>
      <c r="M1426" s="24" t="s">
        <v>63</v>
      </c>
      <c r="N1426" s="20" t="str">
        <f t="shared" si="69"/>
        <v/>
      </c>
      <c r="O14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6" s="4"/>
      <c r="Q1426" s="4"/>
      <c r="R1426" s="23"/>
      <c r="S1426" s="16"/>
      <c r="T1426" s="15" t="str">
        <f>IF(OR('Controle de CT'!$R1426= "", 'Controle de CT'!$P1426= ""), "", 'Controle de CT'!$R1426-'Controle de CT'!$P1426)</f>
        <v/>
      </c>
      <c r="U1426" s="1"/>
      <c r="V1426" s="1" t="s">
        <v>364</v>
      </c>
      <c r="W1426" s="2"/>
      <c r="X1426" s="2"/>
    </row>
    <row r="1427" spans="11:24" ht="15" hidden="1" customHeight="1">
      <c r="K1427" s="5">
        <v>46129</v>
      </c>
      <c r="L1427" s="8" t="s">
        <v>90</v>
      </c>
      <c r="M1427" s="9" t="str">
        <f>IF(Tabela1[[#This Row],[Motorista]]="","",IFERROR(_xlfn.XLOOKUP(Tabela1[[#This Row],[Motorista]],Base!A:A,Base!B:B),""))</f>
        <v>FOB</v>
      </c>
      <c r="N1427" s="20" t="str">
        <f t="shared" si="69"/>
        <v>Finalizado</v>
      </c>
      <c r="O14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27" s="4">
        <v>0.34583333333333333</v>
      </c>
      <c r="Q1427" s="4">
        <v>0.37986111111111109</v>
      </c>
      <c r="R1427" s="23">
        <v>0.43958333333333333</v>
      </c>
      <c r="S1427" s="94" t="s">
        <v>254</v>
      </c>
      <c r="T1427" s="15">
        <f>IF(OR('Controle de CT'!$R1427= "", 'Controle de CT'!$P1427= ""), "", 'Controle de CT'!$R1427-'Controle de CT'!$P1427)</f>
        <v>9.375E-2</v>
      </c>
      <c r="U1427" s="1"/>
      <c r="V1427" s="1"/>
      <c r="W1427" s="2"/>
      <c r="X1427" s="2"/>
    </row>
    <row r="1428" spans="11:24" ht="15" hidden="1" customHeight="1">
      <c r="K1428" s="5">
        <v>46129</v>
      </c>
      <c r="L1428" t="s">
        <v>389</v>
      </c>
      <c r="M1428" s="24" t="s">
        <v>63</v>
      </c>
      <c r="N1428" s="20" t="str">
        <f t="shared" si="69"/>
        <v>Finalizado</v>
      </c>
      <c r="O14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28" s="4">
        <v>0.34583333333333333</v>
      </c>
      <c r="Q1428" s="4">
        <v>0.4201388888888889</v>
      </c>
      <c r="R1428" s="4">
        <v>0.4201388888888889</v>
      </c>
      <c r="S1428" s="94" t="s">
        <v>254</v>
      </c>
      <c r="T1428" s="15">
        <f>IF(OR('Controle de CT'!$R1428= "", 'Controle de CT'!$P1428= ""), "", 'Controle de CT'!$R1428-'Controle de CT'!$P1428)</f>
        <v>7.4305555555555569E-2</v>
      </c>
      <c r="U1428" s="1"/>
      <c r="V1428" s="1" t="s">
        <v>226</v>
      </c>
      <c r="W1428" s="2"/>
      <c r="X1428" s="2"/>
    </row>
    <row r="1429" spans="11:24" ht="15" hidden="1" customHeight="1">
      <c r="K1429" s="5">
        <v>46129</v>
      </c>
      <c r="L1429" s="8" t="s">
        <v>45</v>
      </c>
      <c r="M1429" s="9" t="str">
        <f>IF(Tabela1[[#This Row],[Motorista]]="","",IFERROR(_xlfn.XLOOKUP(Tabela1[[#This Row],[Motorista]],Base!A:A,Base!B:B),""))</f>
        <v>CIF</v>
      </c>
      <c r="N1429" s="20" t="str">
        <f t="shared" si="69"/>
        <v>Finalizado</v>
      </c>
      <c r="O14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29" s="4">
        <v>0.35347222222222224</v>
      </c>
      <c r="Q1429" s="4">
        <v>0.36180555555555555</v>
      </c>
      <c r="R1429" s="23">
        <v>0.3972222222222222</v>
      </c>
      <c r="S1429" s="94" t="s">
        <v>254</v>
      </c>
      <c r="T1429" s="15">
        <f>IF(OR('Controle de CT'!$R1429= "", 'Controle de CT'!$P1429= ""), "", 'Controle de CT'!$R1429-'Controle de CT'!$P1429)</f>
        <v>4.3749999999999956E-2</v>
      </c>
      <c r="U1429" s="1"/>
      <c r="V1429" s="1"/>
      <c r="W1429" s="2"/>
      <c r="X1429" s="2"/>
    </row>
    <row r="1430" spans="11:24" ht="15" hidden="1" customHeight="1">
      <c r="K1430" s="5">
        <v>46129</v>
      </c>
      <c r="L1430" s="8" t="s">
        <v>89</v>
      </c>
      <c r="M1430" s="9" t="str">
        <f>IF(Tabela1[[#This Row],[Motorista]]="","",IFERROR(_xlfn.XLOOKUP(Tabela1[[#This Row],[Motorista]],Base!A:A,Base!B:B),""))</f>
        <v>FOB</v>
      </c>
      <c r="N1430" s="20" t="str">
        <f t="shared" si="69"/>
        <v>Finalizado</v>
      </c>
      <c r="O14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30" s="4">
        <v>0.36458333333333331</v>
      </c>
      <c r="Q1430" s="4">
        <v>0.44236111111111109</v>
      </c>
      <c r="R1430" s="23">
        <v>0.49722222222222223</v>
      </c>
      <c r="S1430" s="94" t="s">
        <v>254</v>
      </c>
      <c r="T1430" s="15">
        <f>IF(OR('Controle de CT'!$R1430= "", 'Controle de CT'!$P1430= ""), "", 'Controle de CT'!$R1430-'Controle de CT'!$P1430)</f>
        <v>0.13263888888888892</v>
      </c>
      <c r="U1430" s="1"/>
      <c r="V1430" s="1" t="s">
        <v>390</v>
      </c>
      <c r="W1430" s="2"/>
      <c r="X1430" s="2"/>
    </row>
    <row r="1431" spans="11:24" ht="15" hidden="1" customHeight="1">
      <c r="K1431" s="5">
        <v>46129</v>
      </c>
      <c r="L1431" s="8" t="s">
        <v>116</v>
      </c>
      <c r="M1431" s="9" t="str">
        <f>IF(Tabela1[[#This Row],[Motorista]]="","",IFERROR(_xlfn.XLOOKUP(Tabela1[[#This Row],[Motorista]],Base!A:A,Base!B:B),""))</f>
        <v xml:space="preserve">CIF </v>
      </c>
      <c r="N1431" s="20" t="str">
        <f t="shared" si="69"/>
        <v>Finalizado</v>
      </c>
      <c r="O14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31" s="4">
        <v>0.39583333333333331</v>
      </c>
      <c r="Q1431" s="4">
        <v>0.39930555555555558</v>
      </c>
      <c r="R1431" s="23">
        <v>0.4375</v>
      </c>
      <c r="S1431" s="94" t="s">
        <v>254</v>
      </c>
      <c r="T1431" s="15">
        <f>IF(OR('Controle de CT'!$R1431= "", 'Controle de CT'!$P1431= ""), "", 'Controle de CT'!$R1431-'Controle de CT'!$P1431)</f>
        <v>4.1666666666666685E-2</v>
      </c>
      <c r="U1431" s="1"/>
      <c r="V1431" s="1"/>
      <c r="W1431" s="2"/>
      <c r="X1431" s="2"/>
    </row>
    <row r="1432" spans="11:24" ht="15" hidden="1" customHeight="1">
      <c r="K1432" s="5">
        <v>46129</v>
      </c>
      <c r="L1432" s="8" t="s">
        <v>52</v>
      </c>
      <c r="M1432" s="9" t="str">
        <f>IF(Tabela1[[#This Row],[Motorista]]="","",IFERROR(_xlfn.XLOOKUP(Tabela1[[#This Row],[Motorista]],Base!A:A,Base!B:B),""))</f>
        <v>CIF</v>
      </c>
      <c r="N1432" s="20" t="str">
        <f t="shared" ref="N1432:N1438" si="70">IF(R1432&lt;&gt;"","Finalizado", IF(Q1432&lt;&gt;"","Fila de Carregamento", IF(P1432&lt;&gt;"","Aguardando Entrada","")))</f>
        <v>Finalizado</v>
      </c>
      <c r="O14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32" s="4">
        <v>0.40694444444444444</v>
      </c>
      <c r="Q1432" s="4">
        <v>0.41736111111111113</v>
      </c>
      <c r="R1432" s="23">
        <v>0.44444444444444442</v>
      </c>
      <c r="S1432" s="94" t="s">
        <v>254</v>
      </c>
      <c r="T1432" s="1"/>
      <c r="U1432" s="1"/>
      <c r="V1432" s="1"/>
      <c r="W1432" s="2"/>
      <c r="X1432" s="2"/>
    </row>
    <row r="1433" spans="11:24" ht="15" hidden="1" customHeight="1">
      <c r="K1433" s="5">
        <v>46129</v>
      </c>
      <c r="L1433" s="8" t="s">
        <v>107</v>
      </c>
      <c r="M1433" s="9" t="str">
        <f>IF(Tabela1[[#This Row],[Motorista]]="","",IFERROR(_xlfn.XLOOKUP(Tabela1[[#This Row],[Motorista]],Base!A:A,Base!B:B),""))</f>
        <v>FOB</v>
      </c>
      <c r="N1433" s="20" t="str">
        <f t="shared" si="70"/>
        <v>Finalizado</v>
      </c>
      <c r="O14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33" s="4">
        <v>0.39444444444444443</v>
      </c>
      <c r="Q1433" s="4">
        <v>0.47222222222222221</v>
      </c>
      <c r="R1433" s="23">
        <v>0.54513888888888884</v>
      </c>
      <c r="S1433" s="94" t="s">
        <v>254</v>
      </c>
      <c r="T1433" s="1"/>
      <c r="U1433" s="1"/>
      <c r="V1433" s="1"/>
      <c r="W1433" s="2"/>
      <c r="X1433" s="2"/>
    </row>
    <row r="1434" spans="11:24" ht="15" hidden="1" customHeight="1">
      <c r="K1434" s="5">
        <v>46129</v>
      </c>
      <c r="L1434" s="8" t="s">
        <v>58</v>
      </c>
      <c r="M1434" s="9" t="str">
        <f>IF(Tabela1[[#This Row],[Motorista]]="","",IFERROR(_xlfn.XLOOKUP(Tabela1[[#This Row],[Motorista]],Base!A:A,Base!B:B),""))</f>
        <v xml:space="preserve">CIF </v>
      </c>
      <c r="N1434" s="20" t="str">
        <f t="shared" si="70"/>
        <v>Finalizado</v>
      </c>
      <c r="O14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34" s="4">
        <v>0.44583333333333336</v>
      </c>
      <c r="Q1434" s="4">
        <v>0.47986111111111113</v>
      </c>
      <c r="R1434" s="23">
        <v>0.58750000000000002</v>
      </c>
      <c r="S1434" s="94" t="s">
        <v>254</v>
      </c>
      <c r="T1434" s="1"/>
      <c r="U1434" s="1"/>
      <c r="V1434" s="1" t="s">
        <v>226</v>
      </c>
      <c r="W1434" s="2"/>
      <c r="X1434" s="2"/>
    </row>
    <row r="1435" spans="11:24" ht="15" hidden="1" customHeight="1">
      <c r="K1435" s="5">
        <v>46129</v>
      </c>
      <c r="L1435" s="8" t="s">
        <v>121</v>
      </c>
      <c r="M1435" s="9" t="str">
        <f>IF(Tabela1[[#This Row],[Motorista]]="","",IFERROR(_xlfn.XLOOKUP(Tabela1[[#This Row],[Motorista]],Base!A:A,Base!B:B),""))</f>
        <v>CIF</v>
      </c>
      <c r="N1435" s="20" t="str">
        <f t="shared" si="70"/>
        <v>Finalizado</v>
      </c>
      <c r="O14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35" s="4">
        <v>0.46180555555555558</v>
      </c>
      <c r="Q1435" s="4">
        <v>0.4826388888888889</v>
      </c>
      <c r="R1435" s="23">
        <v>0.55347222222222225</v>
      </c>
      <c r="S1435" s="94" t="s">
        <v>254</v>
      </c>
      <c r="T1435" s="1"/>
      <c r="U1435" s="1"/>
      <c r="V1435" s="1"/>
      <c r="W1435" s="2"/>
      <c r="X1435" s="2"/>
    </row>
    <row r="1436" spans="11:24" ht="15" hidden="1" customHeight="1">
      <c r="K1436" s="5">
        <v>46129</v>
      </c>
      <c r="L1436" s="8" t="s">
        <v>45</v>
      </c>
      <c r="M1436" s="9" t="str">
        <f>IF(Tabela1[[#This Row],[Motorista]]="","",IFERROR(_xlfn.XLOOKUP(Tabela1[[#This Row],[Motorista]],Base!A:A,Base!B:B),""))</f>
        <v>CIF</v>
      </c>
      <c r="N1436" s="20" t="str">
        <f>IF(R1436&lt;&gt;"","Finalizado", IF(Q1436&lt;&gt;"","Fila de Carregamento", IF(P1436&lt;&gt;"","Aguardando Entrada","")))</f>
        <v>Finalizado</v>
      </c>
      <c r="O14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36" s="4">
        <v>0.48194444444444445</v>
      </c>
      <c r="Q1436" s="4">
        <v>0.50347222222222221</v>
      </c>
      <c r="R1436" s="23">
        <v>0.53541666666666665</v>
      </c>
      <c r="S1436" s="94" t="s">
        <v>254</v>
      </c>
      <c r="T1436" s="14">
        <f>IF(OR(Tabela1[[#This Row],[Entrada]]="",Tabela1[[#This Row],[Saída]]=""), "", Tabela1[[#This Row],[Saída]]-Tabela1[[#This Row],[Entrada]])</f>
        <v>3.1944444444444442E-2</v>
      </c>
      <c r="U1436" s="15">
        <f>IF(OR('Controle de CT'!$R1436= "", 'Controle de CT'!$P1436= ""), "", 'Controle de CT'!$R1436-'Controle de CT'!$P1436)</f>
        <v>5.3472222222222199E-2</v>
      </c>
      <c r="V1436" s="1"/>
      <c r="W1436" s="2"/>
      <c r="X1436" s="2"/>
    </row>
    <row r="1437" spans="11:24" ht="15" hidden="1" customHeight="1">
      <c r="K1437" s="5">
        <v>46129</v>
      </c>
      <c r="L1437" s="8" t="s">
        <v>116</v>
      </c>
      <c r="M1437" s="9" t="str">
        <f>IF(Tabela1[[#This Row],[Motorista]]="","",IFERROR(_xlfn.XLOOKUP(Tabela1[[#This Row],[Motorista]],Base!A:A,Base!B:B),""))</f>
        <v xml:space="preserve">CIF </v>
      </c>
      <c r="N1437" s="20" t="str">
        <f t="shared" si="70"/>
        <v>Finalizado</v>
      </c>
      <c r="O14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37" s="4">
        <v>0.50694444444444442</v>
      </c>
      <c r="Q1437" s="4">
        <v>0.51458333333333328</v>
      </c>
      <c r="R1437" s="23">
        <v>0.55694444444444446</v>
      </c>
      <c r="S1437" s="94" t="s">
        <v>254</v>
      </c>
      <c r="T1437" s="1"/>
      <c r="U1437" s="1"/>
      <c r="V1437" s="1"/>
      <c r="W1437" s="2"/>
      <c r="X1437" s="2"/>
    </row>
    <row r="1438" spans="11:24" ht="15" hidden="1" customHeight="1">
      <c r="K1438" s="5">
        <v>46129</v>
      </c>
      <c r="L1438" s="8" t="s">
        <v>46</v>
      </c>
      <c r="M1438" s="9" t="str">
        <f>IF(Tabela1[[#This Row],[Motorista]]="","",IFERROR(_xlfn.XLOOKUP(Tabela1[[#This Row],[Motorista]],Base!A:A,Base!B:B),""))</f>
        <v>CIF</v>
      </c>
      <c r="N1438" s="20" t="str">
        <f t="shared" si="70"/>
        <v>Finalizado</v>
      </c>
      <c r="O14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38" s="4">
        <v>0.57708333333333328</v>
      </c>
      <c r="Q1438" s="4">
        <v>0.58750000000000002</v>
      </c>
      <c r="R1438" s="23">
        <v>0.625</v>
      </c>
      <c r="S1438" s="94" t="s">
        <v>254</v>
      </c>
      <c r="T1438" s="1"/>
      <c r="U1438" s="1"/>
      <c r="V1438" s="1"/>
      <c r="W1438" s="2"/>
      <c r="X1438" s="2"/>
    </row>
    <row r="1439" spans="11:24" ht="15" hidden="1" customHeight="1">
      <c r="K1439" s="5">
        <v>46129</v>
      </c>
      <c r="L1439" s="8" t="s">
        <v>117</v>
      </c>
      <c r="M1439" s="9" t="str">
        <f>IF(Tabela1[[#This Row],[Motorista]]="","",IFERROR(_xlfn.XLOOKUP(Tabela1[[#This Row],[Motorista]],Base!A:A,Base!B:B),""))</f>
        <v>FOB</v>
      </c>
      <c r="N1439" s="20" t="str">
        <f t="shared" ref="N1439:N1446" si="71">IF(R1439&lt;&gt;"","Finalizado", IF(Q1439&lt;&gt;"","Fila de Carregamento", IF(P1439&lt;&gt;"","Aguardando Entrada","")))</f>
        <v>Finalizado</v>
      </c>
      <c r="O14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39" s="4">
        <v>0.54166666666666663</v>
      </c>
      <c r="Q1439" s="4">
        <v>0.64583333333333337</v>
      </c>
      <c r="R1439" s="23">
        <v>0.71875</v>
      </c>
      <c r="S1439" s="94" t="s">
        <v>254</v>
      </c>
      <c r="T1439" s="1"/>
      <c r="U1439" s="1"/>
      <c r="V1439" s="1"/>
      <c r="W1439" s="2"/>
      <c r="X1439" s="2"/>
    </row>
    <row r="1440" spans="11:24" ht="15" hidden="1" customHeight="1">
      <c r="K1440" s="5">
        <v>46129</v>
      </c>
      <c r="L1440" s="8" t="s">
        <v>90</v>
      </c>
      <c r="M1440" s="9" t="str">
        <f>IF(Tabela1[[#This Row],[Motorista]]="","",IFERROR(_xlfn.XLOOKUP(Tabela1[[#This Row],[Motorista]],Base!A:A,Base!B:B),""))</f>
        <v>FOB</v>
      </c>
      <c r="N1440" s="20" t="str">
        <f t="shared" si="71"/>
        <v>Finalizado</v>
      </c>
      <c r="O14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40" s="4">
        <v>0.62430555555555556</v>
      </c>
      <c r="Q1440" s="4">
        <v>0.63888888888888884</v>
      </c>
      <c r="R1440" s="23">
        <v>0.69166666666666665</v>
      </c>
      <c r="S1440" s="94" t="s">
        <v>254</v>
      </c>
      <c r="T1440" s="1"/>
      <c r="U1440" s="1"/>
      <c r="V1440" s="1"/>
      <c r="W1440" s="2"/>
      <c r="X1440" s="2"/>
    </row>
    <row r="1441" spans="11:24" ht="15" hidden="1" customHeight="1">
      <c r="K1441" s="5">
        <v>46129</v>
      </c>
      <c r="L1441" s="8" t="s">
        <v>125</v>
      </c>
      <c r="M1441" s="9" t="str">
        <f>IF(Tabela1[[#This Row],[Motorista]]="","",IFERROR(_xlfn.XLOOKUP(Tabela1[[#This Row],[Motorista]],Base!A:A,Base!B:B),""))</f>
        <v>FOB</v>
      </c>
      <c r="N1441" s="20" t="str">
        <f t="shared" si="71"/>
        <v>Fila de Carregamento</v>
      </c>
      <c r="O14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1" s="4">
        <v>0.65972222222222221</v>
      </c>
      <c r="Q1441" s="4">
        <v>0.72847222222222219</v>
      </c>
      <c r="R1441" s="23"/>
      <c r="S1441" s="16"/>
      <c r="T1441" s="1"/>
      <c r="U1441" s="1"/>
      <c r="V1441" s="1"/>
      <c r="W1441" s="2"/>
      <c r="X1441" s="2"/>
    </row>
    <row r="1442" spans="11:24" ht="15" hidden="1" customHeight="1">
      <c r="K1442" s="5">
        <v>46129</v>
      </c>
      <c r="L1442" s="8" t="s">
        <v>98</v>
      </c>
      <c r="M1442" s="9" t="str">
        <f>IF(Tabela1[[#This Row],[Motorista]]="","",IFERROR(_xlfn.XLOOKUP(Tabela1[[#This Row],[Motorista]],Base!A:A,Base!B:B),""))</f>
        <v>FOB</v>
      </c>
      <c r="N1442" s="20" t="str">
        <f t="shared" si="71"/>
        <v>Fila de Carregamento</v>
      </c>
      <c r="O14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2" s="4">
        <v>0.6645833333333333</v>
      </c>
      <c r="Q1442" s="4">
        <v>0.67986111111111114</v>
      </c>
      <c r="R1442" s="23"/>
      <c r="S1442" s="94" t="s">
        <v>254</v>
      </c>
      <c r="T1442" s="1"/>
      <c r="U1442" s="1"/>
      <c r="V1442" s="1"/>
      <c r="W1442" s="2"/>
      <c r="X1442" s="2"/>
    </row>
    <row r="1443" spans="11:24" ht="15" hidden="1" customHeight="1">
      <c r="K1443" s="5">
        <v>46130</v>
      </c>
      <c r="L1443" s="8" t="s">
        <v>116</v>
      </c>
      <c r="M1443" s="9" t="str">
        <f>IF(Tabela1[[#This Row],[Motorista]]="","",IFERROR(_xlfn.XLOOKUP(Tabela1[[#This Row],[Motorista]],Base!A:A,Base!B:B),""))</f>
        <v xml:space="preserve">CIF </v>
      </c>
      <c r="N1443" s="20" t="str">
        <f t="shared" si="71"/>
        <v>Finalizado</v>
      </c>
      <c r="O14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3" s="4">
        <v>0.21319444444444444</v>
      </c>
      <c r="Q1443" s="4">
        <v>0.26041666666666669</v>
      </c>
      <c r="R1443" s="23">
        <v>0.29305555555555557</v>
      </c>
      <c r="S1443" s="94" t="s">
        <v>254</v>
      </c>
      <c r="T1443" s="1"/>
      <c r="U1443" s="1"/>
      <c r="V1443" s="1"/>
      <c r="W1443" s="2"/>
      <c r="X1443" s="2"/>
    </row>
    <row r="1444" spans="11:24" ht="15" hidden="1" customHeight="1">
      <c r="K1444" s="5">
        <v>46130</v>
      </c>
      <c r="L1444" s="8" t="s">
        <v>45</v>
      </c>
      <c r="M1444" s="9" t="str">
        <f>IF(Tabela1[[#This Row],[Motorista]]="","",IFERROR(_xlfn.XLOOKUP(Tabela1[[#This Row],[Motorista]],Base!A:A,Base!B:B),""))</f>
        <v>CIF</v>
      </c>
      <c r="N1444" s="20" t="str">
        <f t="shared" si="71"/>
        <v>Fila de Carregamento</v>
      </c>
      <c r="O14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4" s="4">
        <v>0.21597222222222223</v>
      </c>
      <c r="Q1444" s="4">
        <v>0.33541666666666664</v>
      </c>
      <c r="R1444" s="23"/>
      <c r="S1444" s="16"/>
      <c r="T1444" s="1"/>
      <c r="U1444" s="1"/>
      <c r="V1444" s="1"/>
      <c r="W1444" s="2"/>
      <c r="X1444" s="2"/>
    </row>
    <row r="1445" spans="11:24" ht="15" hidden="1" customHeight="1">
      <c r="K1445" s="5">
        <v>46130</v>
      </c>
      <c r="L1445" s="8" t="s">
        <v>257</v>
      </c>
      <c r="M1445" s="9" t="str">
        <f>IF(Tabela1[[#This Row],[Motorista]]="","",IFERROR(_xlfn.XLOOKUP(Tabela1[[#This Row],[Motorista]],Base!A:A,Base!B:B),""))</f>
        <v>FOB</v>
      </c>
      <c r="N1445" s="20" t="str">
        <f t="shared" si="71"/>
        <v>Aguardando Entrada</v>
      </c>
      <c r="O14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5" s="4">
        <v>0.24236111111111111</v>
      </c>
      <c r="Q1445" s="4"/>
      <c r="R1445" s="23"/>
      <c r="S1445" s="16"/>
      <c r="T1445" s="1"/>
      <c r="U1445" s="1"/>
      <c r="V1445" s="1" t="s">
        <v>391</v>
      </c>
      <c r="W1445" s="2"/>
      <c r="X1445" s="2"/>
    </row>
    <row r="1446" spans="11:24" ht="15" hidden="1" customHeight="1">
      <c r="K1446" s="5">
        <v>46130</v>
      </c>
      <c r="L1446" s="8" t="s">
        <v>52</v>
      </c>
      <c r="M1446" s="9" t="str">
        <f>IF(Tabela1[[#This Row],[Motorista]]="","",IFERROR(_xlfn.XLOOKUP(Tabela1[[#This Row],[Motorista]],Base!A:A,Base!B:B),""))</f>
        <v>CIF</v>
      </c>
      <c r="N1446" s="20" t="str">
        <f t="shared" si="71"/>
        <v>Fila de Carregamento</v>
      </c>
      <c r="O14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6" s="4">
        <v>0.25208333333333333</v>
      </c>
      <c r="Q1446" s="4">
        <v>0.27847222222222223</v>
      </c>
      <c r="R1446" s="23"/>
      <c r="S1446" s="16"/>
      <c r="T1446" s="1"/>
      <c r="U1446" s="1"/>
      <c r="V1446" s="1" t="s">
        <v>392</v>
      </c>
      <c r="W1446" s="2"/>
      <c r="X1446" s="2"/>
    </row>
    <row r="1447" spans="11:24" ht="15" hidden="1" customHeight="1">
      <c r="K1447" s="5">
        <v>46130</v>
      </c>
      <c r="L1447" s="8" t="s">
        <v>55</v>
      </c>
      <c r="M1447" s="9" t="str">
        <f>IF(Tabela1[[#This Row],[Motorista]]="","",IFERROR(_xlfn.XLOOKUP(Tabela1[[#This Row],[Motorista]],Base!A:A,Base!B:B),""))</f>
        <v>CIF</v>
      </c>
      <c r="N1447" s="20" t="str">
        <f>IF(R1447&lt;&gt;"","Finalizado", IF(Q1447&lt;&gt;"","Fila de Carregamento", IF(P1447&lt;&gt;"","Aguardando Entrada","")))</f>
        <v>Fila de Carregamento</v>
      </c>
      <c r="O14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7" s="4">
        <v>0.2673611111111111</v>
      </c>
      <c r="Q1447" s="4">
        <v>0.28749999999999998</v>
      </c>
      <c r="R1447" s="23"/>
      <c r="S1447" s="16"/>
      <c r="T1447" s="14" t="str">
        <f>IF(OR(Tabela1[[#This Row],[Entrada]]="",Tabela1[[#This Row],[Saída]]=""), "", Tabela1[[#This Row],[Saída]]-Tabela1[[#This Row],[Entrada]])</f>
        <v/>
      </c>
      <c r="U1447" s="15" t="str">
        <f>IF(OR('Controle de CT'!$R1447= "", 'Controle de CT'!$P1447= ""), "", 'Controle de CT'!$R1447-'Controle de CT'!$P1447)</f>
        <v/>
      </c>
      <c r="V1447" s="1"/>
      <c r="W1447" s="2"/>
      <c r="X1447" s="2"/>
    </row>
    <row r="1448" spans="11:24" ht="15" hidden="1" customHeight="1">
      <c r="K1448" s="5">
        <v>46130</v>
      </c>
      <c r="L1448" s="8" t="s">
        <v>51</v>
      </c>
      <c r="M1448" s="9" t="str">
        <f>IF(Tabela1[[#This Row],[Motorista]]="","",IFERROR(_xlfn.XLOOKUP(Tabela1[[#This Row],[Motorista]],Base!A:A,Base!B:B),""))</f>
        <v>CIF</v>
      </c>
      <c r="N1448" s="20" t="str">
        <f>IF(R1448&lt;&gt;"","Finalizado", IF(Q1448&lt;&gt;"","Fila de Carregamento", IF(P1448&lt;&gt;"","Aguardando Entrada","")))</f>
        <v>Fila de Carregamento</v>
      </c>
      <c r="O14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8" s="4">
        <v>0.27847222222222223</v>
      </c>
      <c r="Q1448" s="4">
        <v>0.29236111111111113</v>
      </c>
      <c r="R1448" s="23"/>
      <c r="S1448" s="16"/>
      <c r="T1448" s="14" t="str">
        <f>IF(OR(Tabela1[[#This Row],[Entrada]]="",Tabela1[[#This Row],[Saída]]=""), "", Tabela1[[#This Row],[Saída]]-Tabela1[[#This Row],[Entrada]])</f>
        <v/>
      </c>
      <c r="U1448" s="15" t="str">
        <f>IF(OR('Controle de CT'!$R1448= "", 'Controle de CT'!$P1448= ""), "", 'Controle de CT'!$R1448-'Controle de CT'!$P1448)</f>
        <v/>
      </c>
      <c r="V1448" s="1" t="s">
        <v>392</v>
      </c>
      <c r="W1448" s="2"/>
      <c r="X1448" s="2"/>
    </row>
    <row r="1449" spans="11:24" ht="15" hidden="1" customHeight="1">
      <c r="K1449" s="5">
        <v>46130</v>
      </c>
      <c r="L1449" s="8" t="s">
        <v>121</v>
      </c>
      <c r="M1449" s="9" t="str">
        <f>IF(Tabela1[[#This Row],[Motorista]]="","",IFERROR(_xlfn.XLOOKUP(Tabela1[[#This Row],[Motorista]],Base!A:A,Base!B:B),""))</f>
        <v>CIF</v>
      </c>
      <c r="N1449" s="20" t="str">
        <f t="shared" ref="N1449:N1456" si="72">IF(R1449&lt;&gt;"","Finalizado", IF(Q1449&lt;&gt;"","Fila de Carregamento", IF(P1449&lt;&gt;"","Aguardando Entrada","")))</f>
        <v>Aguardando Entrada</v>
      </c>
      <c r="O14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49" s="4">
        <v>0.25555555555555554</v>
      </c>
      <c r="Q1449" s="4"/>
      <c r="R1449" s="23"/>
      <c r="S1449" s="16"/>
      <c r="T1449" s="1"/>
      <c r="U1449" s="1"/>
      <c r="V1449" s="1"/>
      <c r="W1449" s="2"/>
      <c r="X1449" s="2"/>
    </row>
    <row r="1450" spans="11:24" ht="17.25" hidden="1" customHeight="1">
      <c r="K1450" s="5">
        <v>46130</v>
      </c>
      <c r="L1450" t="s">
        <v>92</v>
      </c>
      <c r="M1450" s="24" t="s">
        <v>63</v>
      </c>
      <c r="N1450" s="20" t="str">
        <f t="shared" si="72"/>
        <v>Finalizado</v>
      </c>
      <c r="O14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0" s="4">
        <v>0.26458333333333334</v>
      </c>
      <c r="Q1450" s="4">
        <v>0.31041666666666667</v>
      </c>
      <c r="R1450" s="23">
        <v>0.31041666666666667</v>
      </c>
      <c r="S1450" s="94" t="s">
        <v>254</v>
      </c>
      <c r="T1450" s="1"/>
      <c r="U1450" s="1"/>
      <c r="V1450" s="1" t="s">
        <v>393</v>
      </c>
      <c r="W1450" s="2"/>
      <c r="X1450" s="2"/>
    </row>
    <row r="1451" spans="11:24" ht="15" hidden="1" customHeight="1">
      <c r="K1451" s="5">
        <v>46130</v>
      </c>
      <c r="L1451" s="8" t="s">
        <v>96</v>
      </c>
      <c r="M1451" s="9" t="str">
        <f>IF(Tabela1[[#This Row],[Motorista]]="","",IFERROR(_xlfn.XLOOKUP(Tabela1[[#This Row],[Motorista]],Base!A:A,Base!B:B),""))</f>
        <v>Transferência</v>
      </c>
      <c r="N1451" s="20" t="str">
        <f t="shared" si="72"/>
        <v>Aguardando Entrada</v>
      </c>
      <c r="O14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1" s="4">
        <v>0.26597222222222222</v>
      </c>
      <c r="Q1451" s="4"/>
      <c r="R1451" s="23"/>
      <c r="S1451" s="16"/>
      <c r="T1451" s="1"/>
      <c r="U1451" s="1"/>
      <c r="V1451" s="1"/>
      <c r="W1451" s="2"/>
      <c r="X1451" s="2"/>
    </row>
    <row r="1452" spans="11:24" ht="15" hidden="1" customHeight="1">
      <c r="K1452" s="5">
        <v>46130</v>
      </c>
      <c r="L1452" t="s">
        <v>375</v>
      </c>
      <c r="M1452" s="24" t="s">
        <v>63</v>
      </c>
      <c r="N1452" s="20" t="str">
        <f t="shared" si="72"/>
        <v>Aguardando Entrada</v>
      </c>
      <c r="O14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2" s="4">
        <v>0.27638888888888891</v>
      </c>
      <c r="Q1452" s="4"/>
      <c r="R1452" s="23"/>
      <c r="S1452" s="16"/>
      <c r="T1452" s="1"/>
      <c r="U1452" s="1"/>
      <c r="V1452" s="1"/>
      <c r="W1452" s="2"/>
      <c r="X1452" s="2"/>
    </row>
    <row r="1453" spans="11:24" ht="15" hidden="1" customHeight="1">
      <c r="K1453" s="5">
        <v>46130</v>
      </c>
      <c r="L1453" s="8" t="s">
        <v>89</v>
      </c>
      <c r="M1453" s="9" t="str">
        <f>IF(Tabela1[[#This Row],[Motorista]]="","",IFERROR(_xlfn.XLOOKUP(Tabela1[[#This Row],[Motorista]],Base!A:A,Base!B:B),""))</f>
        <v>FOB</v>
      </c>
      <c r="N1453" s="20" t="str">
        <f t="shared" si="72"/>
        <v>Aguardando Entrada</v>
      </c>
      <c r="O14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3" s="4">
        <v>0.34097222222222223</v>
      </c>
      <c r="Q1453" s="4"/>
      <c r="R1453" s="23"/>
      <c r="S1453" s="16"/>
      <c r="T1453" s="1"/>
      <c r="U1453" s="1"/>
      <c r="V1453" s="1"/>
      <c r="W1453" s="2"/>
      <c r="X1453" s="2"/>
    </row>
    <row r="1454" spans="11:24" ht="15" hidden="1" customHeight="1">
      <c r="K1454" s="5">
        <v>46130</v>
      </c>
      <c r="L1454" s="8" t="s">
        <v>90</v>
      </c>
      <c r="M1454" s="9" t="str">
        <f>IF(Tabela1[[#This Row],[Motorista]]="","",IFERROR(_xlfn.XLOOKUP(Tabela1[[#This Row],[Motorista]],Base!A:A,Base!B:B),""))</f>
        <v>FOB</v>
      </c>
      <c r="N1454" s="20" t="str">
        <f t="shared" si="72"/>
        <v>Aguardando Entrada</v>
      </c>
      <c r="O14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4" s="4">
        <v>0.34236111111111112</v>
      </c>
      <c r="Q1454" s="4"/>
      <c r="R1454" s="23"/>
      <c r="S1454" s="16"/>
      <c r="T1454" s="1"/>
      <c r="U1454" s="1"/>
      <c r="V1454" s="1"/>
      <c r="W1454" s="2"/>
      <c r="X1454" s="2"/>
    </row>
    <row r="1455" spans="11:24" ht="15" hidden="1" customHeight="1">
      <c r="K1455" s="5">
        <v>46130</v>
      </c>
      <c r="L1455" s="8" t="s">
        <v>95</v>
      </c>
      <c r="M1455" s="9" t="str">
        <f>IF(Tabela1[[#This Row],[Motorista]]="","",IFERROR(_xlfn.XLOOKUP(Tabela1[[#This Row],[Motorista]],Base!A:A,Base!B:B),""))</f>
        <v>FOB</v>
      </c>
      <c r="N1455" s="20" t="str">
        <f t="shared" si="72"/>
        <v>Aguardando Entrada</v>
      </c>
      <c r="O14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5" s="4">
        <v>0.3611111111111111</v>
      </c>
      <c r="Q1455" s="4"/>
      <c r="R1455" s="23"/>
      <c r="S1455" s="16"/>
      <c r="T1455" s="1"/>
      <c r="U1455" s="1"/>
      <c r="V1455" s="1"/>
      <c r="W1455" s="2"/>
      <c r="X1455" s="2"/>
    </row>
    <row r="1456" spans="11:24" ht="15" hidden="1" customHeight="1">
      <c r="K1456" s="5">
        <v>46130</v>
      </c>
      <c r="L1456" t="s">
        <v>279</v>
      </c>
      <c r="M1456" s="24" t="s">
        <v>63</v>
      </c>
      <c r="N1456" s="20" t="str">
        <f t="shared" si="72"/>
        <v>Aguardando Entrada</v>
      </c>
      <c r="O14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6" s="4">
        <v>0.3659722222222222</v>
      </c>
      <c r="Q1456" s="4"/>
      <c r="R1456" s="23"/>
      <c r="S1456" s="16"/>
      <c r="T1456" s="1"/>
      <c r="U1456" s="1"/>
      <c r="V1456" s="1"/>
      <c r="W1456" s="2"/>
      <c r="X1456" s="2"/>
    </row>
    <row r="1457" spans="11:24" ht="15" hidden="1" customHeight="1">
      <c r="K1457" s="5">
        <v>46132</v>
      </c>
      <c r="L1457" s="8" t="s">
        <v>45</v>
      </c>
      <c r="M1457" s="9" t="str">
        <f>IF(Tabela1[[#This Row],[Motorista]]="","",IFERROR(_xlfn.XLOOKUP(Tabela1[[#This Row],[Motorista]],Base!A:A,Base!B:B),""))</f>
        <v>CIF</v>
      </c>
      <c r="N1457" s="20" t="str">
        <f t="shared" ref="N1457:N1483" si="73">IF(R1457&lt;&gt;"","Finalizado", IF(Q1457&lt;&gt;"","Fila de Carregamento", IF(P1457&lt;&gt;"","Aguardando Entrada","")))</f>
        <v>Finalizado</v>
      </c>
      <c r="O14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57" s="4">
        <v>0.18611111111111112</v>
      </c>
      <c r="Q1457" s="4">
        <v>0.24791666666666667</v>
      </c>
      <c r="R1457" s="23">
        <v>0.29652777777777778</v>
      </c>
      <c r="S1457" s="94" t="s">
        <v>254</v>
      </c>
      <c r="T1457" s="1"/>
      <c r="U1457" s="1"/>
      <c r="V1457" s="1"/>
      <c r="W1457" s="2"/>
      <c r="X1457" s="2"/>
    </row>
    <row r="1458" spans="11:24" ht="15" hidden="1" customHeight="1">
      <c r="K1458" s="5">
        <v>46132</v>
      </c>
      <c r="L1458" s="8" t="s">
        <v>101</v>
      </c>
      <c r="M1458" s="9" t="str">
        <f>IF(Tabela1[[#This Row],[Motorista]]="","",IFERROR(_xlfn.XLOOKUP(Tabela1[[#This Row],[Motorista]],Base!A:A,Base!B:B),""))</f>
        <v>FOB</v>
      </c>
      <c r="N1458" s="20" t="str">
        <f t="shared" si="73"/>
        <v>Finalizado</v>
      </c>
      <c r="O14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58" s="4">
        <v>0.20972222222222223</v>
      </c>
      <c r="Q1458" s="4">
        <v>0.25972222222222224</v>
      </c>
      <c r="R1458" s="23">
        <v>0.32708333333333334</v>
      </c>
      <c r="S1458" s="94" t="s">
        <v>254</v>
      </c>
      <c r="T1458" s="1"/>
      <c r="U1458" s="1"/>
      <c r="V1458" s="1"/>
      <c r="W1458" s="2"/>
      <c r="X1458" s="2"/>
    </row>
    <row r="1459" spans="11:24" ht="15" hidden="1" customHeight="1">
      <c r="K1459" s="5">
        <v>46132</v>
      </c>
      <c r="L1459" s="7" t="s">
        <v>87</v>
      </c>
      <c r="M1459" s="22" t="str">
        <f>IF(Tabela1[[#This Row],[Motorista]]="","",IFERROR(_xlfn.XLOOKUP(Tabela1[[#This Row],[Motorista]],Base!A:A,Base!B:B),""))</f>
        <v>FOB</v>
      </c>
      <c r="N1459" s="20" t="str">
        <f t="shared" si="73"/>
        <v>Aguardando Entrada</v>
      </c>
      <c r="O14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59" s="4">
        <v>0.21458333333333332</v>
      </c>
      <c r="Q1459" s="4"/>
      <c r="R1459" s="23"/>
      <c r="S1459" s="16"/>
      <c r="T1459" s="1"/>
      <c r="U1459" s="1"/>
      <c r="V1459" s="1"/>
      <c r="W1459" s="2"/>
      <c r="X1459" s="2"/>
    </row>
    <row r="1460" spans="11:24" ht="15" hidden="1" customHeight="1">
      <c r="K1460" s="5">
        <v>46132</v>
      </c>
      <c r="L1460" s="8" t="s">
        <v>116</v>
      </c>
      <c r="M1460" s="9" t="str">
        <f>IF(Tabela1[[#This Row],[Motorista]]="","",IFERROR(_xlfn.XLOOKUP(Tabela1[[#This Row],[Motorista]],Base!A:A,Base!B:B),""))</f>
        <v xml:space="preserve">CIF </v>
      </c>
      <c r="N1460" s="20" t="str">
        <f t="shared" si="73"/>
        <v>Finalizado</v>
      </c>
      <c r="O14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60" s="4">
        <v>0.22013888888888888</v>
      </c>
      <c r="Q1460" s="4">
        <v>0.26180555555555557</v>
      </c>
      <c r="R1460" s="23">
        <v>0.31180555555555556</v>
      </c>
      <c r="S1460" s="94" t="s">
        <v>254</v>
      </c>
      <c r="T1460" s="1"/>
      <c r="U1460" s="1"/>
      <c r="V1460" s="1"/>
      <c r="W1460" s="2"/>
      <c r="X1460" s="2"/>
    </row>
    <row r="1461" spans="11:24" ht="15" hidden="1" customHeight="1">
      <c r="K1461" s="5">
        <v>46132</v>
      </c>
      <c r="L1461" t="s">
        <v>375</v>
      </c>
      <c r="M1461" s="24" t="s">
        <v>63</v>
      </c>
      <c r="N1461" s="20" t="str">
        <f t="shared" si="73"/>
        <v>Finalizado</v>
      </c>
      <c r="O14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61" s="4">
        <v>0.25277777777777777</v>
      </c>
      <c r="Q1461" s="4"/>
      <c r="R1461" s="23">
        <v>0.42152777777777778</v>
      </c>
      <c r="S1461" s="16"/>
      <c r="T1461" s="1"/>
      <c r="U1461" s="1"/>
      <c r="V1461" s="1"/>
      <c r="W1461" s="2"/>
      <c r="X1461" s="2"/>
    </row>
    <row r="1462" spans="11:24" ht="15" hidden="1" customHeight="1">
      <c r="K1462" s="5">
        <v>46132</v>
      </c>
      <c r="L1462" s="76" t="s">
        <v>278</v>
      </c>
      <c r="M1462" s="77" t="s">
        <v>63</v>
      </c>
      <c r="N1462" s="20" t="str">
        <f t="shared" si="73"/>
        <v>Aguardando Entrada</v>
      </c>
      <c r="O14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62" s="4">
        <v>0.25416666666666665</v>
      </c>
      <c r="Q1462" s="4"/>
      <c r="R1462" s="23"/>
      <c r="S1462" s="16"/>
      <c r="T1462" s="1"/>
      <c r="U1462" s="1"/>
      <c r="V1462" s="1"/>
      <c r="W1462" s="2"/>
      <c r="X1462" s="2"/>
    </row>
    <row r="1463" spans="11:24" ht="15" hidden="1" customHeight="1">
      <c r="K1463" s="5">
        <v>46132</v>
      </c>
      <c r="L1463" s="8" t="s">
        <v>52</v>
      </c>
      <c r="M1463" s="9" t="str">
        <f>IF(Tabela1[[#This Row],[Motorista]]="","",IFERROR(_xlfn.XLOOKUP(Tabela1[[#This Row],[Motorista]],Base!A:A,Base!B:B),""))</f>
        <v>CIF</v>
      </c>
      <c r="N1463" s="20" t="str">
        <f t="shared" si="73"/>
        <v>Finalizado</v>
      </c>
      <c r="O14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63" s="4">
        <v>0.25694444444444442</v>
      </c>
      <c r="Q1463" s="4">
        <v>0.26805555555555555</v>
      </c>
      <c r="R1463" s="23">
        <v>0.32916666666666666</v>
      </c>
      <c r="S1463" s="94" t="s">
        <v>254</v>
      </c>
      <c r="T1463" s="1"/>
      <c r="U1463" s="1"/>
      <c r="V1463" s="1"/>
      <c r="W1463" s="2"/>
      <c r="X1463" s="2"/>
    </row>
    <row r="1464" spans="11:24" ht="15" hidden="1" customHeight="1">
      <c r="K1464" s="5">
        <v>46132</v>
      </c>
      <c r="L1464" t="s">
        <v>92</v>
      </c>
      <c r="M1464" s="24" t="s">
        <v>63</v>
      </c>
      <c r="N1464" s="20" t="str">
        <f t="shared" si="73"/>
        <v>Finalizado</v>
      </c>
      <c r="O14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64" s="4">
        <v>0.2590277777777778</v>
      </c>
      <c r="Q1464" s="4">
        <v>0.3611111111111111</v>
      </c>
      <c r="R1464" s="23">
        <v>0.38958333333333334</v>
      </c>
      <c r="S1464" s="94" t="s">
        <v>254</v>
      </c>
      <c r="T1464" s="1"/>
      <c r="U1464" s="1"/>
      <c r="V1464" s="1"/>
      <c r="W1464" s="2"/>
      <c r="X1464" s="2"/>
    </row>
    <row r="1465" spans="11:24" ht="15" hidden="1" customHeight="1">
      <c r="K1465" s="5">
        <v>46132</v>
      </c>
      <c r="L1465" s="8" t="s">
        <v>58</v>
      </c>
      <c r="M1465" s="9" t="str">
        <f>IF(Tabela1[[#This Row],[Motorista]]="","",IFERROR(_xlfn.XLOOKUP(Tabela1[[#This Row],[Motorista]],Base!A:A,Base!B:B),""))</f>
        <v xml:space="preserve">CIF </v>
      </c>
      <c r="N1465" s="20" t="str">
        <f t="shared" si="73"/>
        <v>Finalizado</v>
      </c>
      <c r="O14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65" s="4">
        <v>0.25972222222222224</v>
      </c>
      <c r="Q1465" s="4">
        <v>0.27291666666666664</v>
      </c>
      <c r="R1465" s="23">
        <v>0.34722222222222221</v>
      </c>
      <c r="S1465" s="94" t="s">
        <v>254</v>
      </c>
      <c r="T1465" s="1"/>
      <c r="U1465" s="1"/>
      <c r="V1465" s="1"/>
      <c r="W1465" s="2"/>
      <c r="X1465" s="2"/>
    </row>
    <row r="1466" spans="11:24" ht="15" hidden="1" customHeight="1">
      <c r="K1466" s="5">
        <v>46132</v>
      </c>
      <c r="L1466" s="8" t="s">
        <v>54</v>
      </c>
      <c r="M1466" s="9" t="str">
        <f>IF(Tabela1[[#This Row],[Motorista]]="","",IFERROR(_xlfn.XLOOKUP(Tabela1[[#This Row],[Motorista]],Base!A:A,Base!B:B),""))</f>
        <v>CIF</v>
      </c>
      <c r="N1466" s="20" t="str">
        <f t="shared" si="73"/>
        <v>Finalizado</v>
      </c>
      <c r="O14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66" s="4">
        <v>0.26458333333333334</v>
      </c>
      <c r="Q1466" s="4">
        <v>0.27777777777777779</v>
      </c>
      <c r="R1466" s="23">
        <v>0.35486111111111113</v>
      </c>
      <c r="S1466" s="16"/>
      <c r="T1466" s="1"/>
      <c r="U1466" s="1"/>
      <c r="V1466" s="1"/>
      <c r="W1466" s="2"/>
      <c r="X1466" s="2"/>
    </row>
    <row r="1467" spans="11:24" ht="15" hidden="1" customHeight="1">
      <c r="K1467" s="5">
        <v>46132</v>
      </c>
      <c r="L1467" s="8" t="s">
        <v>46</v>
      </c>
      <c r="M1467" s="9" t="str">
        <f>IF(Tabela1[[#This Row],[Motorista]]="","",IFERROR(_xlfn.XLOOKUP(Tabela1[[#This Row],[Motorista]],Base!A:A,Base!B:B),""))</f>
        <v>CIF</v>
      </c>
      <c r="N1467" s="20" t="str">
        <f t="shared" si="73"/>
        <v>Finalizado</v>
      </c>
      <c r="O14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67" s="4">
        <v>0.2722222222222222</v>
      </c>
      <c r="Q1467" s="4"/>
      <c r="R1467" s="23">
        <v>0.36666666666666664</v>
      </c>
      <c r="S1467" s="16"/>
      <c r="T1467" s="1"/>
      <c r="U1467" s="1"/>
      <c r="V1467" s="1"/>
      <c r="W1467" s="2"/>
      <c r="X1467" s="2"/>
    </row>
    <row r="1468" spans="11:24" ht="15" hidden="1" customHeight="1">
      <c r="K1468" s="5">
        <v>46132</v>
      </c>
      <c r="L1468" s="8" t="s">
        <v>90</v>
      </c>
      <c r="M1468" s="9" t="str">
        <f>IF(Tabela1[[#This Row],[Motorista]]="","",IFERROR(_xlfn.XLOOKUP(Tabela1[[#This Row],[Motorista]],Base!A:A,Base!B:B),""))</f>
        <v>FOB</v>
      </c>
      <c r="N1468" s="20" t="str">
        <f t="shared" si="73"/>
        <v>Finalizado</v>
      </c>
      <c r="O14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68" s="4">
        <v>0.29305555555555557</v>
      </c>
      <c r="Q1468" s="4"/>
      <c r="R1468" s="23">
        <v>0.59236111111111112</v>
      </c>
      <c r="S1468" s="16"/>
      <c r="T1468" s="1"/>
      <c r="U1468" s="1"/>
      <c r="V1468" s="1"/>
      <c r="W1468" s="2"/>
      <c r="X1468" s="2"/>
    </row>
    <row r="1469" spans="11:24" ht="15" hidden="1" customHeight="1">
      <c r="K1469" s="5">
        <v>46132</v>
      </c>
      <c r="L1469" t="s">
        <v>115</v>
      </c>
      <c r="M1469" s="24" t="s">
        <v>62</v>
      </c>
      <c r="N1469" s="20" t="str">
        <f t="shared" si="73"/>
        <v>Fila de Carregamento</v>
      </c>
      <c r="O14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69" s="4">
        <v>0.32916666666666666</v>
      </c>
      <c r="Q1469" s="4">
        <v>0.375</v>
      </c>
      <c r="R1469" s="23"/>
      <c r="S1469" s="16"/>
      <c r="T1469" s="1"/>
      <c r="U1469" s="1"/>
      <c r="V1469" s="1"/>
      <c r="W1469" s="2"/>
      <c r="X1469" s="2"/>
    </row>
    <row r="1470" spans="11:24" ht="15" hidden="1" customHeight="1">
      <c r="K1470" s="5">
        <v>46132</v>
      </c>
      <c r="L1470" s="8" t="s">
        <v>45</v>
      </c>
      <c r="M1470" s="9" t="str">
        <f>IF(Tabela1[[#This Row],[Motorista]]="","",IFERROR(_xlfn.XLOOKUP(Tabela1[[#This Row],[Motorista]],Base!A:A,Base!B:B),""))</f>
        <v>CIF</v>
      </c>
      <c r="N1470" s="20" t="str">
        <f t="shared" si="73"/>
        <v>Finalizado</v>
      </c>
      <c r="O14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70" s="4"/>
      <c r="Q1470" s="4">
        <v>0.38541666666666669</v>
      </c>
      <c r="R1470" s="23">
        <v>0.4236111111111111</v>
      </c>
      <c r="S1470" s="16"/>
      <c r="T1470" s="1"/>
      <c r="U1470" s="1"/>
      <c r="V1470" s="1"/>
      <c r="W1470" s="2"/>
      <c r="X1470" s="2"/>
    </row>
    <row r="1471" spans="11:24" ht="15" hidden="1" customHeight="1">
      <c r="K1471" s="5">
        <v>46132</v>
      </c>
      <c r="L1471" t="s">
        <v>92</v>
      </c>
      <c r="M1471" s="9" t="str">
        <f>IF(Tabela1[[#This Row],[Motorista]]="","",IFERROR(_xlfn.XLOOKUP(Tabela1[[#This Row],[Motorista]],Base!A:A,Base!B:B),""))</f>
        <v>FOB</v>
      </c>
      <c r="N1471" s="20" t="str">
        <f t="shared" si="73"/>
        <v/>
      </c>
      <c r="O14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71" s="4"/>
      <c r="Q1471" s="4"/>
      <c r="R1471" s="23"/>
      <c r="S1471" s="16"/>
      <c r="T1471" s="1"/>
      <c r="U1471" s="1"/>
      <c r="V1471" s="1"/>
      <c r="W1471" s="2"/>
      <c r="X1471" s="2"/>
    </row>
    <row r="1472" spans="11:24" ht="15" hidden="1" customHeight="1">
      <c r="K1472" s="5">
        <v>46132</v>
      </c>
      <c r="L1472" s="8" t="s">
        <v>90</v>
      </c>
      <c r="M1472" s="9" t="str">
        <f>IF(Tabela1[[#This Row],[Motorista]]="","",IFERROR(_xlfn.XLOOKUP(Tabela1[[#This Row],[Motorista]],Base!A:A,Base!B:B),""))</f>
        <v>FOB</v>
      </c>
      <c r="N1472" s="20" t="str">
        <f t="shared" si="73"/>
        <v/>
      </c>
      <c r="O14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72" s="4"/>
      <c r="Q1472" s="4"/>
      <c r="R1472" s="23"/>
      <c r="S1472" s="16"/>
      <c r="T1472" s="1"/>
      <c r="U1472" s="1"/>
      <c r="V1472" s="1"/>
      <c r="W1472" s="2"/>
      <c r="X1472" s="2"/>
    </row>
    <row r="1473" spans="11:24" ht="15" hidden="1" customHeight="1">
      <c r="K1473" s="5">
        <v>46132</v>
      </c>
      <c r="L1473" s="8" t="s">
        <v>52</v>
      </c>
      <c r="M1473" s="9" t="str">
        <f>IF(Tabela1[[#This Row],[Motorista]]="","",IFERROR(_xlfn.XLOOKUP(Tabela1[[#This Row],[Motorista]],Base!A:A,Base!B:B),""))</f>
        <v>CIF</v>
      </c>
      <c r="N1473" s="20" t="str">
        <f t="shared" si="73"/>
        <v>Finalizado</v>
      </c>
      <c r="O14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73" s="4">
        <v>0.45416666666666666</v>
      </c>
      <c r="Q1473" s="4">
        <v>0.50624999999999998</v>
      </c>
      <c r="R1473" s="23">
        <v>0.55069444444444449</v>
      </c>
      <c r="S1473" s="16"/>
      <c r="T1473" s="1"/>
      <c r="U1473" s="1"/>
      <c r="V1473" s="1"/>
      <c r="W1473" s="2"/>
      <c r="X1473" s="2"/>
    </row>
    <row r="1474" spans="11:24" ht="15" hidden="1" customHeight="1">
      <c r="K1474" s="5">
        <v>46132</v>
      </c>
      <c r="L1474" s="8" t="s">
        <v>58</v>
      </c>
      <c r="M1474" s="9" t="str">
        <f>IF(Tabela1[[#This Row],[Motorista]]="","",IFERROR(_xlfn.XLOOKUP(Tabela1[[#This Row],[Motorista]],Base!A:A,Base!B:B),""))</f>
        <v xml:space="preserve">CIF </v>
      </c>
      <c r="N1474" s="20" t="str">
        <f t="shared" si="73"/>
        <v>Fila de Carregamento</v>
      </c>
      <c r="O14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74" s="4">
        <v>0.46111111111111114</v>
      </c>
      <c r="Q1474" s="4">
        <v>0.48680555555555555</v>
      </c>
      <c r="R1474" s="23"/>
      <c r="S1474" s="16"/>
      <c r="T1474" s="1"/>
      <c r="U1474" s="1"/>
      <c r="V1474" s="1"/>
      <c r="W1474" s="2"/>
      <c r="X1474" s="2"/>
    </row>
    <row r="1475" spans="11:24" ht="15" hidden="1" customHeight="1">
      <c r="K1475" s="5">
        <v>46132</v>
      </c>
      <c r="L1475" s="8" t="s">
        <v>122</v>
      </c>
      <c r="M1475" s="9" t="str">
        <f>IF(Tabela1[[#This Row],[Motorista]]="","",IFERROR(_xlfn.XLOOKUP(Tabela1[[#This Row],[Motorista]],Base!A:A,Base!B:B),""))</f>
        <v>FOB</v>
      </c>
      <c r="N1475" s="20" t="str">
        <f t="shared" si="73"/>
        <v/>
      </c>
      <c r="O14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75" s="4"/>
      <c r="Q1475" s="4"/>
      <c r="R1475" s="23"/>
      <c r="S1475" s="16"/>
      <c r="T1475" s="1"/>
      <c r="U1475" s="1"/>
      <c r="V1475" s="1"/>
      <c r="W1475" s="2"/>
      <c r="X1475" s="2"/>
    </row>
    <row r="1476" spans="11:24" ht="15" hidden="1" customHeight="1">
      <c r="K1476" s="5">
        <v>46132</v>
      </c>
      <c r="L1476" s="8" t="s">
        <v>46</v>
      </c>
      <c r="M1476" s="9" t="str">
        <f>IF(Tabela1[[#This Row],[Motorista]]="","",IFERROR(_xlfn.XLOOKUP(Tabela1[[#This Row],[Motorista]],Base!A:A,Base!B:B),""))</f>
        <v>CIF</v>
      </c>
      <c r="N1476" s="20" t="str">
        <f t="shared" si="73"/>
        <v>Finalizado</v>
      </c>
      <c r="O14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76" s="4">
        <v>0.47916666666666669</v>
      </c>
      <c r="Q1476" s="4">
        <v>0.55069444444444449</v>
      </c>
      <c r="R1476" s="23">
        <v>0.6381944444444444</v>
      </c>
      <c r="S1476" s="94" t="s">
        <v>254</v>
      </c>
      <c r="T1476" s="1"/>
      <c r="U1476" s="1"/>
      <c r="V1476" s="1"/>
      <c r="W1476" s="2"/>
      <c r="X1476" s="2"/>
    </row>
    <row r="1477" spans="11:24" ht="15" hidden="1" customHeight="1">
      <c r="K1477" s="5">
        <v>46132</v>
      </c>
      <c r="L1477" s="8" t="s">
        <v>157</v>
      </c>
      <c r="M1477" s="9" t="str">
        <f>IF(Tabela1[[#This Row],[Motorista]]="","",IFERROR(_xlfn.XLOOKUP(Tabela1[[#This Row],[Motorista]],Base!A:A,Base!B:B),""))</f>
        <v>FOB</v>
      </c>
      <c r="N1477" s="20" t="str">
        <f t="shared" si="73"/>
        <v/>
      </c>
      <c r="O14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77" s="4"/>
      <c r="Q1477" s="4"/>
      <c r="R1477" s="23"/>
      <c r="S1477" s="16"/>
      <c r="T1477" s="1"/>
      <c r="U1477" s="1"/>
      <c r="V1477" s="1"/>
      <c r="W1477" s="2"/>
      <c r="X1477" s="2"/>
    </row>
    <row r="1478" spans="11:24" ht="15" hidden="1" customHeight="1">
      <c r="K1478" s="5">
        <v>46132</v>
      </c>
      <c r="L1478" s="8" t="s">
        <v>175</v>
      </c>
      <c r="M1478" s="9" t="str">
        <f>IF(Tabela1[[#This Row],[Motorista]]="","",IFERROR(_xlfn.XLOOKUP(Tabela1[[#This Row],[Motorista]],Base!A:A,Base!B:B),""))</f>
        <v>FOB</v>
      </c>
      <c r="N1478" s="20" t="str">
        <f t="shared" si="73"/>
        <v>Aguardando Entrada</v>
      </c>
      <c r="O14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78" s="4">
        <v>0.50277777777777777</v>
      </c>
      <c r="Q1478" s="4"/>
      <c r="R1478" s="23"/>
      <c r="S1478" s="16"/>
      <c r="T1478" s="1"/>
      <c r="U1478" s="1"/>
      <c r="V1478" s="1" t="s">
        <v>394</v>
      </c>
      <c r="W1478" s="2"/>
      <c r="X1478" s="2"/>
    </row>
    <row r="1479" spans="11:24" ht="15" hidden="1" customHeight="1">
      <c r="K1479" s="5">
        <v>46132</v>
      </c>
      <c r="L1479" s="8" t="s">
        <v>54</v>
      </c>
      <c r="M1479" s="9" t="str">
        <f>IF(Tabela1[[#This Row],[Motorista]]="","",IFERROR(_xlfn.XLOOKUP(Tabela1[[#This Row],[Motorista]],Base!A:A,Base!B:B),""))</f>
        <v>CIF</v>
      </c>
      <c r="N1479" s="20" t="str">
        <f t="shared" si="73"/>
        <v>Finalizado</v>
      </c>
      <c r="O14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79" s="4">
        <v>0.51666666666666672</v>
      </c>
      <c r="Q1479" s="4">
        <v>0.56319444444444444</v>
      </c>
      <c r="R1479" s="23">
        <v>0.65833333333333333</v>
      </c>
      <c r="S1479" s="16"/>
      <c r="T1479" s="1"/>
      <c r="U1479" s="1"/>
      <c r="V1479" s="1" t="s">
        <v>395</v>
      </c>
      <c r="W1479" s="2"/>
      <c r="X1479" s="2"/>
    </row>
    <row r="1480" spans="11:24" ht="15" hidden="1" customHeight="1">
      <c r="K1480" s="5">
        <v>46132</v>
      </c>
      <c r="L1480" s="8" t="s">
        <v>98</v>
      </c>
      <c r="M1480" s="9" t="str">
        <f>IF(Tabela1[[#This Row],[Motorista]]="","",IFERROR(_xlfn.XLOOKUP(Tabela1[[#This Row],[Motorista]],Base!A:A,Base!B:B),""))</f>
        <v>FOB</v>
      </c>
      <c r="N1480" s="20" t="str">
        <f t="shared" si="73"/>
        <v>Finalizado</v>
      </c>
      <c r="O14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0" s="4"/>
      <c r="Q1480" s="4"/>
      <c r="R1480" s="23">
        <v>0.59652777777777777</v>
      </c>
      <c r="S1480" s="16"/>
      <c r="T1480" s="14" t="str">
        <f>IF(OR(Tabela1[[#This Row],[Entrada]]="",Tabela1[[#This Row],[Saída]]=""), "", Tabela1[[#This Row],[Saída]]-Tabela1[[#This Row],[Entrada]])</f>
        <v/>
      </c>
      <c r="U1480" s="15"/>
      <c r="V1480" s="1"/>
      <c r="W1480" s="2"/>
      <c r="X1480" s="2"/>
    </row>
    <row r="1481" spans="11:24" ht="15" hidden="1" customHeight="1">
      <c r="K1481" s="5">
        <v>46132</v>
      </c>
      <c r="L1481" s="8" t="s">
        <v>44</v>
      </c>
      <c r="M1481" s="9" t="str">
        <f>IF(Tabela1[[#This Row],[Motorista]]="","",IFERROR(_xlfn.XLOOKUP(Tabela1[[#This Row],[Motorista]],Base!A:A,Base!B:B),""))</f>
        <v>CIF</v>
      </c>
      <c r="N1481" s="20" t="str">
        <f t="shared" si="73"/>
        <v>Fila de Carregamento</v>
      </c>
      <c r="O14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1" s="4">
        <v>0.52708333333333335</v>
      </c>
      <c r="Q1481" s="4">
        <v>0.52777777777777779</v>
      </c>
      <c r="R1481" s="23"/>
      <c r="S1481" s="16"/>
      <c r="T1481" s="1"/>
      <c r="U1481" s="15" t="str">
        <f>IF(OR('Controle de CT'!$R1481= "", 'Controle de CT'!$P1481= ""), "", 'Controle de CT'!$R1481-'Controle de CT'!$P1481)</f>
        <v/>
      </c>
      <c r="V1481" s="1"/>
      <c r="W1481" s="2"/>
      <c r="X1481" s="2"/>
    </row>
    <row r="1482" spans="11:24" ht="15" hidden="1" customHeight="1">
      <c r="K1482" s="5">
        <v>46132</v>
      </c>
      <c r="L1482" s="8" t="s">
        <v>87</v>
      </c>
      <c r="M1482" s="9" t="str">
        <f>IF(Tabela1[[#This Row],[Motorista]]="","",IFERROR(_xlfn.XLOOKUP(Tabela1[[#This Row],[Motorista]],Base!A:A,Base!B:B),""))</f>
        <v>FOB</v>
      </c>
      <c r="N1482" s="20" t="str">
        <f t="shared" si="73"/>
        <v>Fila de Carregamento</v>
      </c>
      <c r="O14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82" s="4">
        <v>0.56388888888888888</v>
      </c>
      <c r="Q1482" s="4">
        <v>0.70138888888888884</v>
      </c>
      <c r="R1482" s="23"/>
      <c r="S1482" s="16"/>
      <c r="T1482" s="1"/>
      <c r="U1482" s="15" t="str">
        <f>IF(OR('Controle de CT'!$R1482= "", 'Controle de CT'!$P1482= ""), "", 'Controle de CT'!$R1482-'Controle de CT'!$P1482)</f>
        <v/>
      </c>
      <c r="V1482" s="1" t="s">
        <v>396</v>
      </c>
      <c r="W1482" s="2"/>
      <c r="X1482" s="2"/>
    </row>
    <row r="1483" spans="11:24" ht="15" hidden="1" customHeight="1">
      <c r="K1483" s="5">
        <v>46132</v>
      </c>
      <c r="L1483" s="8" t="s">
        <v>183</v>
      </c>
      <c r="M1483" s="9" t="str">
        <f>IF(Tabela1[[#This Row],[Motorista]]="","",IFERROR(_xlfn.XLOOKUP(Tabela1[[#This Row],[Motorista]],Base!A:A,Base!B:B),""))</f>
        <v>FOB</v>
      </c>
      <c r="N1483" s="20" t="str">
        <f t="shared" si="73"/>
        <v>Finalizado</v>
      </c>
      <c r="O14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3" s="4">
        <v>0.57499999999999996</v>
      </c>
      <c r="Q1483" s="4">
        <v>0.6381944444444444</v>
      </c>
      <c r="R1483" s="23">
        <v>0.67777777777777781</v>
      </c>
      <c r="S1483" s="16"/>
      <c r="T1483" s="1"/>
      <c r="U1483" s="15">
        <f>IF(OR('Controle de CT'!$R1483= "", 'Controle de CT'!$P1483= ""), "", 'Controle de CT'!$R1483-'Controle de CT'!$P1483)</f>
        <v>0.10277777777777786</v>
      </c>
      <c r="V1483" s="1"/>
      <c r="W1483" s="2"/>
      <c r="X1483" s="2"/>
    </row>
    <row r="1484" spans="11:24" ht="15" hidden="1" customHeight="1">
      <c r="K1484" s="5">
        <v>46132</v>
      </c>
      <c r="L1484" s="8" t="s">
        <v>147</v>
      </c>
      <c r="M1484" s="9" t="str">
        <f>IF(Tabela1[[#This Row],[Motorista]]="","",IFERROR(_xlfn.XLOOKUP(Tabela1[[#This Row],[Motorista]],Base!A:A,Base!B:B),""))</f>
        <v>Transferência</v>
      </c>
      <c r="N1484" s="20"/>
      <c r="O14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4" s="4">
        <v>0.60555555555555551</v>
      </c>
      <c r="Q1484" s="4">
        <v>0.74236111111111114</v>
      </c>
      <c r="R1484" s="23"/>
      <c r="S1484" s="16"/>
      <c r="T1484" s="1"/>
      <c r="U1484" s="15" t="str">
        <f>IF(OR('Controle de CT'!$R1484= "", 'Controle de CT'!$P1484= ""), "", 'Controle de CT'!$R1484-'Controle de CT'!$P1484)</f>
        <v/>
      </c>
      <c r="V1484" s="1" t="s">
        <v>346</v>
      </c>
      <c r="W1484" s="2"/>
      <c r="X1484" s="2"/>
    </row>
    <row r="1485" spans="11:24" ht="15" hidden="1" customHeight="1">
      <c r="K1485" s="5">
        <v>46132</v>
      </c>
      <c r="L1485" s="8" t="s">
        <v>102</v>
      </c>
      <c r="M1485" s="9" t="str">
        <f>IF(Tabela1[[#This Row],[Motorista]]="","",IFERROR(_xlfn.XLOOKUP(Tabela1[[#This Row],[Motorista]],Base!A:A,Base!B:B),""))</f>
        <v>Transferência</v>
      </c>
      <c r="N1485" s="20" t="str">
        <f t="shared" ref="N1485:N1497" si="74">IF(R1485&lt;&gt;"","Finalizado", IF(Q1485&lt;&gt;"","Fila de Carregamento", IF(P1485&lt;&gt;"","Aguardando Entrada","")))</f>
        <v>Fila de Carregamento</v>
      </c>
      <c r="O14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5" s="4">
        <v>0.60624999999999996</v>
      </c>
      <c r="Q1485" s="4">
        <v>0.78472222222222221</v>
      </c>
      <c r="R1485" s="23"/>
      <c r="S1485" s="16"/>
      <c r="T1485" s="1"/>
      <c r="U1485" s="15" t="str">
        <f>IF(OR('Controle de CT'!$R1485= "", 'Controle de CT'!$P1485= ""), "", 'Controle de CT'!$R1485-'Controle de CT'!$P1485)</f>
        <v/>
      </c>
      <c r="V1485" s="1" t="s">
        <v>346</v>
      </c>
      <c r="W1485" s="2"/>
      <c r="X1485" s="2"/>
    </row>
    <row r="1486" spans="11:24" ht="15" hidden="1" customHeight="1">
      <c r="K1486" s="5">
        <v>46132</v>
      </c>
      <c r="L1486" s="8" t="s">
        <v>55</v>
      </c>
      <c r="M1486" s="9" t="str">
        <f>IF(Tabela1[[#This Row],[Motorista]]="","",IFERROR(_xlfn.XLOOKUP(Tabela1[[#This Row],[Motorista]],Base!A:A,Base!B:B),""))</f>
        <v>CIF</v>
      </c>
      <c r="N1486" s="20" t="str">
        <f t="shared" si="74"/>
        <v>Finalizado</v>
      </c>
      <c r="O14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6" s="4">
        <v>0.61111111111111116</v>
      </c>
      <c r="Q1486" s="4">
        <v>0.62430555555555556</v>
      </c>
      <c r="R1486" s="23">
        <v>0.67708333333333337</v>
      </c>
      <c r="S1486" s="94" t="s">
        <v>254</v>
      </c>
      <c r="T1486" s="1"/>
      <c r="U1486" s="15">
        <f>IF(OR('Controle de CT'!$R1486= "", 'Controle de CT'!$P1486= ""), "", 'Controle de CT'!$R1486-'Controle de CT'!$P1486)</f>
        <v>6.597222222222221E-2</v>
      </c>
      <c r="V1486" s="1"/>
      <c r="W1486" s="2"/>
      <c r="X1486" s="2"/>
    </row>
    <row r="1487" spans="11:24" ht="15" hidden="1" customHeight="1">
      <c r="K1487" s="5">
        <v>46132</v>
      </c>
      <c r="L1487" s="8" t="s">
        <v>89</v>
      </c>
      <c r="M1487" s="9" t="str">
        <f>IF(Tabela1[[#This Row],[Motorista]]="","",IFERROR(_xlfn.XLOOKUP(Tabela1[[#This Row],[Motorista]],Base!A:A,Base!B:B),""))</f>
        <v>FOB</v>
      </c>
      <c r="N1487" s="20" t="str">
        <f t="shared" si="74"/>
        <v>Finalizado</v>
      </c>
      <c r="O14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7" s="4">
        <v>0.65</v>
      </c>
      <c r="Q1487" s="4">
        <v>0.72916666666666663</v>
      </c>
      <c r="R1487" s="23">
        <v>0.79861111111111116</v>
      </c>
      <c r="S1487" s="94" t="s">
        <v>254</v>
      </c>
      <c r="T1487" s="1"/>
      <c r="U1487" s="15">
        <f>IF(OR('Controle de CT'!$R1487= "", 'Controle de CT'!$P1487= ""), "", 'Controle de CT'!$R1487-'Controle de CT'!$P1487)</f>
        <v>0.14861111111111114</v>
      </c>
      <c r="V1487" s="1" t="s">
        <v>396</v>
      </c>
      <c r="W1487" s="2"/>
      <c r="X1487" s="2"/>
    </row>
    <row r="1488" spans="11:24" ht="15" hidden="1" customHeight="1">
      <c r="K1488" s="5">
        <v>46132</v>
      </c>
      <c r="L1488" s="8" t="s">
        <v>184</v>
      </c>
      <c r="M1488" s="9" t="str">
        <f>IF(Tabela1[[#This Row],[Motorista]]="","",IFERROR(_xlfn.XLOOKUP(Tabela1[[#This Row],[Motorista]],Base!A:A,Base!B:B),""))</f>
        <v>FOB</v>
      </c>
      <c r="N1488" s="20" t="str">
        <f t="shared" si="74"/>
        <v>Finalizado</v>
      </c>
      <c r="O14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8" s="4">
        <v>0.72916666666666663</v>
      </c>
      <c r="Q1488" s="4">
        <v>0.75</v>
      </c>
      <c r="R1488" s="23">
        <v>0.84930555555555554</v>
      </c>
      <c r="S1488" s="94" t="s">
        <v>254</v>
      </c>
      <c r="T1488" s="1"/>
      <c r="U1488" s="15">
        <f>IF(OR('Controle de CT'!$R1488= "", 'Controle de CT'!$P1488= ""), "", 'Controle de CT'!$R1488-'Controle de CT'!$P1488)</f>
        <v>0.12013888888888891</v>
      </c>
      <c r="V1488" s="1"/>
      <c r="W1488" s="2"/>
      <c r="X1488" s="2"/>
    </row>
    <row r="1489" spans="11:24" ht="15" hidden="1" customHeight="1">
      <c r="K1489" s="5">
        <v>46132</v>
      </c>
      <c r="L1489" s="8" t="s">
        <v>225</v>
      </c>
      <c r="M1489" s="9" t="str">
        <f>IF(Tabela1[[#This Row],[Motorista]]="","",IFERROR(_xlfn.XLOOKUP(Tabela1[[#This Row],[Motorista]],Base!A:A,Base!B:B),""))</f>
        <v>FOB</v>
      </c>
      <c r="N1489" s="20" t="str">
        <f t="shared" si="74"/>
        <v>Fila de Carregamento</v>
      </c>
      <c r="O14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89" s="4">
        <v>0.66041666666666665</v>
      </c>
      <c r="Q1489" s="4">
        <v>0.71805555555555556</v>
      </c>
      <c r="R1489" s="23"/>
      <c r="S1489" s="16"/>
      <c r="T1489" s="14" t="str">
        <f>IF(OR(Tabela1[[#This Row],[Entrada]]="",Tabela1[[#This Row],[Saída]]=""), "", Tabela1[[#This Row],[Saída]]-Tabela1[[#This Row],[Entrada]])</f>
        <v/>
      </c>
      <c r="U1489" s="15" t="str">
        <f>IF(OR('Controle de CT'!$R1489= "", 'Controle de CT'!$P1489= ""), "", 'Controle de CT'!$R1489-'Controle de CT'!$P1489)</f>
        <v/>
      </c>
      <c r="V1489" s="1"/>
      <c r="W1489" s="2"/>
      <c r="X1489" s="2"/>
    </row>
    <row r="1490" spans="11:24" ht="15" hidden="1" customHeight="1">
      <c r="K1490" s="5">
        <v>46132</v>
      </c>
      <c r="L1490" s="8" t="s">
        <v>231</v>
      </c>
      <c r="M1490" s="9" t="str">
        <f>IF(Tabela1[[#This Row],[Motorista]]="","",IFERROR(_xlfn.XLOOKUP(Tabela1[[#This Row],[Motorista]],Base!A:A,Base!B:B),""))</f>
        <v>Transferência</v>
      </c>
      <c r="N1490" s="20" t="str">
        <f t="shared" si="74"/>
        <v>Fila de Carregamento</v>
      </c>
      <c r="O14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90" s="4">
        <v>0.65069444444444446</v>
      </c>
      <c r="Q1490" s="4">
        <v>0.81111111111111112</v>
      </c>
      <c r="R1490" s="23"/>
      <c r="S1490" s="16"/>
      <c r="T1490" s="14" t="str">
        <f>IF(OR(Tabela1[[#This Row],[Entrada]]="",Tabela1[[#This Row],[Saída]]=""), "", Tabela1[[#This Row],[Saída]]-Tabela1[[#This Row],[Entrada]])</f>
        <v/>
      </c>
      <c r="U1490" s="15" t="str">
        <f>IF(OR('Controle de CT'!$R1490= "", 'Controle de CT'!$P1490= ""), "", 'Controle de CT'!$R1490-'Controle de CT'!$P1490)</f>
        <v/>
      </c>
      <c r="V1490" s="1" t="s">
        <v>346</v>
      </c>
      <c r="W1490" s="2"/>
      <c r="X1490" s="2"/>
    </row>
    <row r="1491" spans="11:24" ht="15" hidden="1" customHeight="1">
      <c r="K1491" s="5">
        <v>46132</v>
      </c>
      <c r="L1491" s="8" t="s">
        <v>52</v>
      </c>
      <c r="M1491" s="9" t="str">
        <f>IF(Tabela1[[#This Row],[Motorista]]="","",IFERROR(_xlfn.XLOOKUP(Tabela1[[#This Row],[Motorista]],Base!A:A,Base!B:B),""))</f>
        <v>CIF</v>
      </c>
      <c r="N1491" s="20" t="str">
        <f t="shared" si="74"/>
        <v>Finalizado</v>
      </c>
      <c r="O14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91" s="4">
        <v>0.64513888888888893</v>
      </c>
      <c r="Q1491" s="4">
        <v>0.67777777777777781</v>
      </c>
      <c r="R1491" s="23">
        <v>0.70902777777777781</v>
      </c>
      <c r="S1491" s="94" t="s">
        <v>254</v>
      </c>
      <c r="T1491" s="14">
        <f>IF(OR(Tabela1[[#This Row],[Entrada]]="",Tabela1[[#This Row],[Saída]]=""), "", Tabela1[[#This Row],[Saída]]-Tabela1[[#This Row],[Entrada]])</f>
        <v>3.125E-2</v>
      </c>
      <c r="U1491" s="15">
        <f>IF(OR('Controle de CT'!$R1491= "", 'Controle de CT'!$P1491= ""), "", 'Controle de CT'!$R1491-'Controle de CT'!$P1491)</f>
        <v>6.3888888888888884E-2</v>
      </c>
      <c r="V1491" s="1"/>
      <c r="W1491" s="2"/>
      <c r="X1491" s="2"/>
    </row>
    <row r="1492" spans="11:24" ht="15" hidden="1" customHeight="1">
      <c r="K1492" s="5">
        <v>46132</v>
      </c>
      <c r="L1492" s="8" t="s">
        <v>103</v>
      </c>
      <c r="M1492" s="9" t="str">
        <f>IF(Tabela1[[#This Row],[Motorista]]="","",IFERROR(_xlfn.XLOOKUP(Tabela1[[#This Row],[Motorista]],Base!A:A,Base!B:B),""))</f>
        <v>FOB</v>
      </c>
      <c r="N1492" s="20" t="str">
        <f t="shared" si="74"/>
        <v>Finalizado</v>
      </c>
      <c r="O14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92" s="4">
        <v>0.62847222222222221</v>
      </c>
      <c r="Q1492" s="4">
        <v>0.71527777777777779</v>
      </c>
      <c r="R1492" s="23">
        <v>0.78125</v>
      </c>
      <c r="S1492" s="94" t="s">
        <v>254</v>
      </c>
      <c r="T1492" s="14">
        <f>IF(OR(Tabela1[[#This Row],[Entrada]]="",Tabela1[[#This Row],[Saída]]=""), "", Tabela1[[#This Row],[Saída]]-Tabela1[[#This Row],[Entrada]])</f>
        <v>6.597222222222221E-2</v>
      </c>
      <c r="U1492" s="15">
        <f>IF(OR('Controle de CT'!$R1492= "", 'Controle de CT'!$P1492= ""), "", 'Controle de CT'!$R1492-'Controle de CT'!$P1492)</f>
        <v>0.15277777777777779</v>
      </c>
      <c r="V1492" s="1"/>
      <c r="W1492" s="2"/>
      <c r="X1492" s="2"/>
    </row>
    <row r="1493" spans="11:24" ht="15" hidden="1" customHeight="1">
      <c r="K1493" s="5">
        <v>46132</v>
      </c>
      <c r="L1493" s="8" t="s">
        <v>181</v>
      </c>
      <c r="M1493" s="9" t="str">
        <f>IF(Tabela1[[#This Row],[Motorista]]="","",IFERROR(_xlfn.XLOOKUP(Tabela1[[#This Row],[Motorista]],Base!A:A,Base!B:B),""))</f>
        <v>FOB</v>
      </c>
      <c r="N1493" s="20" t="str">
        <f t="shared" si="74"/>
        <v>Fila de Carregamento</v>
      </c>
      <c r="O14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93" s="4">
        <v>0.66666666666666663</v>
      </c>
      <c r="Q1493" s="4">
        <v>0.71736111111111112</v>
      </c>
      <c r="R1493" s="23"/>
      <c r="S1493" s="16"/>
      <c r="T1493" s="14" t="str">
        <f>IF(OR(Tabela1[[#This Row],[Entrada]]="",Tabela1[[#This Row],[Saída]]=""), "", Tabela1[[#This Row],[Saída]]-Tabela1[[#This Row],[Entrada]])</f>
        <v/>
      </c>
      <c r="U1493" s="15" t="str">
        <f>IF(OR('Controle de CT'!$R1493= "", 'Controle de CT'!$P1493= ""), "", 'Controle de CT'!$R1493-'Controle de CT'!$P1493)</f>
        <v/>
      </c>
      <c r="V1493" s="1" t="s">
        <v>346</v>
      </c>
      <c r="W1493" s="2"/>
      <c r="X1493" s="2"/>
    </row>
    <row r="1494" spans="11:24" ht="15" hidden="1" customHeight="1">
      <c r="K1494" s="5">
        <v>46132</v>
      </c>
      <c r="L1494" s="8" t="s">
        <v>175</v>
      </c>
      <c r="M1494" s="9" t="str">
        <f>IF(Tabela1[[#This Row],[Motorista]]="","",IFERROR(_xlfn.XLOOKUP(Tabela1[[#This Row],[Motorista]],Base!A:A,Base!B:B),""))</f>
        <v>FOB</v>
      </c>
      <c r="N1494" s="20" t="str">
        <f t="shared" si="74"/>
        <v>Fila de Carregamento</v>
      </c>
      <c r="O14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94" s="4">
        <v>0.68125000000000002</v>
      </c>
      <c r="Q1494" s="4">
        <v>0.80486111111111114</v>
      </c>
      <c r="R1494" s="23"/>
      <c r="S1494" s="16"/>
      <c r="T1494" s="14" t="str">
        <f>IF(OR(Tabela1[[#This Row],[Entrada]]="",Tabela1[[#This Row],[Saída]]=""), "", Tabela1[[#This Row],[Saída]]-Tabela1[[#This Row],[Entrada]])</f>
        <v/>
      </c>
      <c r="U1494" s="15" t="str">
        <f>IF(OR('Controle de CT'!$R1494= "", 'Controle de CT'!$P1494= ""), "", 'Controle de CT'!$R1494-'Controle de CT'!$P1494)</f>
        <v/>
      </c>
      <c r="V1494" s="1"/>
      <c r="W1494" s="2"/>
      <c r="X1494" s="2"/>
    </row>
    <row r="1495" spans="11:24" ht="15" hidden="1" customHeight="1">
      <c r="K1495" s="5">
        <v>46132</v>
      </c>
      <c r="L1495" s="8" t="s">
        <v>116</v>
      </c>
      <c r="M1495" s="9" t="str">
        <f>IF(Tabela1[[#This Row],[Motorista]]="","",IFERROR(_xlfn.XLOOKUP(Tabela1[[#This Row],[Motorista]],Base!A:A,Base!B:B),""))</f>
        <v xml:space="preserve">CIF </v>
      </c>
      <c r="N1495" s="20" t="str">
        <f t="shared" si="74"/>
        <v>Finalizado</v>
      </c>
      <c r="O14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495" s="4">
        <v>0.56597222222222221</v>
      </c>
      <c r="Q1495" s="4">
        <v>0.57291666666666663</v>
      </c>
      <c r="R1495" s="23">
        <v>0.68888888888888888</v>
      </c>
      <c r="S1495" s="94" t="s">
        <v>254</v>
      </c>
      <c r="T1495" s="14">
        <f>IF(OR(Tabela1[[#This Row],[Entrada]]="",Tabela1[[#This Row],[Saída]]=""), "", Tabela1[[#This Row],[Saída]]-Tabela1[[#This Row],[Entrada]])</f>
        <v>0.11597222222222225</v>
      </c>
      <c r="U1495" s="15">
        <f>IF(OR('Controle de CT'!$R1495= "", 'Controle de CT'!$P1495= ""), "", 'Controle de CT'!$R1495-'Controle de CT'!$P1495)</f>
        <v>0.12291666666666667</v>
      </c>
      <c r="V1495" s="1"/>
      <c r="W1495" s="2"/>
      <c r="X1495" s="2"/>
    </row>
    <row r="1496" spans="11:24" ht="15" hidden="1" customHeight="1">
      <c r="K1496" s="5">
        <v>46132</v>
      </c>
      <c r="L1496" s="8" t="s">
        <v>90</v>
      </c>
      <c r="M1496" s="9" t="str">
        <f>IF(Tabela1[[#This Row],[Motorista]]="","",IFERROR(_xlfn.XLOOKUP(Tabela1[[#This Row],[Motorista]],Base!A:A,Base!B:B),""))</f>
        <v>FOB</v>
      </c>
      <c r="N1496" s="20" t="str">
        <f t="shared" si="74"/>
        <v>Finalizado</v>
      </c>
      <c r="O14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96" s="4">
        <v>0.7</v>
      </c>
      <c r="Q1496" s="4">
        <v>0.7631944444444444</v>
      </c>
      <c r="R1496" s="23">
        <v>0.82430555555555551</v>
      </c>
      <c r="S1496" s="94" t="s">
        <v>254</v>
      </c>
      <c r="T1496" s="14">
        <f>IF(OR(Tabela1[[#This Row],[Entrada]]="",Tabela1[[#This Row],[Saída]]=""), "", Tabela1[[#This Row],[Saída]]-Tabela1[[#This Row],[Entrada]])</f>
        <v>6.1111111111111116E-2</v>
      </c>
      <c r="U1496" s="15">
        <f>IF(OR('Controle de CT'!$R1496= "", 'Controle de CT'!$P1496= ""), "", 'Controle de CT'!$R1496-'Controle de CT'!$P1496)</f>
        <v>0.12430555555555556</v>
      </c>
      <c r="V1496" s="1"/>
      <c r="W1496" s="2"/>
      <c r="X1496" s="2"/>
    </row>
    <row r="1497" spans="11:24" ht="15" hidden="1" customHeight="1">
      <c r="K1497" s="5">
        <v>46132</v>
      </c>
      <c r="L1497" s="8" t="s">
        <v>91</v>
      </c>
      <c r="M1497" s="9" t="str">
        <f>IF(Tabela1[[#This Row],[Motorista]]="","",IFERROR(_xlfn.XLOOKUP(Tabela1[[#This Row],[Motorista]],Base!A:A,Base!B:B),""))</f>
        <v>FOB</v>
      </c>
      <c r="N1497" s="20" t="str">
        <f t="shared" si="74"/>
        <v>Finalizado</v>
      </c>
      <c r="O14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97" s="4">
        <v>0.75</v>
      </c>
      <c r="Q1497" s="4">
        <v>0.76249999999999996</v>
      </c>
      <c r="R1497" s="23">
        <v>0.83958333333333335</v>
      </c>
      <c r="S1497" s="94" t="s">
        <v>254</v>
      </c>
      <c r="T1497" s="14">
        <f>IF(OR(Tabela1[[#This Row],[Entrada]]="",Tabela1[[#This Row],[Saída]]=""), "", Tabela1[[#This Row],[Saída]]-Tabela1[[#This Row],[Entrada]])</f>
        <v>7.7083333333333393E-2</v>
      </c>
      <c r="U1497" s="15">
        <f>IF(OR('Controle de CT'!$R1497= "", 'Controle de CT'!$P1497= ""), "", 'Controle de CT'!$R1497-'Controle de CT'!$P1497)</f>
        <v>8.9583333333333348E-2</v>
      </c>
      <c r="V1497" s="1"/>
      <c r="W1497" s="2"/>
      <c r="X1497" s="2"/>
    </row>
    <row r="1498" spans="11:24" ht="15" hidden="1" customHeight="1">
      <c r="K1498" s="5">
        <v>46132</v>
      </c>
      <c r="L1498" s="8" t="s">
        <v>58</v>
      </c>
      <c r="M1498" s="9" t="str">
        <f>IF(Tabela1[[#This Row],[Motorista]]="","",IFERROR(_xlfn.XLOOKUP(Tabela1[[#This Row],[Motorista]],Base!A:A,Base!B:B),""))</f>
        <v xml:space="preserve">CIF </v>
      </c>
      <c r="N1498" s="20" t="str">
        <f t="shared" ref="N1498:N1499" si="75">IF(R1498&lt;&gt;"","Finalizado", IF(Q1498&lt;&gt;"","Fila de Carregamento", IF(P1498&lt;&gt;"","Aguardando Entrada","")))</f>
        <v>Finalizado</v>
      </c>
      <c r="O14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498" s="4">
        <v>0.71805555555555556</v>
      </c>
      <c r="Q1498" s="4">
        <v>0.73611111111111116</v>
      </c>
      <c r="R1498" s="23">
        <v>0.8125</v>
      </c>
      <c r="S1498" s="94" t="s">
        <v>254</v>
      </c>
      <c r="T1498" s="14">
        <f>IF(OR(Tabela1[[#This Row],[Entrada]]="",Tabela1[[#This Row],[Saída]]=""), "", Tabela1[[#This Row],[Saída]]-Tabela1[[#This Row],[Entrada]])</f>
        <v>7.638888888888884E-2</v>
      </c>
      <c r="U1498" s="15">
        <f>IF(OR('Controle de CT'!$R1498= "", 'Controle de CT'!$P1498= ""), "", 'Controle de CT'!$R1498-'Controle de CT'!$P1498)</f>
        <v>9.4444444444444442E-2</v>
      </c>
      <c r="V1498" s="1"/>
      <c r="W1498" s="2"/>
      <c r="X1498" s="2"/>
    </row>
    <row r="1499" spans="11:24" ht="15" hidden="1" customHeight="1">
      <c r="K1499" s="5">
        <v>46132</v>
      </c>
      <c r="L1499" s="8" t="s">
        <v>95</v>
      </c>
      <c r="M1499" s="22" t="str">
        <f>IF(Tabela1[[#This Row],[Motorista]]="","",IFERROR(_xlfn.XLOOKUP(Tabela1[[#This Row],[Motorista]],Base!A:A,Base!B:B),""))</f>
        <v>FOB</v>
      </c>
      <c r="N1499" s="20" t="str">
        <f t="shared" si="75"/>
        <v>Finalizado</v>
      </c>
      <c r="O14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499" s="2">
        <v>0.7006944444444444</v>
      </c>
      <c r="Q1499" s="2">
        <v>0.71875</v>
      </c>
      <c r="R1499" s="16">
        <v>0.82708333333333328</v>
      </c>
      <c r="S1499" s="94" t="s">
        <v>254</v>
      </c>
      <c r="T1499" s="14">
        <f>IF(OR(Tabela1[[#This Row],[Entrada]]="",Tabela1[[#This Row],[Saída]]=""), "", Tabela1[[#This Row],[Saída]]-Tabela1[[#This Row],[Entrada]])</f>
        <v>0.10833333333333328</v>
      </c>
      <c r="U1499" s="15">
        <f>IF(OR('Controle de CT'!$R1499= "", 'Controle de CT'!$P1499= ""), "", 'Controle de CT'!$R1499-'Controle de CT'!$P1499)</f>
        <v>0.12638888888888888</v>
      </c>
      <c r="V1499" s="1"/>
      <c r="W1499" s="2"/>
      <c r="X1499" s="2"/>
    </row>
    <row r="1500" spans="11:24" ht="15" hidden="1" customHeight="1">
      <c r="K1500" s="5">
        <v>46132</v>
      </c>
      <c r="L1500" s="8" t="s">
        <v>46</v>
      </c>
      <c r="M1500" s="9" t="str">
        <f>IF(Tabela1[[#This Row],[Motorista]]="","",IFERROR(_xlfn.XLOOKUP(Tabela1[[#This Row],[Motorista]],Base!A:A,Base!B:B),""))</f>
        <v>CIF</v>
      </c>
      <c r="N1500" s="20" t="str">
        <f t="shared" ref="N1500:N1531" si="76">IF(R1500&lt;&gt;"","Finalizado", IF(Q1500&lt;&gt;"","Fila de Carregamento", IF(P1500&lt;&gt;"","Aguardando Entrada","")))</f>
        <v>Finalizado</v>
      </c>
      <c r="O15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500" s="4">
        <v>0.75347222222222221</v>
      </c>
      <c r="Q1500" s="4">
        <v>0.77430555555555558</v>
      </c>
      <c r="R1500" s="23">
        <v>0.84861111111111109</v>
      </c>
      <c r="S1500" s="94" t="s">
        <v>254</v>
      </c>
      <c r="T1500" s="14">
        <f>IF(OR(Tabela1[[#This Row],[Entrada]]="",Tabela1[[#This Row],[Saída]]=""), "", Tabela1[[#This Row],[Saída]]-Tabela1[[#This Row],[Entrada]])</f>
        <v>7.4305555555555514E-2</v>
      </c>
      <c r="U1500" s="15">
        <f>IF(OR('Controle de CT'!$R1500= "", 'Controle de CT'!$P1500= ""), "", 'Controle de CT'!$R1500-'Controle de CT'!$P1500)</f>
        <v>9.5138888888888884E-2</v>
      </c>
      <c r="V1500" s="1"/>
      <c r="W1500" s="2"/>
      <c r="X1500" s="2"/>
    </row>
    <row r="1501" spans="11:24" ht="15" hidden="1" customHeight="1">
      <c r="K1501" s="5">
        <v>46134</v>
      </c>
      <c r="L1501" s="8" t="s">
        <v>150</v>
      </c>
      <c r="M1501" s="9" t="str">
        <f>IF(Tabela1[[#This Row],[Motorista]]="","",IFERROR(_xlfn.XLOOKUP(Tabela1[[#This Row],[Motorista]],Base!A:A,Base!B:B),""))</f>
        <v>Transferência</v>
      </c>
      <c r="N1501" s="20" t="str">
        <f t="shared" si="76"/>
        <v>Finalizado</v>
      </c>
      <c r="O15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01" s="4">
        <v>0.20833333333333334</v>
      </c>
      <c r="Q1501" s="4">
        <v>0.38680555555555557</v>
      </c>
      <c r="R1501" s="23">
        <v>0.50486111111111109</v>
      </c>
      <c r="S1501" s="94" t="s">
        <v>254</v>
      </c>
      <c r="T1501" s="1"/>
      <c r="U1501" s="15">
        <f>IF(OR('Controle de CT'!$R1501= "", 'Controle de CT'!$P1501= ""), "", 'Controle de CT'!$R1501-'Controle de CT'!$P1501)</f>
        <v>0.29652777777777772</v>
      </c>
      <c r="V1501" s="1" t="s">
        <v>397</v>
      </c>
      <c r="W1501" s="2"/>
      <c r="X1501" s="2"/>
    </row>
    <row r="1502" spans="11:24" ht="15" hidden="1" customHeight="1">
      <c r="K1502" s="5">
        <v>46134</v>
      </c>
      <c r="L1502" s="8" t="s">
        <v>116</v>
      </c>
      <c r="M1502" s="9" t="str">
        <f>IF(Tabela1[[#This Row],[Motorista]]="","",IFERROR(_xlfn.XLOOKUP(Tabela1[[#This Row],[Motorista]],Base!A:A,Base!B:B),""))</f>
        <v xml:space="preserve">CIF </v>
      </c>
      <c r="N1502" s="20" t="str">
        <f t="shared" si="76"/>
        <v>Finalizado</v>
      </c>
      <c r="O15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02" s="4">
        <v>0.20416666666666666</v>
      </c>
      <c r="Q1502" s="4">
        <v>0.27291666666666664</v>
      </c>
      <c r="R1502" s="23">
        <v>0.29305555555555557</v>
      </c>
      <c r="S1502" s="94" t="s">
        <v>254</v>
      </c>
      <c r="T1502" s="1"/>
      <c r="U1502" s="15">
        <f>IF(OR('Controle de CT'!$R1502= "", 'Controle de CT'!$P1502= ""), "", 'Controle de CT'!$R1502-'Controle de CT'!$P1502)</f>
        <v>8.8888888888888906E-2</v>
      </c>
      <c r="V1502" s="1"/>
      <c r="W1502" s="2"/>
      <c r="X1502" s="2"/>
    </row>
    <row r="1503" spans="11:24" ht="15" hidden="1" customHeight="1">
      <c r="K1503" s="5">
        <v>46134</v>
      </c>
      <c r="L1503" s="8" t="s">
        <v>101</v>
      </c>
      <c r="M1503" s="9" t="str">
        <f>IF(Tabela1[[#This Row],[Motorista]]="","",IFERROR(_xlfn.XLOOKUP(Tabela1[[#This Row],[Motorista]],Base!A:A,Base!B:B),""))</f>
        <v>FOB</v>
      </c>
      <c r="N1503" s="20" t="str">
        <f t="shared" si="76"/>
        <v>Finalizado</v>
      </c>
      <c r="O15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03" s="4">
        <v>0.21458333333333332</v>
      </c>
      <c r="Q1503" s="4">
        <v>0.27986111111111112</v>
      </c>
      <c r="R1503" s="23">
        <v>0.32083333333333336</v>
      </c>
      <c r="S1503" s="94" t="s">
        <v>254</v>
      </c>
      <c r="T1503" s="1"/>
      <c r="U1503" s="15">
        <f>IF(OR('Controle de CT'!$R1503= "", 'Controle de CT'!$P1503= ""), "", 'Controle de CT'!$R1503-'Controle de CT'!$P1503)</f>
        <v>0.10625000000000004</v>
      </c>
      <c r="V1503" s="1"/>
      <c r="W1503" s="2"/>
      <c r="X1503" s="2"/>
    </row>
    <row r="1504" spans="11:24" ht="15" hidden="1" customHeight="1">
      <c r="K1504" s="5">
        <v>46134</v>
      </c>
      <c r="L1504" s="8" t="s">
        <v>45</v>
      </c>
      <c r="M1504" s="9" t="str">
        <f>IF(Tabela1[[#This Row],[Motorista]]="","",IFERROR(_xlfn.XLOOKUP(Tabela1[[#This Row],[Motorista]],Base!A:A,Base!B:B),""))</f>
        <v>CIF</v>
      </c>
      <c r="N1504" s="20" t="str">
        <f t="shared" si="76"/>
        <v>Finalizado</v>
      </c>
      <c r="O15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04" s="4">
        <v>0.22222222222222221</v>
      </c>
      <c r="Q1504" s="4">
        <v>0.28055555555555556</v>
      </c>
      <c r="R1504" s="23">
        <v>0.31388888888888888</v>
      </c>
      <c r="S1504" s="94" t="s">
        <v>254</v>
      </c>
      <c r="T1504" s="1"/>
      <c r="U1504" s="15">
        <f>IF(OR('Controle de CT'!$R1504= "", 'Controle de CT'!$P1504= ""), "", 'Controle de CT'!$R1504-'Controle de CT'!$P1504)</f>
        <v>9.1666666666666674E-2</v>
      </c>
      <c r="V1504" s="1"/>
      <c r="W1504" s="2"/>
      <c r="X1504" s="2"/>
    </row>
    <row r="1505" spans="11:24" ht="15" hidden="1" customHeight="1">
      <c r="K1505" s="5">
        <v>46134</v>
      </c>
      <c r="L1505" s="8" t="s">
        <v>52</v>
      </c>
      <c r="M1505" s="9" t="str">
        <f>IF(Tabela1[[#This Row],[Motorista]]="","",IFERROR(_xlfn.XLOOKUP(Tabela1[[#This Row],[Motorista]],Base!A:A,Base!B:B),""))</f>
        <v>CIF</v>
      </c>
      <c r="N1505" s="20" t="str">
        <f t="shared" si="76"/>
        <v>Finalizado</v>
      </c>
      <c r="O15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05" s="4">
        <v>0.26319444444444445</v>
      </c>
      <c r="Q1505" s="4">
        <v>0.27916666666666667</v>
      </c>
      <c r="R1505" s="23">
        <v>0.31666666666666665</v>
      </c>
      <c r="S1505" s="94" t="s">
        <v>254</v>
      </c>
      <c r="T1505" s="1"/>
      <c r="U1505" s="15">
        <f>IF(OR('Controle de CT'!$R1505= "", 'Controle de CT'!$P1505= ""), "", 'Controle de CT'!$R1505-'Controle de CT'!$P1505)</f>
        <v>5.3472222222222199E-2</v>
      </c>
      <c r="V1505" s="1"/>
      <c r="W1505" s="2"/>
      <c r="X1505" s="2"/>
    </row>
    <row r="1506" spans="11:24" ht="15" hidden="1" customHeight="1">
      <c r="K1506" s="5">
        <v>46134</v>
      </c>
      <c r="L1506" t="s">
        <v>389</v>
      </c>
      <c r="M1506" s="24" t="s">
        <v>63</v>
      </c>
      <c r="N1506" s="20" t="str">
        <f t="shared" si="76"/>
        <v>Finalizado</v>
      </c>
      <c r="O15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06" s="4">
        <v>0.25069444444444444</v>
      </c>
      <c r="Q1506" s="4">
        <v>0.31388888888888888</v>
      </c>
      <c r="R1506" s="23">
        <v>0.35694444444444445</v>
      </c>
      <c r="S1506" s="94" t="s">
        <v>254</v>
      </c>
      <c r="T1506" s="14">
        <f>IF(OR(Tabela1[[#This Row],[Entrada]]="",Tabela1[[#This Row],[Saída]]=""), "", Tabela1[[#This Row],[Saída]]-Tabela1[[#This Row],[Entrada]])</f>
        <v>4.3055555555555569E-2</v>
      </c>
      <c r="U1506" s="15">
        <f>IF(OR('Controle de CT'!$R1506= "", 'Controle de CT'!$P1506= ""), "", 'Controle de CT'!$R1506-'Controle de CT'!$P1506)</f>
        <v>0.10625000000000001</v>
      </c>
      <c r="V1506" s="1" t="s">
        <v>185</v>
      </c>
      <c r="W1506" s="2"/>
      <c r="X1506" s="2"/>
    </row>
    <row r="1507" spans="11:24" ht="15" hidden="1" customHeight="1">
      <c r="K1507" s="5">
        <v>46134</v>
      </c>
      <c r="L1507" t="s">
        <v>198</v>
      </c>
      <c r="M1507" s="24" t="s">
        <v>62</v>
      </c>
      <c r="N1507" s="20" t="str">
        <f t="shared" si="76"/>
        <v>Finalizado</v>
      </c>
      <c r="O15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07" s="4">
        <v>0.26597222222222222</v>
      </c>
      <c r="Q1507" s="4">
        <v>0.28402777777777777</v>
      </c>
      <c r="R1507" s="23">
        <v>0.33124999999999999</v>
      </c>
      <c r="S1507" s="94" t="s">
        <v>254</v>
      </c>
      <c r="T1507" s="1"/>
      <c r="U1507" s="15">
        <f>IF(OR('Controle de CT'!$R1507= "", 'Controle de CT'!$P1507= ""), "", 'Controle de CT'!$R1507-'Controle de CT'!$P1507)</f>
        <v>6.5277777777777768E-2</v>
      </c>
      <c r="V1507" s="1"/>
      <c r="W1507" s="2"/>
      <c r="X1507" s="2"/>
    </row>
    <row r="1508" spans="11:24" ht="15" hidden="1" customHeight="1">
      <c r="K1508" s="5">
        <v>46134</v>
      </c>
      <c r="L1508" s="8" t="s">
        <v>55</v>
      </c>
      <c r="M1508" s="9" t="str">
        <f>IF(Tabela1[[#This Row],[Motorista]]="","",IFERROR(_xlfn.XLOOKUP(Tabela1[[#This Row],[Motorista]],Base!A:A,Base!B:B),""))</f>
        <v>CIF</v>
      </c>
      <c r="N1508" s="20" t="str">
        <f t="shared" si="76"/>
        <v>Finalizado</v>
      </c>
      <c r="O15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08" s="4">
        <v>0.27083333333333331</v>
      </c>
      <c r="Q1508" s="4">
        <v>0.29305555555555557</v>
      </c>
      <c r="R1508" s="23">
        <v>0.34097222222222223</v>
      </c>
      <c r="S1508" s="94" t="s">
        <v>254</v>
      </c>
      <c r="T1508" s="1"/>
      <c r="U1508" s="15">
        <f>IF(OR('Controle de CT'!$R1508= "", 'Controle de CT'!$P1508= ""), "", 'Controle de CT'!$R1508-'Controle de CT'!$P1508)</f>
        <v>7.0138888888888917E-2</v>
      </c>
      <c r="V1508" s="1"/>
      <c r="W1508" s="2"/>
      <c r="X1508" s="2"/>
    </row>
    <row r="1509" spans="11:24" ht="15" hidden="1" customHeight="1">
      <c r="K1509" s="5">
        <v>46134</v>
      </c>
      <c r="L1509" s="8" t="s">
        <v>58</v>
      </c>
      <c r="M1509" s="9" t="str">
        <f>IF(Tabela1[[#This Row],[Motorista]]="","",IFERROR(_xlfn.XLOOKUP(Tabela1[[#This Row],[Motorista]],Base!A:A,Base!B:B),""))</f>
        <v xml:space="preserve">CIF </v>
      </c>
      <c r="N1509" s="20" t="str">
        <f t="shared" si="76"/>
        <v>Finalizado</v>
      </c>
      <c r="O15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09" s="4">
        <v>0.27152777777777776</v>
      </c>
      <c r="Q1509" s="4">
        <v>0.30277777777777776</v>
      </c>
      <c r="R1509" s="23">
        <v>0.43611111111111112</v>
      </c>
      <c r="S1509" s="94" t="s">
        <v>254</v>
      </c>
      <c r="T1509" s="1"/>
      <c r="U1509" s="15">
        <f>IF(OR('Controle de CT'!$R1509= "", 'Controle de CT'!$P1509= ""), "", 'Controle de CT'!$R1509-'Controle de CT'!$P1509)</f>
        <v>0.16458333333333336</v>
      </c>
      <c r="V1509" s="1" t="s">
        <v>226</v>
      </c>
      <c r="W1509" s="2"/>
      <c r="X1509" s="2"/>
    </row>
    <row r="1510" spans="11:24" ht="15" hidden="1" customHeight="1">
      <c r="K1510" s="5">
        <v>46134</v>
      </c>
      <c r="L1510" t="s">
        <v>92</v>
      </c>
      <c r="M1510" s="24" t="s">
        <v>63</v>
      </c>
      <c r="N1510" s="20" t="str">
        <f t="shared" si="76"/>
        <v>Finalizado</v>
      </c>
      <c r="O15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0" s="4">
        <v>0.29652777777777778</v>
      </c>
      <c r="Q1510" s="4">
        <v>0.33333333333333331</v>
      </c>
      <c r="R1510" s="23">
        <v>0.45069444444444445</v>
      </c>
      <c r="S1510" s="94" t="s">
        <v>254</v>
      </c>
      <c r="T1510" s="1"/>
      <c r="U1510" s="15">
        <f>IF(OR('Controle de CT'!$R1510= "", 'Controle de CT'!$P1510= ""), "", 'Controle de CT'!$R1510-'Controle de CT'!$P1510)</f>
        <v>0.15416666666666667</v>
      </c>
      <c r="V1510" s="1"/>
      <c r="W1510" s="2"/>
      <c r="X1510" s="2"/>
    </row>
    <row r="1511" spans="11:24" ht="15" hidden="1" customHeight="1">
      <c r="K1511" s="5">
        <v>46134</v>
      </c>
      <c r="L1511" t="s">
        <v>375</v>
      </c>
      <c r="M1511" s="24" t="s">
        <v>63</v>
      </c>
      <c r="N1511" s="20" t="str">
        <f t="shared" si="76"/>
        <v>Finalizado</v>
      </c>
      <c r="O15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1" s="4">
        <v>0.29791666666666666</v>
      </c>
      <c r="Q1511" s="4">
        <v>0.33194444444444443</v>
      </c>
      <c r="R1511" s="23">
        <v>0.40138888888888891</v>
      </c>
      <c r="S1511" s="94" t="s">
        <v>254</v>
      </c>
      <c r="T1511" s="1"/>
      <c r="U1511" s="15">
        <f>IF(OR('Controle de CT'!$R1511= "", 'Controle de CT'!$P1511= ""), "", 'Controle de CT'!$R1511-'Controle de CT'!$P1511)</f>
        <v>0.10347222222222224</v>
      </c>
      <c r="V1511" s="1"/>
      <c r="W1511" s="2"/>
      <c r="X1511" s="2"/>
    </row>
    <row r="1512" spans="11:24" ht="15" hidden="1" customHeight="1">
      <c r="K1512" s="5">
        <v>46134</v>
      </c>
      <c r="L1512" t="s">
        <v>363</v>
      </c>
      <c r="M1512" s="24" t="s">
        <v>63</v>
      </c>
      <c r="N1512" s="20" t="str">
        <f t="shared" si="76"/>
        <v>Fila de Carregamento</v>
      </c>
      <c r="O15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2" s="4">
        <v>0.34444444444444444</v>
      </c>
      <c r="Q1512" s="4">
        <v>0.5805555555555556</v>
      </c>
      <c r="R1512" s="23"/>
      <c r="S1512" s="67"/>
      <c r="T1512" s="1"/>
      <c r="U1512" s="15" t="str">
        <f>IF(OR('Controle de CT'!$R1512= "", 'Controle de CT'!$P1512= ""), "", 'Controle de CT'!$R1512-'Controle de CT'!$P1512)</f>
        <v/>
      </c>
      <c r="V1512" s="1" t="s">
        <v>398</v>
      </c>
      <c r="W1512" s="2"/>
      <c r="X1512" s="2"/>
    </row>
    <row r="1513" spans="11:24" ht="15" hidden="1" customHeight="1">
      <c r="K1513" s="5">
        <v>46134</v>
      </c>
      <c r="L1513" s="8" t="s">
        <v>90</v>
      </c>
      <c r="M1513" s="9" t="str">
        <f>IF(Tabela1[[#This Row],[Motorista]]="","",IFERROR(_xlfn.XLOOKUP(Tabela1[[#This Row],[Motorista]],Base!A:A,Base!B:B),""))</f>
        <v>FOB</v>
      </c>
      <c r="N1513" s="20" t="str">
        <f t="shared" si="76"/>
        <v>Finalizado</v>
      </c>
      <c r="O15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13" s="4">
        <v>0.35972222222222222</v>
      </c>
      <c r="Q1513" s="4">
        <v>0.3659722222222222</v>
      </c>
      <c r="R1513" s="23">
        <v>0.46319444444444446</v>
      </c>
      <c r="S1513" s="94" t="s">
        <v>254</v>
      </c>
      <c r="T1513" s="1"/>
      <c r="U1513" s="15">
        <f>IF(OR('Controle de CT'!$R1513= "", 'Controle de CT'!$P1513= ""), "", 'Controle de CT'!$R1513-'Controle de CT'!$P1513)</f>
        <v>0.10347222222222224</v>
      </c>
      <c r="V1513" s="1" t="s">
        <v>399</v>
      </c>
      <c r="W1513" s="2"/>
      <c r="X1513" s="2"/>
    </row>
    <row r="1514" spans="11:24" ht="15" hidden="1" customHeight="1">
      <c r="K1514" s="5">
        <v>46134</v>
      </c>
      <c r="L1514" s="8" t="s">
        <v>89</v>
      </c>
      <c r="M1514" s="9" t="str">
        <f>IF(Tabela1[[#This Row],[Motorista]]="","",IFERROR(_xlfn.XLOOKUP(Tabela1[[#This Row],[Motorista]],Base!A:A,Base!B:B),""))</f>
        <v>FOB</v>
      </c>
      <c r="N1514" s="20" t="str">
        <f t="shared" si="76"/>
        <v>Finalizado</v>
      </c>
      <c r="O15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4" s="4">
        <v>0.36805555555555558</v>
      </c>
      <c r="Q1514" s="4">
        <v>0.41180555555555554</v>
      </c>
      <c r="R1514" s="23">
        <v>0.45208333333333334</v>
      </c>
      <c r="S1514" s="94" t="s">
        <v>254</v>
      </c>
      <c r="T1514" s="1"/>
      <c r="U1514" s="15">
        <f>IF(OR('Controle de CT'!$R1514= "", 'Controle de CT'!$P1514= ""), "", 'Controle de CT'!$R1514-'Controle de CT'!$P1514)</f>
        <v>8.4027777777777757E-2</v>
      </c>
      <c r="V1514" s="1"/>
      <c r="W1514" s="2"/>
      <c r="X1514" s="2"/>
    </row>
    <row r="1515" spans="11:24" ht="15" hidden="1" customHeight="1">
      <c r="K1515" s="5">
        <v>46134</v>
      </c>
      <c r="L1515" s="8" t="s">
        <v>54</v>
      </c>
      <c r="M1515" s="9" t="str">
        <f>IF(Tabela1[[#This Row],[Motorista]]="","",IFERROR(_xlfn.XLOOKUP(Tabela1[[#This Row],[Motorista]],Base!A:A,Base!B:B),""))</f>
        <v>CIF</v>
      </c>
      <c r="N1515" s="20" t="str">
        <f t="shared" si="76"/>
        <v>Finalizado</v>
      </c>
      <c r="O15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5" s="4">
        <v>0.41805555555555557</v>
      </c>
      <c r="Q1515" s="4">
        <v>0.43402777777777779</v>
      </c>
      <c r="R1515" s="23">
        <v>0.51736111111111116</v>
      </c>
      <c r="S1515" s="94" t="s">
        <v>254</v>
      </c>
      <c r="T1515" s="1"/>
      <c r="U1515" s="15">
        <f>IF(OR('Controle de CT'!$R1515= "", 'Controle de CT'!$P1515= ""), "", 'Controle de CT'!$R1515-'Controle de CT'!$P1515)</f>
        <v>9.9305555555555591E-2</v>
      </c>
      <c r="V1515" s="1"/>
      <c r="W1515" s="2"/>
      <c r="X1515" s="2"/>
    </row>
    <row r="1516" spans="11:24" ht="15" hidden="1" customHeight="1">
      <c r="K1516" s="5">
        <v>46134</v>
      </c>
      <c r="L1516" t="s">
        <v>198</v>
      </c>
      <c r="M1516" s="24" t="s">
        <v>62</v>
      </c>
      <c r="N1516" s="20" t="str">
        <f t="shared" si="76"/>
        <v>Finalizado</v>
      </c>
      <c r="O15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16" s="4">
        <v>0.42430555555555555</v>
      </c>
      <c r="Q1516" s="4">
        <v>0.4548611111111111</v>
      </c>
      <c r="R1516" s="23">
        <v>0.50208333333333333</v>
      </c>
      <c r="S1516" s="94" t="s">
        <v>254</v>
      </c>
      <c r="T1516" s="1"/>
      <c r="U1516" s="15">
        <f>IF(OR('Controle de CT'!$R1516= "", 'Controle de CT'!$P1516= ""), "", 'Controle de CT'!$R1516-'Controle de CT'!$P1516)</f>
        <v>7.7777777777777779E-2</v>
      </c>
      <c r="V1516" s="1" t="s">
        <v>226</v>
      </c>
      <c r="W1516" s="2"/>
      <c r="X1516" s="2"/>
    </row>
    <row r="1517" spans="11:24" ht="15" hidden="1" customHeight="1">
      <c r="K1517" s="5">
        <v>46134</v>
      </c>
      <c r="L1517" s="8" t="s">
        <v>45</v>
      </c>
      <c r="M1517" s="9" t="str">
        <f>IF(Tabela1[[#This Row],[Motorista]]="","",IFERROR(_xlfn.XLOOKUP(Tabela1[[#This Row],[Motorista]],Base!A:A,Base!B:B),""))</f>
        <v>CIF</v>
      </c>
      <c r="N1517" s="20" t="str">
        <f t="shared" si="76"/>
        <v>Finalizado</v>
      </c>
      <c r="O15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17" s="4">
        <v>0.44374999999999998</v>
      </c>
      <c r="Q1517" s="4">
        <v>0.45624999999999999</v>
      </c>
      <c r="R1517" s="23">
        <v>0.52222222222222225</v>
      </c>
      <c r="S1517" s="94" t="s">
        <v>254</v>
      </c>
      <c r="T1517" s="1"/>
      <c r="U1517" s="15">
        <f>IF(OR('Controle de CT'!$R1517= "", 'Controle de CT'!$P1517= ""), "", 'Controle de CT'!$R1517-'Controle de CT'!$P1517)</f>
        <v>7.8472222222222276E-2</v>
      </c>
      <c r="V1517" s="1"/>
      <c r="W1517" s="2"/>
      <c r="X1517" s="2"/>
    </row>
    <row r="1518" spans="11:24" ht="15" hidden="1" customHeight="1">
      <c r="K1518" s="5">
        <v>46134</v>
      </c>
      <c r="L1518" s="8" t="s">
        <v>52</v>
      </c>
      <c r="M1518" s="9" t="str">
        <f>IF(Tabela1[[#This Row],[Motorista]]="","",IFERROR(_xlfn.XLOOKUP(Tabela1[[#This Row],[Motorista]],Base!A:A,Base!B:B),""))</f>
        <v>CIF</v>
      </c>
      <c r="N1518" s="20" t="str">
        <f t="shared" si="76"/>
        <v>Finalizado</v>
      </c>
      <c r="O15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18" s="4">
        <v>0.45833333333333331</v>
      </c>
      <c r="Q1518" s="4">
        <v>0.46250000000000002</v>
      </c>
      <c r="R1518" s="23">
        <v>0.5229166666666667</v>
      </c>
      <c r="S1518" s="94" t="s">
        <v>254</v>
      </c>
      <c r="T1518" s="1"/>
      <c r="U1518" s="15">
        <f>IF(OR('Controle de CT'!$R1518= "", 'Controle de CT'!$P1518= ""), "", 'Controle de CT'!$R1518-'Controle de CT'!$P1518)</f>
        <v>6.4583333333333381E-2</v>
      </c>
      <c r="V1518" s="1"/>
      <c r="W1518" s="2"/>
      <c r="X1518" s="2"/>
    </row>
    <row r="1519" spans="11:24" ht="15" hidden="1" customHeight="1">
      <c r="K1519" s="5">
        <v>46134</v>
      </c>
      <c r="L1519" t="s">
        <v>115</v>
      </c>
      <c r="M1519" s="24" t="s">
        <v>62</v>
      </c>
      <c r="N1519" s="20" t="str">
        <f t="shared" si="76"/>
        <v>Finalizado</v>
      </c>
      <c r="O15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19" s="4">
        <v>0.4597222222222222</v>
      </c>
      <c r="Q1519" s="4">
        <v>0.46875</v>
      </c>
      <c r="R1519" s="23">
        <v>0.53749999999999998</v>
      </c>
      <c r="S1519" s="94" t="s">
        <v>254</v>
      </c>
      <c r="T1519" s="14">
        <f>IF(OR(Tabela1[[#This Row],[Entrada]]="",Tabela1[[#This Row],[Saída]]=""), "", Tabela1[[#This Row],[Saída]]-Tabela1[[#This Row],[Entrada]])</f>
        <v>6.8749999999999978E-2</v>
      </c>
      <c r="U1519" s="15">
        <f>IF(OR('Controle de CT'!$R1519= "", 'Controle de CT'!$P1519= ""), "", 'Controle de CT'!$R1519-'Controle de CT'!$P1519)</f>
        <v>7.7777777777777779E-2</v>
      </c>
      <c r="V1519" s="1"/>
      <c r="W1519" s="2"/>
      <c r="X1519" s="2"/>
    </row>
    <row r="1520" spans="11:24" ht="15" hidden="1" customHeight="1">
      <c r="K1520" s="5">
        <v>46134</v>
      </c>
      <c r="L1520" s="8" t="s">
        <v>116</v>
      </c>
      <c r="M1520" s="9" t="str">
        <f>IF(Tabela1[[#This Row],[Motorista]]="","",IFERROR(_xlfn.XLOOKUP(Tabela1[[#This Row],[Motorista]],Base!A:A,Base!B:B),""))</f>
        <v xml:space="preserve">CIF </v>
      </c>
      <c r="N1520" s="20" t="str">
        <f t="shared" si="76"/>
        <v>Finalizado</v>
      </c>
      <c r="O15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20" s="4">
        <v>0.48888888888888887</v>
      </c>
      <c r="Q1520" s="4">
        <v>0.49722222222222223</v>
      </c>
      <c r="R1520" s="23">
        <v>0.52152777777777781</v>
      </c>
      <c r="S1520" s="94" t="s">
        <v>254</v>
      </c>
      <c r="T1520" s="1"/>
      <c r="U1520" s="15">
        <f>IF(OR('Controle de CT'!$R1520= "", 'Controle de CT'!$P1520= ""), "", 'Controle de CT'!$R1520-'Controle de CT'!$P1520)</f>
        <v>3.2638888888888939E-2</v>
      </c>
      <c r="V1520" s="1"/>
      <c r="W1520" s="2"/>
      <c r="X1520" s="2"/>
    </row>
    <row r="1521" spans="11:24" ht="15" hidden="1" customHeight="1">
      <c r="K1521" s="5">
        <v>46134</v>
      </c>
      <c r="L1521" s="8" t="s">
        <v>55</v>
      </c>
      <c r="M1521" s="9" t="str">
        <f>IF(Tabela1[[#This Row],[Motorista]]="","",IFERROR(_xlfn.XLOOKUP(Tabela1[[#This Row],[Motorista]],Base!A:A,Base!B:B),""))</f>
        <v>CIF</v>
      </c>
      <c r="N1521" s="20" t="str">
        <f t="shared" si="76"/>
        <v>Finalizado</v>
      </c>
      <c r="O15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21" s="4">
        <v>0.48888888888888887</v>
      </c>
      <c r="Q1521" s="4">
        <v>0.54791666666666672</v>
      </c>
      <c r="R1521" s="23">
        <v>0.58611111111111114</v>
      </c>
      <c r="S1521" s="94" t="s">
        <v>254</v>
      </c>
      <c r="T1521" s="1"/>
      <c r="U1521" s="15">
        <f>IF(OR('Controle de CT'!$R1521= "", 'Controle de CT'!$P1521= ""), "", 'Controle de CT'!$R1521-'Controle de CT'!$P1521)</f>
        <v>9.7222222222222265E-2</v>
      </c>
      <c r="V1521" s="1"/>
      <c r="W1521" s="2"/>
      <c r="X1521" s="2"/>
    </row>
    <row r="1522" spans="11:24" ht="15" hidden="1" customHeight="1">
      <c r="K1522" s="5">
        <v>46134</v>
      </c>
      <c r="L1522" s="8" t="s">
        <v>98</v>
      </c>
      <c r="M1522" s="9" t="str">
        <f>IF(Tabela1[[#This Row],[Motorista]]="","",IFERROR(_xlfn.XLOOKUP(Tabela1[[#This Row],[Motorista]],Base!A:A,Base!B:B),""))</f>
        <v>FOB</v>
      </c>
      <c r="N1522" s="20" t="str">
        <f t="shared" si="76"/>
        <v>Finalizado</v>
      </c>
      <c r="O15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2" s="4">
        <v>0.47013888888888888</v>
      </c>
      <c r="Q1522" s="4">
        <v>0.53055555555555556</v>
      </c>
      <c r="R1522" s="23">
        <v>0.59513888888888888</v>
      </c>
      <c r="S1522" s="94" t="s">
        <v>254</v>
      </c>
      <c r="T1522" s="1"/>
      <c r="U1522" s="15">
        <f>IF(OR('Controle de CT'!$R1522= "", 'Controle de CT'!$P1522= ""), "", 'Controle de CT'!$R1522-'Controle de CT'!$P1522)</f>
        <v>0.125</v>
      </c>
      <c r="V1522" s="1"/>
      <c r="W1522" s="2"/>
      <c r="X1522" s="2"/>
    </row>
    <row r="1523" spans="11:24" ht="15" hidden="1" customHeight="1">
      <c r="K1523" s="5">
        <v>46134</v>
      </c>
      <c r="L1523" s="8" t="s">
        <v>175</v>
      </c>
      <c r="M1523" s="9" t="str">
        <f>IF(Tabela1[[#This Row],[Motorista]]="","",IFERROR(_xlfn.XLOOKUP(Tabela1[[#This Row],[Motorista]],Base!A:A,Base!B:B),""))</f>
        <v>FOB</v>
      </c>
      <c r="N1523" s="20" t="str">
        <f t="shared" si="76"/>
        <v>Finalizado</v>
      </c>
      <c r="O15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3" s="4">
        <v>0.46736111111111112</v>
      </c>
      <c r="Q1523" s="4">
        <v>0.61111111111111116</v>
      </c>
      <c r="R1523" s="23">
        <v>0.625</v>
      </c>
      <c r="S1523" s="94" t="s">
        <v>254</v>
      </c>
      <c r="T1523" s="1"/>
      <c r="U1523" s="15">
        <f>IF(OR('Controle de CT'!$R1523= "", 'Controle de CT'!$P1523= ""), "", 'Controle de CT'!$R1523-'Controle de CT'!$P1523)</f>
        <v>0.15763888888888888</v>
      </c>
      <c r="V1523" s="1"/>
      <c r="W1523" s="2"/>
      <c r="X1523" s="2"/>
    </row>
    <row r="1524" spans="11:24" ht="15" hidden="1" customHeight="1">
      <c r="K1524" s="5">
        <v>46134</v>
      </c>
      <c r="L1524" t="s">
        <v>400</v>
      </c>
      <c r="M1524" s="24" t="s">
        <v>63</v>
      </c>
      <c r="N1524" s="20" t="str">
        <f t="shared" si="76"/>
        <v>Finalizado</v>
      </c>
      <c r="O15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4" s="4">
        <v>0.53541666666666665</v>
      </c>
      <c r="Q1524" s="4">
        <v>0.54652777777777772</v>
      </c>
      <c r="R1524" s="23">
        <v>0.68472222222222223</v>
      </c>
      <c r="S1524" s="94" t="s">
        <v>254</v>
      </c>
      <c r="T1524" s="1"/>
      <c r="U1524" s="15">
        <f>IF(OR('Controle de CT'!$R1524= "", 'Controle de CT'!$P1524= ""), "", 'Controle de CT'!$R1524-'Controle de CT'!$P1524)</f>
        <v>0.14930555555555558</v>
      </c>
      <c r="V1524" s="1" t="s">
        <v>401</v>
      </c>
      <c r="W1524" s="2"/>
      <c r="X1524" s="2"/>
    </row>
    <row r="1525" spans="11:24" ht="15" hidden="1" customHeight="1">
      <c r="K1525" s="5">
        <v>46134</v>
      </c>
      <c r="L1525" s="8" t="s">
        <v>90</v>
      </c>
      <c r="M1525" s="9" t="str">
        <f>IF(Tabela1[[#This Row],[Motorista]]="","",IFERROR(_xlfn.XLOOKUP(Tabela1[[#This Row],[Motorista]],Base!A:A,Base!B:B),""))</f>
        <v>FOB</v>
      </c>
      <c r="N1525" s="20" t="str">
        <f t="shared" si="76"/>
        <v>Finalizado</v>
      </c>
      <c r="O15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25" s="4">
        <v>0.60416666666666663</v>
      </c>
      <c r="Q1525" s="4">
        <v>0.61250000000000004</v>
      </c>
      <c r="R1525" s="23">
        <v>0.64930555555555558</v>
      </c>
      <c r="S1525" s="94" t="s">
        <v>254</v>
      </c>
      <c r="T1525" s="1"/>
      <c r="U1525" s="15">
        <f>IF(OR('Controle de CT'!$R1525= "", 'Controle de CT'!$P1525= ""), "", 'Controle de CT'!$R1525-'Controle de CT'!$P1525)</f>
        <v>4.5138888888888951E-2</v>
      </c>
      <c r="V1525" s="1"/>
      <c r="W1525" s="2"/>
      <c r="X1525" s="2"/>
    </row>
    <row r="1526" spans="11:24" ht="15" hidden="1" customHeight="1">
      <c r="K1526" s="5">
        <v>46134</v>
      </c>
      <c r="L1526" s="8" t="s">
        <v>111</v>
      </c>
      <c r="M1526" s="9" t="str">
        <f>IF(Tabela1[[#This Row],[Motorista]]="","",IFERROR(_xlfn.XLOOKUP(Tabela1[[#This Row],[Motorista]],Base!A:A,Base!B:B),""))</f>
        <v>FOB</v>
      </c>
      <c r="N1526" s="20" t="str">
        <f t="shared" si="76"/>
        <v>Fila de Carregamento</v>
      </c>
      <c r="O15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6" s="4">
        <v>0.64583333333333337</v>
      </c>
      <c r="Q1526" s="4">
        <v>0.69652777777777775</v>
      </c>
      <c r="R1526" s="23"/>
      <c r="S1526" s="94" t="s">
        <v>254</v>
      </c>
      <c r="T1526" s="14" t="str">
        <f>IF(OR(Tabela1[[#This Row],[Entrada]]="",Tabela1[[#This Row],[Saída]]=""), "", Tabela1[[#This Row],[Saída]]-Tabela1[[#This Row],[Entrada]])</f>
        <v/>
      </c>
      <c r="U1526" s="15" t="str">
        <f>IF(OR('Controle de CT'!$R1526= "", 'Controle de CT'!$P1526= ""), "", 'Controle de CT'!$R1526-'Controle de CT'!$P1526)</f>
        <v/>
      </c>
      <c r="V1526" s="1" t="s">
        <v>402</v>
      </c>
      <c r="W1526" s="2"/>
      <c r="X1526" s="2"/>
    </row>
    <row r="1527" spans="11:24" ht="15" hidden="1" customHeight="1">
      <c r="K1527" s="5">
        <v>46134</v>
      </c>
      <c r="L1527" s="8" t="s">
        <v>112</v>
      </c>
      <c r="M1527" s="9" t="str">
        <f>IF(Tabela1[[#This Row],[Motorista]]="","",IFERROR(_xlfn.XLOOKUP(Tabela1[[#This Row],[Motorista]],Base!A:A,Base!B:B),""))</f>
        <v>FOB</v>
      </c>
      <c r="N1527" s="20" t="str">
        <f t="shared" si="76"/>
        <v>Finalizado</v>
      </c>
      <c r="O15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7" s="4">
        <v>0.65</v>
      </c>
      <c r="Q1527" s="4">
        <v>0.65625</v>
      </c>
      <c r="R1527" s="23">
        <v>0.70486111111111116</v>
      </c>
      <c r="S1527" s="94" t="s">
        <v>254</v>
      </c>
      <c r="T1527" s="14">
        <f>IF(OR(Tabela1[[#This Row],[Entrada]]="",Tabela1[[#This Row],[Saída]]=""), "", Tabela1[[#This Row],[Saída]]-Tabela1[[#This Row],[Entrada]])</f>
        <v>4.861111111111116E-2</v>
      </c>
      <c r="U1527" s="15">
        <f>IF(OR('Controle de CT'!$R1527= "", 'Controle de CT'!$P1527= ""), "", 'Controle de CT'!$R1527-'Controle de CT'!$P1527)</f>
        <v>5.4861111111111138E-2</v>
      </c>
      <c r="V1527" s="1"/>
      <c r="W1527" s="2"/>
      <c r="X1527" s="2"/>
    </row>
    <row r="1528" spans="11:24" ht="15" hidden="1" customHeight="1">
      <c r="K1528" s="5">
        <v>46135</v>
      </c>
      <c r="L1528" s="8" t="s">
        <v>116</v>
      </c>
      <c r="M1528" s="9" t="str">
        <f>IF(Tabela1[[#This Row],[Motorista]]="","",IFERROR(_xlfn.XLOOKUP(Tabela1[[#This Row],[Motorista]],Base!A:A,Base!B:B),""))</f>
        <v xml:space="preserve">CIF </v>
      </c>
      <c r="N1528" s="20" t="str">
        <f t="shared" si="76"/>
        <v>Finalizado</v>
      </c>
      <c r="O15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28" s="4">
        <v>0.21597222222222223</v>
      </c>
      <c r="Q1528" s="4">
        <v>0.26041666666666669</v>
      </c>
      <c r="R1528" s="23">
        <v>0.29305555555555557</v>
      </c>
      <c r="S1528" s="94" t="s">
        <v>254</v>
      </c>
      <c r="T1528" s="1"/>
      <c r="U1528" s="15">
        <f>IF(OR('Controle de CT'!$R1528= "", 'Controle de CT'!$P1528= ""), "", 'Controle de CT'!$R1528-'Controle de CT'!$P1528)</f>
        <v>7.7083333333333337E-2</v>
      </c>
      <c r="V1528" s="1"/>
      <c r="W1528" s="2"/>
      <c r="X1528" s="2"/>
    </row>
    <row r="1529" spans="11:24" ht="15" hidden="1" customHeight="1">
      <c r="K1529" s="5">
        <v>46135</v>
      </c>
      <c r="L1529" s="8" t="s">
        <v>101</v>
      </c>
      <c r="M1529" s="9" t="str">
        <f>IF(Tabela1[[#This Row],[Motorista]]="","",IFERROR(_xlfn.XLOOKUP(Tabela1[[#This Row],[Motorista]],Base!A:A,Base!B:B),""))</f>
        <v>FOB</v>
      </c>
      <c r="N1529" s="20" t="str">
        <f t="shared" si="76"/>
        <v>Finalizado</v>
      </c>
      <c r="O15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29" s="4">
        <v>0.21944444444444444</v>
      </c>
      <c r="Q1529" s="4">
        <v>0.28819444444444442</v>
      </c>
      <c r="R1529" s="23">
        <v>0.34583333333333333</v>
      </c>
      <c r="S1529" s="94" t="s">
        <v>254</v>
      </c>
      <c r="T1529" s="1"/>
      <c r="U1529" s="15">
        <f>IF(OR('Controle de CT'!$R1529= "", 'Controle de CT'!$P1529= ""), "", 'Controle de CT'!$R1529-'Controle de CT'!$P1529)</f>
        <v>0.12638888888888888</v>
      </c>
      <c r="V1529" s="1"/>
      <c r="W1529" s="2"/>
      <c r="X1529" s="2"/>
    </row>
    <row r="1530" spans="11:24" ht="15" hidden="1" customHeight="1">
      <c r="K1530" s="5">
        <v>46135</v>
      </c>
      <c r="L1530" s="8" t="s">
        <v>45</v>
      </c>
      <c r="M1530" s="9" t="str">
        <f>IF(Tabela1[[#This Row],[Motorista]]="","",IFERROR(_xlfn.XLOOKUP(Tabela1[[#This Row],[Motorista]],Base!A:A,Base!B:B),""))</f>
        <v>CIF</v>
      </c>
      <c r="N1530" s="20" t="str">
        <f t="shared" si="76"/>
        <v>Finalizado</v>
      </c>
      <c r="O15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0" s="4">
        <v>0.22569444444444445</v>
      </c>
      <c r="Q1530" s="4">
        <v>0.27013888888888887</v>
      </c>
      <c r="R1530" s="23">
        <v>0.3034722222222222</v>
      </c>
      <c r="S1530" s="94" t="s">
        <v>254</v>
      </c>
      <c r="T1530" s="1"/>
      <c r="U1530" s="15">
        <f>IF(OR('Controle de CT'!$R1530= "", 'Controle de CT'!$P1530= ""), "", 'Controle de CT'!$R1530-'Controle de CT'!$P1530)</f>
        <v>7.7777777777777751E-2</v>
      </c>
      <c r="V1530" s="1"/>
      <c r="W1530" s="2"/>
      <c r="X1530" s="2"/>
    </row>
    <row r="1531" spans="11:24" ht="15" hidden="1" customHeight="1">
      <c r="K1531" s="5">
        <v>46135</v>
      </c>
      <c r="L1531" s="8" t="s">
        <v>90</v>
      </c>
      <c r="M1531" s="9" t="str">
        <f>IF(Tabela1[[#This Row],[Motorista]]="","",IFERROR(_xlfn.XLOOKUP(Tabela1[[#This Row],[Motorista]],Base!A:A,Base!B:B),""))</f>
        <v>FOB</v>
      </c>
      <c r="N1531" s="20" t="str">
        <f t="shared" si="76"/>
        <v>Finalizado</v>
      </c>
      <c r="O15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1" s="4">
        <v>0.25069444444444444</v>
      </c>
      <c r="Q1531" s="4">
        <v>0.39652777777777776</v>
      </c>
      <c r="R1531" s="23">
        <v>0.4465277777777778</v>
      </c>
      <c r="S1531" s="94" t="s">
        <v>254</v>
      </c>
      <c r="T1531" s="1"/>
      <c r="U1531" s="15">
        <f>IF(OR('Controle de CT'!$R1531= "", 'Controle de CT'!$P1531= ""), "", 'Controle de CT'!$R1531-'Controle de CT'!$P1531)</f>
        <v>0.19583333333333336</v>
      </c>
      <c r="V1531" s="1" t="s">
        <v>170</v>
      </c>
      <c r="W1531" s="2"/>
      <c r="X1531" s="2"/>
    </row>
    <row r="1532" spans="11:24" ht="15" hidden="1" customHeight="1">
      <c r="K1532" s="5">
        <v>46135</v>
      </c>
      <c r="L1532" s="8" t="s">
        <v>54</v>
      </c>
      <c r="M1532" s="9" t="str">
        <f>IF(Tabela1[[#This Row],[Motorista]]="","",IFERROR(_xlfn.XLOOKUP(Tabela1[[#This Row],[Motorista]],Base!A:A,Base!B:B),""))</f>
        <v>CIF</v>
      </c>
      <c r="N1532" s="20" t="str">
        <f t="shared" ref="N1532:N1563" si="77">IF(R1532&lt;&gt;"","Finalizado", IF(Q1532&lt;&gt;"","Fila de Carregamento", IF(P1532&lt;&gt;"","Aguardando Entrada","")))</f>
        <v>Finalizado</v>
      </c>
      <c r="O15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32" s="4">
        <v>0.25069444444444444</v>
      </c>
      <c r="Q1532" s="4">
        <v>0.41805555555555557</v>
      </c>
      <c r="R1532" s="23">
        <v>0.49166666666666664</v>
      </c>
      <c r="S1532" s="94" t="s">
        <v>254</v>
      </c>
      <c r="T1532" s="1"/>
      <c r="U1532" s="15">
        <f>IF(OR('Controle de CT'!$R1532= "", 'Controle de CT'!$P1532= ""), "", 'Controle de CT'!$R1532-'Controle de CT'!$P1532)</f>
        <v>0.2409722222222222</v>
      </c>
      <c r="V1532" s="1" t="s">
        <v>403</v>
      </c>
      <c r="W1532" s="2"/>
      <c r="X1532" s="2"/>
    </row>
    <row r="1533" spans="11:24" ht="15" hidden="1" customHeight="1">
      <c r="K1533" s="5">
        <v>46135</v>
      </c>
      <c r="L1533" s="8" t="s">
        <v>52</v>
      </c>
      <c r="M1533" s="9" t="str">
        <f>IF(Tabela1[[#This Row],[Motorista]]="","",IFERROR(_xlfn.XLOOKUP(Tabela1[[#This Row],[Motorista]],Base!A:A,Base!B:B),""))</f>
        <v>CIF</v>
      </c>
      <c r="N1533" s="20" t="str">
        <f t="shared" si="77"/>
        <v>Finalizado</v>
      </c>
      <c r="O15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3" s="4">
        <v>0.25069444444444444</v>
      </c>
      <c r="Q1533" s="4">
        <v>0.27013888888888887</v>
      </c>
      <c r="R1533" s="23">
        <v>0.30416666666666664</v>
      </c>
      <c r="S1533" s="94" t="s">
        <v>254</v>
      </c>
      <c r="T1533" s="1"/>
      <c r="U1533" s="15">
        <f>IF(OR('Controle de CT'!$R1533= "", 'Controle de CT'!$P1533= ""), "", 'Controle de CT'!$R1533-'Controle de CT'!$P1533)</f>
        <v>5.3472222222222199E-2</v>
      </c>
      <c r="V1533" s="1"/>
      <c r="W1533" s="2"/>
      <c r="X1533" s="2"/>
    </row>
    <row r="1534" spans="11:24" ht="15" hidden="1" customHeight="1">
      <c r="K1534" s="5">
        <v>46135</v>
      </c>
      <c r="L1534" s="8" t="s">
        <v>58</v>
      </c>
      <c r="M1534" s="9" t="str">
        <f>IF(Tabela1[[#This Row],[Motorista]]="","",IFERROR(_xlfn.XLOOKUP(Tabela1[[#This Row],[Motorista]],Base!A:A,Base!B:B),""))</f>
        <v xml:space="preserve">CIF </v>
      </c>
      <c r="N1534" s="20" t="str">
        <f t="shared" si="77"/>
        <v>Finalizado</v>
      </c>
      <c r="O15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4" s="4">
        <v>0.25138888888888888</v>
      </c>
      <c r="Q1534" s="4">
        <v>0.27361111111111114</v>
      </c>
      <c r="R1534" s="23">
        <v>0.3215277777777778</v>
      </c>
      <c r="S1534" s="94" t="s">
        <v>254</v>
      </c>
      <c r="T1534" s="1"/>
      <c r="U1534" s="15">
        <f>IF(OR('Controle de CT'!$R1534= "", 'Controle de CT'!$P1534= ""), "", 'Controle de CT'!$R1534-'Controle de CT'!$P1534)</f>
        <v>7.0138888888888917E-2</v>
      </c>
      <c r="V1534" s="1"/>
      <c r="W1534" s="2"/>
      <c r="X1534" s="2"/>
    </row>
    <row r="1535" spans="11:24" ht="15" hidden="1" customHeight="1">
      <c r="K1535" s="5">
        <v>46135</v>
      </c>
      <c r="L1535" t="s">
        <v>278</v>
      </c>
      <c r="M1535" s="24" t="s">
        <v>63</v>
      </c>
      <c r="N1535" s="20" t="str">
        <f t="shared" si="77"/>
        <v>Finalizado</v>
      </c>
      <c r="O15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35" s="4">
        <v>0.25416666666666665</v>
      </c>
      <c r="Q1535" s="4">
        <v>0.40069444444444446</v>
      </c>
      <c r="R1535" s="23">
        <v>0.46597222222222223</v>
      </c>
      <c r="S1535" s="94" t="s">
        <v>254</v>
      </c>
      <c r="T1535" s="1"/>
      <c r="U1535" s="15">
        <f>IF(OR('Controle de CT'!$R1535= "", 'Controle de CT'!$P1535= ""), "", 'Controle de CT'!$R1535-'Controle de CT'!$P1535)</f>
        <v>0.21180555555555558</v>
      </c>
      <c r="V1535" s="1" t="s">
        <v>170</v>
      </c>
      <c r="W1535" s="2"/>
      <c r="X1535" s="2"/>
    </row>
    <row r="1536" spans="11:24" ht="15" hidden="1" customHeight="1">
      <c r="K1536" s="5">
        <v>46135</v>
      </c>
      <c r="L1536" s="8" t="s">
        <v>235</v>
      </c>
      <c r="M1536" s="9" t="str">
        <f>IF(Tabela1[[#This Row],[Motorista]]="","",IFERROR(_xlfn.XLOOKUP(Tabela1[[#This Row],[Motorista]],Base!A:A,Base!B:B),""))</f>
        <v>Transferência</v>
      </c>
      <c r="N1536" s="20" t="str">
        <f t="shared" si="77"/>
        <v>Finalizado</v>
      </c>
      <c r="O15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36" s="4">
        <v>0.26250000000000001</v>
      </c>
      <c r="Q1536" s="4">
        <v>0.32013888888888886</v>
      </c>
      <c r="R1536" s="23">
        <v>0.40972222222222221</v>
      </c>
      <c r="S1536" s="94" t="s">
        <v>254</v>
      </c>
      <c r="T1536" s="1"/>
      <c r="U1536" s="15">
        <f>IF(OR('Controle de CT'!$R1536= "", 'Controle de CT'!$P1536= ""), "", 'Controle de CT'!$R1536-'Controle de CT'!$P1536)</f>
        <v>0.1472222222222222</v>
      </c>
      <c r="V1536" s="1" t="s">
        <v>226</v>
      </c>
      <c r="W1536" s="2"/>
      <c r="X1536" s="2"/>
    </row>
    <row r="1537" spans="11:24" ht="15" hidden="1" customHeight="1">
      <c r="K1537" s="5">
        <v>46135</v>
      </c>
      <c r="L1537" s="8" t="s">
        <v>135</v>
      </c>
      <c r="M1537" s="9" t="str">
        <f>IF(Tabela1[[#This Row],[Motorista]]="","",IFERROR(_xlfn.XLOOKUP(Tabela1[[#This Row],[Motorista]],Base!A:A,Base!B:B),""))</f>
        <v>Transferência</v>
      </c>
      <c r="N1537" s="20" t="str">
        <f t="shared" si="77"/>
        <v>Finalizado</v>
      </c>
      <c r="O15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37" s="4">
        <v>0.2638888888888889</v>
      </c>
      <c r="Q1537" s="4">
        <v>0.32847222222222222</v>
      </c>
      <c r="R1537" s="23">
        <v>0.64583333333333337</v>
      </c>
      <c r="S1537" s="94" t="s">
        <v>254</v>
      </c>
      <c r="T1537" s="1"/>
      <c r="U1537" s="15">
        <f>IF(OR('Controle de CT'!$R1537= "", 'Controle de CT'!$P1537= ""), "", 'Controle de CT'!$R1537-'Controle de CT'!$P1537)</f>
        <v>0.38194444444444448</v>
      </c>
      <c r="V1537" s="1" t="s">
        <v>404</v>
      </c>
      <c r="W1537" s="2"/>
      <c r="X1537" s="2"/>
    </row>
    <row r="1538" spans="11:24" ht="15" hidden="1" customHeight="1">
      <c r="K1538" s="5">
        <v>46135</v>
      </c>
      <c r="L1538" s="8" t="s">
        <v>146</v>
      </c>
      <c r="M1538" s="9" t="str">
        <f>IF(Tabela1[[#This Row],[Motorista]]="","",IFERROR(_xlfn.XLOOKUP(Tabela1[[#This Row],[Motorista]],Base!A:A,Base!B:B),""))</f>
        <v>Transferência</v>
      </c>
      <c r="N1538" s="20" t="str">
        <f t="shared" si="77"/>
        <v>Finalizado</v>
      </c>
      <c r="O15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38" s="4">
        <v>0.2638888888888889</v>
      </c>
      <c r="Q1538" s="4">
        <v>0.3263888888888889</v>
      </c>
      <c r="R1538" s="23">
        <v>0.65277777777777779</v>
      </c>
      <c r="S1538" s="94" t="s">
        <v>254</v>
      </c>
      <c r="T1538" s="1"/>
      <c r="U1538" s="15">
        <f>IF(OR('Controle de CT'!$R1538= "", 'Controle de CT'!$P1538= ""), "", 'Controle de CT'!$R1538-'Controle de CT'!$P1538)</f>
        <v>0.3888888888888889</v>
      </c>
      <c r="V1538" s="1" t="s">
        <v>226</v>
      </c>
      <c r="W1538" s="2"/>
      <c r="X1538" s="2"/>
    </row>
    <row r="1539" spans="11:24" ht="15" hidden="1" customHeight="1">
      <c r="K1539" s="5">
        <v>46135</v>
      </c>
      <c r="L1539" t="s">
        <v>96</v>
      </c>
      <c r="M1539" s="24" t="s">
        <v>64</v>
      </c>
      <c r="N1539" s="20" t="str">
        <f t="shared" si="77"/>
        <v>Finalizado</v>
      </c>
      <c r="O15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39" s="4">
        <v>0.28125</v>
      </c>
      <c r="Q1539" s="4">
        <v>0.32291666666666669</v>
      </c>
      <c r="R1539" s="23">
        <v>0.625</v>
      </c>
      <c r="S1539" s="94" t="s">
        <v>254</v>
      </c>
      <c r="T1539" s="14">
        <f>IF(OR(Tabela1[[#This Row],[Entrada]]="",Tabela1[[#This Row],[Saída]]=""), "", Tabela1[[#This Row],[Saída]]-Tabela1[[#This Row],[Entrada]])</f>
        <v>0.30208333333333331</v>
      </c>
      <c r="U1539" s="15">
        <f>IF(OR('Controle de CT'!$R1539= "", 'Controle de CT'!$P1539= ""), "", 'Controle de CT'!$R1539-'Controle de CT'!$P1539)</f>
        <v>0.34375</v>
      </c>
      <c r="V1539" s="1" t="s">
        <v>405</v>
      </c>
      <c r="W1539" s="2"/>
      <c r="X1539" s="2"/>
    </row>
    <row r="1540" spans="11:24" ht="15" hidden="1" customHeight="1">
      <c r="K1540" s="5">
        <v>46135</v>
      </c>
      <c r="L1540" s="8" t="s">
        <v>255</v>
      </c>
      <c r="M1540" s="9" t="s">
        <v>62</v>
      </c>
      <c r="N1540" s="20" t="str">
        <f t="shared" si="77"/>
        <v>Finalizado</v>
      </c>
      <c r="O15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0" s="4">
        <v>0.26250000000000001</v>
      </c>
      <c r="Q1540" s="4">
        <v>0.28749999999999998</v>
      </c>
      <c r="R1540" s="23">
        <v>0.33124999999999999</v>
      </c>
      <c r="S1540" s="94" t="s">
        <v>254</v>
      </c>
      <c r="T1540" s="1"/>
      <c r="U1540" s="15">
        <f>IF(OR('Controle de CT'!$R1540= "", 'Controle de CT'!$P1540= ""), "", 'Controle de CT'!$R1540-'Controle de CT'!$P1540)</f>
        <v>6.8749999999999978E-2</v>
      </c>
      <c r="V1540" s="1"/>
      <c r="W1540" s="2"/>
      <c r="X1540" s="2"/>
    </row>
    <row r="1541" spans="11:24" ht="15" hidden="1" customHeight="1">
      <c r="K1541" s="5">
        <v>46135</v>
      </c>
      <c r="L1541" s="8" t="s">
        <v>55</v>
      </c>
      <c r="M1541" s="9" t="str">
        <f>IF(Tabela1[[#This Row],[Motorista]]="","",IFERROR(_xlfn.XLOOKUP(Tabela1[[#This Row],[Motorista]],Base!A:A,Base!B:B),""))</f>
        <v>CIF</v>
      </c>
      <c r="N1541" s="20" t="str">
        <f t="shared" si="77"/>
        <v>Finalizado</v>
      </c>
      <c r="O15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41" s="4">
        <v>0.26319444444444445</v>
      </c>
      <c r="Q1541" s="4">
        <v>0.33750000000000002</v>
      </c>
      <c r="R1541" s="23">
        <v>0.45208333333333334</v>
      </c>
      <c r="S1541" s="94" t="s">
        <v>254</v>
      </c>
      <c r="T1541" s="1"/>
      <c r="U1541" s="15">
        <f>IF(OR('Controle de CT'!$R1541= "", 'Controle de CT'!$P1541= ""), "", 'Controle de CT'!$R1541-'Controle de CT'!$P1541)</f>
        <v>0.18888888888888888</v>
      </c>
      <c r="V1541" s="1" t="s">
        <v>406</v>
      </c>
      <c r="W1541" s="2"/>
      <c r="X1541" s="2"/>
    </row>
    <row r="1542" spans="11:24" ht="15" hidden="1" customHeight="1">
      <c r="K1542" s="5">
        <v>46135</v>
      </c>
      <c r="L1542" t="s">
        <v>92</v>
      </c>
      <c r="M1542" s="24" t="s">
        <v>63</v>
      </c>
      <c r="N1542" s="20" t="str">
        <f t="shared" si="77"/>
        <v>Finalizado</v>
      </c>
      <c r="O15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42" s="4">
        <v>0.33333333333333331</v>
      </c>
      <c r="Q1542" s="4">
        <v>0.34375</v>
      </c>
      <c r="R1542" s="23">
        <v>0.37777777777777777</v>
      </c>
      <c r="S1542" s="94" t="s">
        <v>254</v>
      </c>
      <c r="T1542" s="1"/>
      <c r="U1542" s="15">
        <f>IF(OR('Controle de CT'!$R1542= "", 'Controle de CT'!$P1542= ""), "", 'Controle de CT'!$R1542-'Controle de CT'!$P1542)</f>
        <v>4.4444444444444453E-2</v>
      </c>
      <c r="V1542" s="1"/>
      <c r="W1542" s="2"/>
      <c r="X1542" s="2"/>
    </row>
    <row r="1543" spans="11:24" ht="15" hidden="1" customHeight="1">
      <c r="K1543" s="5">
        <v>46135</v>
      </c>
      <c r="L1543" s="8" t="s">
        <v>199</v>
      </c>
      <c r="M1543" s="9" t="str">
        <f>IF(Tabela1[[#This Row],[Motorista]]="","",IFERROR(_xlfn.XLOOKUP(Tabela1[[#This Row],[Motorista]],Base!A:A,Base!B:B),""))</f>
        <v>FOB</v>
      </c>
      <c r="N1543" s="20" t="str">
        <f t="shared" si="77"/>
        <v>Finalizado</v>
      </c>
      <c r="O15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43" s="4">
        <v>0.33541666666666664</v>
      </c>
      <c r="Q1543" s="4">
        <v>0.37291666666666667</v>
      </c>
      <c r="R1543" s="23">
        <v>0.4861111111111111</v>
      </c>
      <c r="S1543" s="94" t="s">
        <v>254</v>
      </c>
      <c r="T1543" s="1"/>
      <c r="U1543" s="15">
        <f>IF(OR('Controle de CT'!$R1543= "", 'Controle de CT'!$P1543= ""), "", 'Controle de CT'!$R1543-'Controle de CT'!$P1543)</f>
        <v>0.15069444444444446</v>
      </c>
      <c r="V1543" s="1"/>
      <c r="W1543" s="2"/>
      <c r="X1543" s="2"/>
    </row>
    <row r="1544" spans="11:24" ht="15" hidden="1" customHeight="1">
      <c r="K1544" s="5">
        <v>46135</v>
      </c>
      <c r="L1544" s="8" t="s">
        <v>87</v>
      </c>
      <c r="M1544" s="9" t="str">
        <f>IF(Tabela1[[#This Row],[Motorista]]="","",IFERROR(_xlfn.XLOOKUP(Tabela1[[#This Row],[Motorista]],Base!A:A,Base!B:B),""))</f>
        <v>FOB</v>
      </c>
      <c r="N1544" s="20" t="str">
        <f t="shared" si="77"/>
        <v>Finalizado</v>
      </c>
      <c r="O15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44" s="4">
        <v>0.42569444444444443</v>
      </c>
      <c r="Q1544" s="4">
        <v>0.44374999999999998</v>
      </c>
      <c r="R1544" s="23">
        <v>0.51249999999999996</v>
      </c>
      <c r="S1544" s="94" t="s">
        <v>254</v>
      </c>
      <c r="T1544" s="1"/>
      <c r="U1544" s="15">
        <f>IF(OR('Controle de CT'!$R1544= "", 'Controle de CT'!$P1544= ""), "", 'Controle de CT'!$R1544-'Controle de CT'!$P1544)</f>
        <v>8.6805555555555525E-2</v>
      </c>
      <c r="V1544" s="1"/>
      <c r="W1544" s="2"/>
      <c r="X1544" s="2"/>
    </row>
    <row r="1545" spans="11:24" ht="15" hidden="1" customHeight="1">
      <c r="K1545" s="5">
        <v>46135</v>
      </c>
      <c r="L1545" s="8" t="s">
        <v>45</v>
      </c>
      <c r="M1545" s="9" t="str">
        <f>IF(Tabela1[[#This Row],[Motorista]]="","",IFERROR(_xlfn.XLOOKUP(Tabela1[[#This Row],[Motorista]],Base!A:A,Base!B:B),""))</f>
        <v>CIF</v>
      </c>
      <c r="N1545" s="20" t="str">
        <f t="shared" si="77"/>
        <v>Finalizado</v>
      </c>
      <c r="O15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5" s="4">
        <v>0.43472222222222223</v>
      </c>
      <c r="Q1545" s="4">
        <v>0.44166666666666665</v>
      </c>
      <c r="R1545" s="23">
        <v>0.50694444444444442</v>
      </c>
      <c r="S1545" s="94" t="s">
        <v>254</v>
      </c>
      <c r="T1545" s="1"/>
      <c r="U1545" s="15">
        <f>IF(OR('Controle de CT'!$R1545= "", 'Controle de CT'!$P1545= ""), "", 'Controle de CT'!$R1545-'Controle de CT'!$P1545)</f>
        <v>7.2222222222222188E-2</v>
      </c>
      <c r="V1545" s="1"/>
      <c r="W1545" s="2"/>
      <c r="X1545" s="2"/>
    </row>
    <row r="1546" spans="11:24" ht="15" hidden="1" customHeight="1">
      <c r="K1546" s="5">
        <v>46135</v>
      </c>
      <c r="L1546" s="8" t="s">
        <v>255</v>
      </c>
      <c r="M1546" s="9" t="s">
        <v>62</v>
      </c>
      <c r="N1546" s="20" t="str">
        <f t="shared" si="77"/>
        <v>Finalizado</v>
      </c>
      <c r="O15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6" s="4">
        <v>0.44027777777777777</v>
      </c>
      <c r="Q1546" s="4">
        <v>0.45208333333333334</v>
      </c>
      <c r="R1546" s="23">
        <v>0.51111111111111107</v>
      </c>
      <c r="S1546" s="94" t="s">
        <v>254</v>
      </c>
      <c r="T1546" s="1"/>
      <c r="U1546" s="15">
        <f>IF(OR('Controle de CT'!$R1546= "", 'Controle de CT'!$P1546= ""), "", 'Controle de CT'!$R1546-'Controle de CT'!$P1546)</f>
        <v>7.0833333333333304E-2</v>
      </c>
      <c r="V1546" s="1"/>
      <c r="W1546" s="2"/>
      <c r="X1546" s="2"/>
    </row>
    <row r="1547" spans="11:24" ht="15" hidden="1" customHeight="1">
      <c r="K1547" s="5">
        <v>46135</v>
      </c>
      <c r="L1547" s="8" t="s">
        <v>58</v>
      </c>
      <c r="M1547" s="9" t="str">
        <f>IF(Tabela1[[#This Row],[Motorista]]="","",IFERROR(_xlfn.XLOOKUP(Tabela1[[#This Row],[Motorista]],Base!A:A,Base!B:B),""))</f>
        <v xml:space="preserve">CIF </v>
      </c>
      <c r="N1547" s="20" t="str">
        <f t="shared" si="77"/>
        <v>Finalizado</v>
      </c>
      <c r="O15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7" s="4">
        <v>0.47013888888888888</v>
      </c>
      <c r="Q1547" s="4">
        <v>0.52083333333333337</v>
      </c>
      <c r="R1547" s="23">
        <v>0.56527777777777777</v>
      </c>
      <c r="S1547" s="94" t="s">
        <v>254</v>
      </c>
      <c r="T1547" s="1"/>
      <c r="U1547" s="15">
        <f>IF(OR('Controle de CT'!$R1547= "", 'Controle de CT'!$P1547= ""), "", 'Controle de CT'!$R1547-'Controle de CT'!$P1547)</f>
        <v>9.5138888888888884E-2</v>
      </c>
      <c r="V1547" s="1"/>
      <c r="W1547" s="2"/>
      <c r="X1547" s="2"/>
    </row>
    <row r="1548" spans="11:24" ht="15" hidden="1" customHeight="1">
      <c r="K1548" s="5">
        <v>46135</v>
      </c>
      <c r="L1548" s="8" t="s">
        <v>52</v>
      </c>
      <c r="M1548" s="9" t="str">
        <f>IF(Tabela1[[#This Row],[Motorista]]="","",IFERROR(_xlfn.XLOOKUP(Tabela1[[#This Row],[Motorista]],Base!A:A,Base!B:B),""))</f>
        <v>CIF</v>
      </c>
      <c r="N1548" s="20" t="str">
        <f t="shared" si="77"/>
        <v>Finalizado</v>
      </c>
      <c r="O15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8" s="4">
        <v>0.47013888888888888</v>
      </c>
      <c r="Q1548" s="4">
        <v>0.58333333333333337</v>
      </c>
      <c r="R1548" s="23">
        <v>0.63958333333333328</v>
      </c>
      <c r="S1548" s="94" t="s">
        <v>254</v>
      </c>
      <c r="T1548" s="1"/>
      <c r="U1548" s="15">
        <f>IF(OR('Controle de CT'!$R1548= "", 'Controle de CT'!$P1548= ""), "", 'Controle de CT'!$R1548-'Controle de CT'!$P1548)</f>
        <v>0.1694444444444444</v>
      </c>
      <c r="V1548" s="1" t="s">
        <v>407</v>
      </c>
      <c r="W1548" s="2"/>
      <c r="X1548" s="2"/>
    </row>
    <row r="1549" spans="11:24" ht="15" hidden="1" customHeight="1">
      <c r="K1549" s="5">
        <v>46135</v>
      </c>
      <c r="L1549" s="8" t="s">
        <v>116</v>
      </c>
      <c r="M1549" s="9" t="str">
        <f>IF(Tabela1[[#This Row],[Motorista]]="","",IFERROR(_xlfn.XLOOKUP(Tabela1[[#This Row],[Motorista]],Base!A:A,Base!B:B),""))</f>
        <v xml:space="preserve">CIF </v>
      </c>
      <c r="N1549" s="20" t="str">
        <f t="shared" si="77"/>
        <v>Finalizado</v>
      </c>
      <c r="O15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49" s="4">
        <v>0.46527777777777779</v>
      </c>
      <c r="Q1549" s="4">
        <v>0.51111111111111107</v>
      </c>
      <c r="R1549" s="23">
        <v>0.54097222222222219</v>
      </c>
      <c r="S1549" s="94" t="s">
        <v>254</v>
      </c>
      <c r="T1549" s="1"/>
      <c r="U1549" s="15">
        <f>IF(OR('Controle de CT'!$R1549= "", 'Controle de CT'!$P1549= ""), "", 'Controle de CT'!$R1549-'Controle de CT'!$P1549)</f>
        <v>7.5694444444444398E-2</v>
      </c>
      <c r="V1549" s="1"/>
      <c r="W1549" s="2"/>
      <c r="X1549" s="2"/>
    </row>
    <row r="1550" spans="11:24" ht="15" hidden="1" customHeight="1">
      <c r="K1550" s="5">
        <v>46135</v>
      </c>
      <c r="L1550" s="8" t="s">
        <v>98</v>
      </c>
      <c r="M1550" s="9" t="str">
        <f>IF(Tabela1[[#This Row],[Motorista]]="","",IFERROR(_xlfn.XLOOKUP(Tabela1[[#This Row],[Motorista]],Base!A:A,Base!B:B),""))</f>
        <v>FOB</v>
      </c>
      <c r="N1550" s="20" t="str">
        <f t="shared" si="77"/>
        <v>Finalizado</v>
      </c>
      <c r="O15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0" s="4">
        <v>0.51944444444444449</v>
      </c>
      <c r="Q1550" s="4">
        <v>0.58333333333333337</v>
      </c>
      <c r="R1550" s="23">
        <v>0.64861111111111114</v>
      </c>
      <c r="S1550" s="94" t="s">
        <v>254</v>
      </c>
      <c r="T1550" s="1"/>
      <c r="U1550" s="15">
        <f>IF(OR('Controle de CT'!$R1550= "", 'Controle de CT'!$P1550= ""), "", 'Controle de CT'!$R1550-'Controle de CT'!$P1550)</f>
        <v>0.12916666666666665</v>
      </c>
      <c r="V1550" s="1"/>
      <c r="W1550" s="2"/>
      <c r="X1550" s="2"/>
    </row>
    <row r="1551" spans="11:24" ht="15" hidden="1" customHeight="1">
      <c r="K1551" s="5">
        <v>46135</v>
      </c>
      <c r="L1551" s="8" t="s">
        <v>90</v>
      </c>
      <c r="M1551" s="9" t="str">
        <f>IF(Tabela1[[#This Row],[Motorista]]="","",IFERROR(_xlfn.XLOOKUP(Tabela1[[#This Row],[Motorista]],Base!A:A,Base!B:B),""))</f>
        <v>FOB</v>
      </c>
      <c r="N1551" s="20" t="str">
        <f t="shared" si="77"/>
        <v>Finalizado</v>
      </c>
      <c r="O15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51" s="4">
        <v>0.55972222222222223</v>
      </c>
      <c r="Q1551" s="4">
        <v>0.63888888888888884</v>
      </c>
      <c r="R1551" s="23">
        <v>0.74305555555555558</v>
      </c>
      <c r="S1551" s="94" t="s">
        <v>254</v>
      </c>
      <c r="T1551" s="1"/>
      <c r="U1551" s="15">
        <f>IF(OR('Controle de CT'!$R1551= "", 'Controle de CT'!$P1551= ""), "", 'Controle de CT'!$R1551-'Controle de CT'!$P1551)</f>
        <v>0.18333333333333335</v>
      </c>
      <c r="V1551" s="1" t="s">
        <v>220</v>
      </c>
      <c r="W1551" s="2"/>
      <c r="X1551" s="2"/>
    </row>
    <row r="1552" spans="11:24" ht="15" hidden="1" customHeight="1">
      <c r="K1552" s="5">
        <v>46135</v>
      </c>
      <c r="L1552" t="s">
        <v>91</v>
      </c>
      <c r="M1552" s="24" t="s">
        <v>63</v>
      </c>
      <c r="N1552" s="20" t="str">
        <f t="shared" si="77"/>
        <v>Finalizado</v>
      </c>
      <c r="O15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2" s="4">
        <v>0.57430555555555551</v>
      </c>
      <c r="Q1552" s="4">
        <v>0.6875</v>
      </c>
      <c r="R1552" s="23">
        <v>0.8125</v>
      </c>
      <c r="S1552" s="94" t="s">
        <v>254</v>
      </c>
      <c r="T1552" s="1"/>
      <c r="U1552" s="15">
        <f>IF(OR('Controle de CT'!$R1552= "", 'Controle de CT'!$P1552= ""), "", 'Controle de CT'!$R1552-'Controle de CT'!$P1552)</f>
        <v>0.23819444444444449</v>
      </c>
      <c r="V1552" s="1" t="s">
        <v>220</v>
      </c>
      <c r="W1552" s="2"/>
      <c r="X1552" s="2"/>
    </row>
    <row r="1553" spans="11:24" ht="15" hidden="1" customHeight="1">
      <c r="K1553" s="5">
        <v>46135</v>
      </c>
      <c r="L1553" s="8" t="s">
        <v>107</v>
      </c>
      <c r="M1553" s="9" t="str">
        <f>IF(Tabela1[[#This Row],[Motorista]]="","",IFERROR(_xlfn.XLOOKUP(Tabela1[[#This Row],[Motorista]],Base!A:A,Base!B:B),""))</f>
        <v>FOB</v>
      </c>
      <c r="N1553" s="20" t="str">
        <f t="shared" si="77"/>
        <v>Finalizado</v>
      </c>
      <c r="O15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3" s="4">
        <v>0.57222222222222219</v>
      </c>
      <c r="Q1553" s="4">
        <v>0.58333333333333337</v>
      </c>
      <c r="R1553" s="23">
        <v>0.80208333333333337</v>
      </c>
      <c r="S1553" s="94" t="s">
        <v>254</v>
      </c>
      <c r="T1553" s="1"/>
      <c r="U1553" s="15">
        <f>IF(OR('Controle de CT'!$R1553= "", 'Controle de CT'!$P1553= ""), "", 'Controle de CT'!$R1553-'Controle de CT'!$P1553)</f>
        <v>0.22986111111111118</v>
      </c>
      <c r="V1553" s="1" t="s">
        <v>220</v>
      </c>
      <c r="W1553" s="2"/>
      <c r="X1553" s="2"/>
    </row>
    <row r="1554" spans="11:24" ht="15" hidden="1" customHeight="1">
      <c r="K1554" s="5">
        <v>46135</v>
      </c>
      <c r="L1554" t="s">
        <v>375</v>
      </c>
      <c r="M1554" s="9" t="str">
        <f>IF(Tabela1[[#This Row],[Motorista]]="","",IFERROR(_xlfn.XLOOKUP(Tabela1[[#This Row],[Motorista]],Base!A:A,Base!B:B),""))</f>
        <v>FOB</v>
      </c>
      <c r="N1554" s="20" t="str">
        <f t="shared" si="77"/>
        <v>Finalizado</v>
      </c>
      <c r="O15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4" s="4">
        <v>0.59444444444444444</v>
      </c>
      <c r="Q1554" s="4">
        <v>0.64930555555555558</v>
      </c>
      <c r="R1554" s="23">
        <v>0.69444444444444442</v>
      </c>
      <c r="S1554" s="94" t="s">
        <v>254</v>
      </c>
      <c r="T1554" s="1"/>
      <c r="U1554" s="15">
        <f>IF(OR('Controle de CT'!$R1554= "", 'Controle de CT'!$P1554= ""), "", 'Controle de CT'!$R1554-'Controle de CT'!$P1554)</f>
        <v>9.9999999999999978E-2</v>
      </c>
      <c r="V1554" s="1"/>
      <c r="W1554" s="2"/>
      <c r="X1554" s="2"/>
    </row>
    <row r="1555" spans="11:24" ht="15" hidden="1" customHeight="1">
      <c r="K1555" s="5">
        <v>46135</v>
      </c>
      <c r="L1555" t="s">
        <v>278</v>
      </c>
      <c r="M1555" s="9" t="str">
        <f>IF(Tabela1[[#This Row],[Motorista]]="","",IFERROR(_xlfn.XLOOKUP(Tabela1[[#This Row],[Motorista]],Base!A:A,Base!B:B),""))</f>
        <v>FOB</v>
      </c>
      <c r="N1555" s="20" t="str">
        <f t="shared" si="77"/>
        <v>Finalizado</v>
      </c>
      <c r="O15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55" s="4">
        <v>0.59861111111111109</v>
      </c>
      <c r="Q1555" s="4">
        <v>0.67291666666666672</v>
      </c>
      <c r="R1555" s="23">
        <v>0.80555555555555558</v>
      </c>
      <c r="S1555" s="94" t="s">
        <v>254</v>
      </c>
      <c r="T1555" s="1"/>
      <c r="U1555" s="15">
        <f>IF(OR('Controle de CT'!$R1555= "", 'Controle de CT'!$P1555= ""), "", 'Controle de CT'!$R1555-'Controle de CT'!$P1555)</f>
        <v>0.20694444444444449</v>
      </c>
      <c r="V1555" s="1" t="s">
        <v>220</v>
      </c>
      <c r="W1555" s="2"/>
      <c r="X1555" s="2"/>
    </row>
    <row r="1556" spans="11:24" ht="15" hidden="1" customHeight="1">
      <c r="K1556" s="5">
        <v>46135</v>
      </c>
      <c r="L1556" s="8" t="s">
        <v>89</v>
      </c>
      <c r="M1556" s="9" t="str">
        <f>IF(Tabela1[[#This Row],[Motorista]]="","",IFERROR(_xlfn.XLOOKUP(Tabela1[[#This Row],[Motorista]],Base!A:A,Base!B:B),""))</f>
        <v>FOB</v>
      </c>
      <c r="N1556" s="20" t="str">
        <f t="shared" si="77"/>
        <v>Finalizado</v>
      </c>
      <c r="O15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6" s="4">
        <v>0.62638888888888888</v>
      </c>
      <c r="Q1556" s="4">
        <v>0.69722222222222219</v>
      </c>
      <c r="R1556" s="23">
        <v>0.74305555555555558</v>
      </c>
      <c r="S1556" s="94" t="s">
        <v>254</v>
      </c>
      <c r="T1556" s="1"/>
      <c r="U1556" s="15">
        <f>IF(OR('Controle de CT'!$R1556= "", 'Controle de CT'!$P1556= ""), "", 'Controle de CT'!$R1556-'Controle de CT'!$P1556)</f>
        <v>0.1166666666666667</v>
      </c>
      <c r="V1556" s="1"/>
      <c r="W1556" s="2"/>
      <c r="X1556" s="2"/>
    </row>
    <row r="1557" spans="11:24" ht="15" hidden="1" customHeight="1">
      <c r="K1557" s="5">
        <v>46135</v>
      </c>
      <c r="L1557" s="8" t="s">
        <v>49</v>
      </c>
      <c r="M1557" s="9" t="str">
        <f>IF(Tabela1[[#This Row],[Motorista]]="","",IFERROR(_xlfn.XLOOKUP(Tabela1[[#This Row],[Motorista]],Base!A:A,Base!B:B),""))</f>
        <v>CIF</v>
      </c>
      <c r="N1557" s="20" t="str">
        <f t="shared" si="77"/>
        <v>Finalizado</v>
      </c>
      <c r="O15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7" s="4">
        <v>0.76041666666666663</v>
      </c>
      <c r="Q1557" s="4">
        <v>0.76527777777777772</v>
      </c>
      <c r="R1557" s="23">
        <v>0.88402777777777775</v>
      </c>
      <c r="S1557" s="94" t="s">
        <v>254</v>
      </c>
      <c r="T1557" s="1"/>
      <c r="U1557" s="15">
        <f>IF(OR('Controle de CT'!$R1557= "", 'Controle de CT'!$P1557= ""), "", 'Controle de CT'!$R1557-'Controle de CT'!$P1557)</f>
        <v>0.12361111111111112</v>
      </c>
      <c r="V1557" s="1" t="s">
        <v>220</v>
      </c>
      <c r="W1557" s="2"/>
      <c r="X1557" s="2"/>
    </row>
    <row r="1558" spans="11:24" ht="15" hidden="1" customHeight="1">
      <c r="K1558" s="5">
        <v>46136</v>
      </c>
      <c r="L1558" s="8" t="s">
        <v>45</v>
      </c>
      <c r="M1558" s="9" t="str">
        <f>IF(Tabela1[[#This Row],[Motorista]]="","",IFERROR(_xlfn.XLOOKUP(Tabela1[[#This Row],[Motorista]],Base!A:A,Base!B:B),""))</f>
        <v>CIF</v>
      </c>
      <c r="N1558" s="20" t="str">
        <f t="shared" si="77"/>
        <v>Finalizado</v>
      </c>
      <c r="O15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8" s="4">
        <v>0.22430555555555556</v>
      </c>
      <c r="Q1558" s="4">
        <v>0.27361111111111114</v>
      </c>
      <c r="R1558" s="23">
        <v>0.31874999999999998</v>
      </c>
      <c r="S1558" s="94" t="s">
        <v>254</v>
      </c>
      <c r="T1558" s="1"/>
      <c r="U1558" s="15">
        <f>IF(OR('Controle de CT'!$R1558= "", 'Controle de CT'!$P1558= ""), "", 'Controle de CT'!$R1558-'Controle de CT'!$P1558)</f>
        <v>9.4444444444444414E-2</v>
      </c>
      <c r="V1558" s="1"/>
      <c r="W1558" s="2"/>
      <c r="X1558" s="2"/>
    </row>
    <row r="1559" spans="11:24" ht="15" hidden="1" customHeight="1">
      <c r="K1559" s="5">
        <v>46136</v>
      </c>
      <c r="L1559" s="8" t="s">
        <v>116</v>
      </c>
      <c r="M1559" s="9" t="str">
        <f>IF(Tabela1[[#This Row],[Motorista]]="","",IFERROR(_xlfn.XLOOKUP(Tabela1[[#This Row],[Motorista]],Base!A:A,Base!B:B),""))</f>
        <v xml:space="preserve">CIF </v>
      </c>
      <c r="N1559" s="20" t="str">
        <f t="shared" si="77"/>
        <v>Finalizado</v>
      </c>
      <c r="O15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59" s="4">
        <v>0.23541666666666666</v>
      </c>
      <c r="Q1559" s="4">
        <v>0.27986111111111112</v>
      </c>
      <c r="R1559" s="23">
        <v>0.31736111111111109</v>
      </c>
      <c r="S1559" s="94" t="s">
        <v>254</v>
      </c>
      <c r="T1559" s="1"/>
      <c r="U1559" s="15">
        <f>IF(OR('Controle de CT'!$R1559= "", 'Controle de CT'!$P1559= ""), "", 'Controle de CT'!$R1559-'Controle de CT'!$P1559)</f>
        <v>8.1944444444444431E-2</v>
      </c>
      <c r="V1559" s="1"/>
      <c r="W1559" s="2"/>
      <c r="X1559" s="2"/>
    </row>
    <row r="1560" spans="11:24" ht="15" hidden="1" customHeight="1">
      <c r="K1560" s="5">
        <v>46136</v>
      </c>
      <c r="L1560" s="8" t="s">
        <v>255</v>
      </c>
      <c r="M1560" s="9" t="s">
        <v>62</v>
      </c>
      <c r="N1560" s="20" t="str">
        <f t="shared" si="77"/>
        <v>Finalizado</v>
      </c>
      <c r="O15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0" s="4">
        <v>0.25</v>
      </c>
      <c r="Q1560" s="4">
        <v>0.29097222222222224</v>
      </c>
      <c r="R1560" s="23">
        <v>0.32430555555555557</v>
      </c>
      <c r="S1560" s="94" t="s">
        <v>254</v>
      </c>
      <c r="T1560" s="1"/>
      <c r="U1560" s="15">
        <f>IF(OR('Controle de CT'!$R1560= "", 'Controle de CT'!$P1560= ""), "", 'Controle de CT'!$R1560-'Controle de CT'!$P1560)</f>
        <v>7.4305555555555569E-2</v>
      </c>
      <c r="V1560" s="1"/>
      <c r="W1560" s="2"/>
      <c r="X1560" s="2"/>
    </row>
    <row r="1561" spans="11:24" ht="15" hidden="1" customHeight="1">
      <c r="K1561" s="5">
        <v>46136</v>
      </c>
      <c r="L1561" s="8" t="s">
        <v>55</v>
      </c>
      <c r="M1561" s="9" t="str">
        <f>IF(Tabela1[[#This Row],[Motorista]]="","",IFERROR(_xlfn.XLOOKUP(Tabela1[[#This Row],[Motorista]],Base!A:A,Base!B:B),""))</f>
        <v>CIF</v>
      </c>
      <c r="N1561" s="20" t="str">
        <f t="shared" si="77"/>
        <v>Finalizado</v>
      </c>
      <c r="O15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1" s="4">
        <v>0.25277777777777777</v>
      </c>
      <c r="Q1561" s="4">
        <v>0.30277777777777776</v>
      </c>
      <c r="R1561" s="23">
        <v>0.36388888888888887</v>
      </c>
      <c r="S1561" s="94" t="s">
        <v>254</v>
      </c>
      <c r="T1561" s="1"/>
      <c r="U1561" s="15">
        <f>IF(OR('Controle de CT'!$R1561= "", 'Controle de CT'!$P1561= ""), "", 'Controle de CT'!$R1561-'Controle de CT'!$P1561)</f>
        <v>0.1111111111111111</v>
      </c>
      <c r="V1561" s="1" t="s">
        <v>408</v>
      </c>
      <c r="W1561" s="2"/>
      <c r="X1561" s="2"/>
    </row>
    <row r="1562" spans="11:24" ht="15" hidden="1" customHeight="1">
      <c r="K1562" s="5">
        <v>46136</v>
      </c>
      <c r="L1562" s="8" t="s">
        <v>52</v>
      </c>
      <c r="M1562" s="9" t="str">
        <f>IF(Tabela1[[#This Row],[Motorista]]="","",IFERROR(_xlfn.XLOOKUP(Tabela1[[#This Row],[Motorista]],Base!A:A,Base!B:B),""))</f>
        <v>CIF</v>
      </c>
      <c r="N1562" s="20" t="str">
        <f t="shared" si="77"/>
        <v>Finalizado</v>
      </c>
      <c r="O15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2" s="4">
        <v>0.25277777777777777</v>
      </c>
      <c r="Q1562" s="4">
        <v>0.28888888888888886</v>
      </c>
      <c r="R1562" s="23">
        <v>0.32847222222222222</v>
      </c>
      <c r="S1562" s="94" t="s">
        <v>254</v>
      </c>
      <c r="T1562" s="1"/>
      <c r="U1562" s="15">
        <f>IF(OR('Controle de CT'!$R1562= "", 'Controle de CT'!$P1562= ""), "", 'Controle de CT'!$R1562-'Controle de CT'!$P1562)</f>
        <v>7.5694444444444453E-2</v>
      </c>
      <c r="V1562" s="1"/>
      <c r="W1562" s="2"/>
      <c r="X1562" s="2"/>
    </row>
    <row r="1563" spans="11:24" ht="15" hidden="1" customHeight="1">
      <c r="K1563" s="5">
        <v>46136</v>
      </c>
      <c r="L1563" s="8" t="s">
        <v>54</v>
      </c>
      <c r="M1563" s="9" t="str">
        <f>IF(Tabela1[[#This Row],[Motorista]]="","",IFERROR(_xlfn.XLOOKUP(Tabela1[[#This Row],[Motorista]],Base!A:A,Base!B:B),""))</f>
        <v>CIF</v>
      </c>
      <c r="N1563" s="20" t="str">
        <f t="shared" si="77"/>
        <v>Finalizado</v>
      </c>
      <c r="O15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3" s="4">
        <v>0.25277777777777777</v>
      </c>
      <c r="Q1563" s="4">
        <v>0.33888888888888891</v>
      </c>
      <c r="R1563" s="23">
        <v>0.37986111111111109</v>
      </c>
      <c r="S1563" s="94" t="s">
        <v>254</v>
      </c>
      <c r="T1563" s="1"/>
      <c r="U1563" s="15">
        <f>IF(OR('Controle de CT'!$R1563= "", 'Controle de CT'!$P1563= ""), "", 'Controle de CT'!$R1563-'Controle de CT'!$P1563)</f>
        <v>0.12708333333333333</v>
      </c>
      <c r="V1563" s="1"/>
      <c r="W1563" s="2"/>
      <c r="X1563" s="2"/>
    </row>
    <row r="1564" spans="11:24" ht="15" hidden="1" customHeight="1">
      <c r="K1564" s="5">
        <v>46136</v>
      </c>
      <c r="L1564" s="8" t="s">
        <v>57</v>
      </c>
      <c r="M1564" s="9" t="str">
        <f>IF(Tabela1[[#This Row],[Motorista]]="","",IFERROR(_xlfn.XLOOKUP(Tabela1[[#This Row],[Motorista]],Base!A:A,Base!B:B),""))</f>
        <v>CIF</v>
      </c>
      <c r="N1564" s="20" t="str">
        <f t="shared" ref="N1564:N1595" si="78">IF(R1564&lt;&gt;"","Finalizado", IF(Q1564&lt;&gt;"","Fila de Carregamento", IF(P1564&lt;&gt;"","Aguardando Entrada","")))</f>
        <v>Finalizado</v>
      </c>
      <c r="O15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4" s="4">
        <v>0.25347222222222221</v>
      </c>
      <c r="Q1564" s="4">
        <v>0.30972222222222223</v>
      </c>
      <c r="R1564" s="23">
        <v>0.35972222222222222</v>
      </c>
      <c r="S1564" s="94" t="s">
        <v>254</v>
      </c>
      <c r="T1564" s="1"/>
      <c r="U1564" s="15">
        <f>IF(OR('Controle de CT'!$R1564= "", 'Controle de CT'!$P1564= ""), "", 'Controle de CT'!$R1564-'Controle de CT'!$P1564)</f>
        <v>0.10625000000000001</v>
      </c>
      <c r="V1564" s="1"/>
      <c r="W1564" s="2"/>
      <c r="X1564" s="2"/>
    </row>
    <row r="1565" spans="11:24" ht="15" hidden="1" customHeight="1">
      <c r="K1565" s="5">
        <v>46136</v>
      </c>
      <c r="L1565" t="s">
        <v>115</v>
      </c>
      <c r="M1565" s="24" t="s">
        <v>62</v>
      </c>
      <c r="N1565" s="20" t="str">
        <f t="shared" si="78"/>
        <v>Finalizado</v>
      </c>
      <c r="O15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65" s="4">
        <v>0.25486111111111109</v>
      </c>
      <c r="Q1565" s="4">
        <v>0.34166666666666667</v>
      </c>
      <c r="R1565" s="23">
        <v>0.41180555555555554</v>
      </c>
      <c r="S1565" s="94" t="s">
        <v>254</v>
      </c>
      <c r="T1565" s="1"/>
      <c r="U1565" s="15">
        <f>IF(OR('Controle de CT'!$R1565= "", 'Controle de CT'!$P1565= ""), "", 'Controle de CT'!$R1565-'Controle de CT'!$P1565)</f>
        <v>0.15694444444444444</v>
      </c>
      <c r="V1565" s="1" t="s">
        <v>408</v>
      </c>
      <c r="W1565" s="2"/>
      <c r="X1565" s="2"/>
    </row>
    <row r="1566" spans="11:24" ht="15" hidden="1" customHeight="1">
      <c r="K1566" s="5">
        <v>46136</v>
      </c>
      <c r="L1566" s="8" t="s">
        <v>87</v>
      </c>
      <c r="M1566" s="9" t="str">
        <f>IF(Tabela1[[#This Row],[Motorista]]="","",IFERROR(_xlfn.XLOOKUP(Tabela1[[#This Row],[Motorista]],Base!A:A,Base!B:B),""))</f>
        <v>FOB</v>
      </c>
      <c r="N1566" s="20" t="str">
        <f t="shared" si="78"/>
        <v>Finalizado</v>
      </c>
      <c r="O15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66" s="4">
        <v>0.25972222222222224</v>
      </c>
      <c r="Q1566" s="4">
        <v>0.37083333333333335</v>
      </c>
      <c r="R1566" s="23">
        <v>0.4201388888888889</v>
      </c>
      <c r="S1566" s="94" t="s">
        <v>254</v>
      </c>
      <c r="T1566" s="1"/>
      <c r="U1566" s="15">
        <f>IF(OR('Controle de CT'!$R1566= "", 'Controle de CT'!$P1566= ""), "", 'Controle de CT'!$R1566-'Controle de CT'!$P1566)</f>
        <v>0.16041666666666665</v>
      </c>
      <c r="V1566" s="1" t="s">
        <v>170</v>
      </c>
      <c r="W1566" s="2"/>
      <c r="X1566" s="2"/>
    </row>
    <row r="1567" spans="11:24" ht="15" hidden="1" customHeight="1">
      <c r="K1567" s="5">
        <v>46136</v>
      </c>
      <c r="L1567" s="8" t="s">
        <v>53</v>
      </c>
      <c r="M1567" s="9" t="str">
        <f>IF(Tabela1[[#This Row],[Motorista]]="","",IFERROR(_xlfn.XLOOKUP(Tabela1[[#This Row],[Motorista]],Base!A:A,Base!B:B),""))</f>
        <v>CIF</v>
      </c>
      <c r="N1567" s="20" t="str">
        <f t="shared" si="78"/>
        <v>Finalizado</v>
      </c>
      <c r="O15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67" s="4">
        <v>0.26319444444444445</v>
      </c>
      <c r="Q1567" s="4">
        <v>0.31597222222222221</v>
      </c>
      <c r="R1567" s="23">
        <v>0.42152777777777778</v>
      </c>
      <c r="S1567" s="94" t="s">
        <v>254</v>
      </c>
      <c r="T1567" s="1"/>
      <c r="U1567" s="15">
        <f>IF(OR('Controle de CT'!$R1567= "", 'Controle de CT'!$P1567= ""), "", 'Controle de CT'!$R1567-'Controle de CT'!$P1567)</f>
        <v>0.15833333333333333</v>
      </c>
      <c r="V1567" s="1" t="s">
        <v>226</v>
      </c>
      <c r="W1567" s="2"/>
      <c r="X1567" s="2"/>
    </row>
    <row r="1568" spans="11:24" ht="15" hidden="1" customHeight="1">
      <c r="K1568" s="5">
        <v>46136</v>
      </c>
      <c r="L1568" s="8" t="s">
        <v>90</v>
      </c>
      <c r="M1568" s="9" t="str">
        <f>IF(Tabela1[[#This Row],[Motorista]]="","",IFERROR(_xlfn.XLOOKUP(Tabela1[[#This Row],[Motorista]],Base!A:A,Base!B:B),""))</f>
        <v>FOB</v>
      </c>
      <c r="N1568" s="20" t="str">
        <f t="shared" si="78"/>
        <v>Finalizado</v>
      </c>
      <c r="O15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68" s="4">
        <v>0.29375000000000001</v>
      </c>
      <c r="Q1568" s="4">
        <v>0.37777777777777777</v>
      </c>
      <c r="R1568" s="23">
        <v>0.4548611111111111</v>
      </c>
      <c r="S1568" s="94" t="s">
        <v>254</v>
      </c>
      <c r="T1568" s="1"/>
      <c r="U1568" s="15">
        <f>IF(OR('Controle de CT'!$R1568= "", 'Controle de CT'!$P1568= ""), "", 'Controle de CT'!$R1568-'Controle de CT'!$P1568)</f>
        <v>0.16111111111111109</v>
      </c>
      <c r="V1568" s="1" t="s">
        <v>219</v>
      </c>
      <c r="W1568" s="2"/>
      <c r="X1568" s="2"/>
    </row>
    <row r="1569" spans="11:24" ht="15" hidden="1" customHeight="1">
      <c r="K1569" s="5">
        <v>46136</v>
      </c>
      <c r="L1569" s="8" t="s">
        <v>409</v>
      </c>
      <c r="M1569" s="9" t="s">
        <v>63</v>
      </c>
      <c r="N1569" s="20" t="str">
        <f t="shared" si="78"/>
        <v>Finalizado</v>
      </c>
      <c r="O15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69" s="4">
        <v>0.32083333333333336</v>
      </c>
      <c r="Q1569" s="4">
        <v>0.36388888888888887</v>
      </c>
      <c r="R1569" s="23">
        <v>0.57013888888888886</v>
      </c>
      <c r="S1569" s="94" t="s">
        <v>254</v>
      </c>
      <c r="T1569" s="1"/>
      <c r="U1569" s="15">
        <f>IF(OR('Controle de CT'!$R1569= "", 'Controle de CT'!$P1569= ""), "", 'Controle de CT'!$R1569-'Controle de CT'!$P1569)</f>
        <v>0.2493055555555555</v>
      </c>
      <c r="V1569" s="1" t="s">
        <v>410</v>
      </c>
      <c r="W1569" s="2"/>
      <c r="X1569" s="2"/>
    </row>
    <row r="1570" spans="11:24" ht="15" hidden="1" customHeight="1">
      <c r="K1570" s="5">
        <v>46136</v>
      </c>
      <c r="L1570" t="s">
        <v>92</v>
      </c>
      <c r="M1570" s="24" t="s">
        <v>63</v>
      </c>
      <c r="N1570" s="20" t="str">
        <f t="shared" si="78"/>
        <v>Finalizado</v>
      </c>
      <c r="O15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0" s="4">
        <v>0.3263888888888889</v>
      </c>
      <c r="Q1570" s="4">
        <v>0.3527777777777778</v>
      </c>
      <c r="R1570" s="23">
        <v>0.38472222222222224</v>
      </c>
      <c r="S1570" s="94" t="s">
        <v>254</v>
      </c>
      <c r="T1570" s="1"/>
      <c r="U1570" s="15">
        <f>IF(OR('Controle de CT'!$R1570= "", 'Controle de CT'!$P1570= ""), "", 'Controle de CT'!$R1570-'Controle de CT'!$P1570)</f>
        <v>5.8333333333333348E-2</v>
      </c>
      <c r="V1570" s="1"/>
      <c r="W1570" s="2"/>
      <c r="X1570" s="2"/>
    </row>
    <row r="1571" spans="11:24" ht="15" hidden="1" customHeight="1">
      <c r="K1571" s="5">
        <v>46136</v>
      </c>
      <c r="L1571" s="8" t="s">
        <v>183</v>
      </c>
      <c r="M1571" s="9" t="str">
        <f>IF(Tabela1[[#This Row],[Motorista]]="","",IFERROR(_xlfn.XLOOKUP(Tabela1[[#This Row],[Motorista]],Base!A:A,Base!B:B),""))</f>
        <v>FOB</v>
      </c>
      <c r="N1571" s="20" t="str">
        <f t="shared" si="78"/>
        <v>Finalizado</v>
      </c>
      <c r="O15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71" s="4">
        <v>0.33611111111111114</v>
      </c>
      <c r="Q1571" s="4">
        <v>0.38541666666666669</v>
      </c>
      <c r="R1571" s="23">
        <v>0.46319444444444446</v>
      </c>
      <c r="S1571" s="94" t="s">
        <v>254</v>
      </c>
      <c r="T1571" s="1"/>
      <c r="U1571" s="15">
        <f>IF(OR('Controle de CT'!$R1571= "", 'Controle de CT'!$P1571= ""), "", 'Controle de CT'!$R1571-'Controle de CT'!$P1571)</f>
        <v>0.12708333333333333</v>
      </c>
      <c r="V1571" s="1" t="s">
        <v>408</v>
      </c>
      <c r="W1571" s="2"/>
      <c r="X1571" s="2"/>
    </row>
    <row r="1572" spans="11:24" ht="15" hidden="1" customHeight="1">
      <c r="K1572" s="5">
        <v>46136</v>
      </c>
      <c r="L1572" s="8" t="s">
        <v>184</v>
      </c>
      <c r="M1572" s="9" t="str">
        <f>IF(Tabela1[[#This Row],[Motorista]]="","",IFERROR(_xlfn.XLOOKUP(Tabela1[[#This Row],[Motorista]],Base!A:A,Base!B:B),""))</f>
        <v>FOB</v>
      </c>
      <c r="N1572" s="20" t="str">
        <f t="shared" si="78"/>
        <v>Finalizado</v>
      </c>
      <c r="O15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2" s="4">
        <v>0.34375</v>
      </c>
      <c r="Q1572" s="4">
        <v>0.39513888888888887</v>
      </c>
      <c r="R1572" s="23">
        <v>0.43125000000000002</v>
      </c>
      <c r="S1572" s="94" t="s">
        <v>254</v>
      </c>
      <c r="T1572" s="1"/>
      <c r="U1572" s="15">
        <f>IF(OR('Controle de CT'!$R1572= "", 'Controle de CT'!$P1572= ""), "", 'Controle de CT'!$R1572-'Controle de CT'!$P1572)</f>
        <v>8.7500000000000022E-2</v>
      </c>
      <c r="V1572" s="1" t="s">
        <v>411</v>
      </c>
      <c r="W1572" s="2"/>
      <c r="X1572" s="2"/>
    </row>
    <row r="1573" spans="11:24" ht="15" hidden="1" customHeight="1">
      <c r="K1573" s="5">
        <v>46136</v>
      </c>
      <c r="L1573" s="8" t="s">
        <v>132</v>
      </c>
      <c r="M1573" s="9" t="str">
        <f>IF(Tabela1[[#This Row],[Motorista]]="","",IFERROR(_xlfn.XLOOKUP(Tabela1[[#This Row],[Motorista]],Base!A:A,Base!B:B),""))</f>
        <v>FOB</v>
      </c>
      <c r="N1573" s="20" t="str">
        <f t="shared" si="78"/>
        <v>Finalizado</v>
      </c>
      <c r="O15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3" s="4">
        <v>0.34444444444444444</v>
      </c>
      <c r="Q1573" s="4">
        <v>0.39652777777777776</v>
      </c>
      <c r="R1573" s="23">
        <v>0.50763888888888886</v>
      </c>
      <c r="S1573" s="67"/>
      <c r="T1573" s="1"/>
      <c r="U1573" s="15">
        <f>IF(OR('Controle de CT'!$R1573= "", 'Controle de CT'!$P1573= ""), "", 'Controle de CT'!$R1573-'Controle de CT'!$P1573)</f>
        <v>0.16319444444444442</v>
      </c>
      <c r="V1573" s="1" t="s">
        <v>185</v>
      </c>
      <c r="W1573" s="2"/>
      <c r="X1573" s="2"/>
    </row>
    <row r="1574" spans="11:24" ht="15" hidden="1" customHeight="1">
      <c r="K1574" s="5">
        <v>46136</v>
      </c>
      <c r="L1574" s="8" t="s">
        <v>114</v>
      </c>
      <c r="M1574" s="9" t="str">
        <f>IF(Tabela1[[#This Row],[Motorista]]="","",IFERROR(_xlfn.XLOOKUP(Tabela1[[#This Row],[Motorista]],Base!A:A,Base!B:B),""))</f>
        <v>FOB</v>
      </c>
      <c r="N1574" s="20" t="str">
        <f t="shared" si="78"/>
        <v>Aguardando Entrada</v>
      </c>
      <c r="O15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4" s="4">
        <v>0.36527777777777776</v>
      </c>
      <c r="Q1574" s="4"/>
      <c r="R1574" s="23"/>
      <c r="S1574" s="67"/>
      <c r="T1574" s="1"/>
      <c r="U1574" s="15" t="str">
        <f>IF(OR('Controle de CT'!$R1574= "", 'Controle de CT'!$P1574= ""), "", 'Controle de CT'!$R1574-'Controle de CT'!$P1574)</f>
        <v/>
      </c>
      <c r="V1574" s="1" t="s">
        <v>226</v>
      </c>
      <c r="W1574" s="2"/>
      <c r="X1574" s="2"/>
    </row>
    <row r="1575" spans="11:24" ht="15" hidden="1" customHeight="1">
      <c r="K1575" s="5">
        <v>46136</v>
      </c>
      <c r="L1575" s="8" t="s">
        <v>257</v>
      </c>
      <c r="M1575" s="9" t="str">
        <f>IF(Tabela1[[#This Row],[Motorista]]="","",IFERROR(_xlfn.XLOOKUP(Tabela1[[#This Row],[Motorista]],Base!A:A,Base!B:B),""))</f>
        <v>FOB</v>
      </c>
      <c r="N1575" s="20" t="str">
        <f t="shared" si="78"/>
        <v>Finalizado</v>
      </c>
      <c r="O15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5" s="4">
        <v>0.38124999999999998</v>
      </c>
      <c r="Q1575" s="4">
        <v>0.39374999999999999</v>
      </c>
      <c r="R1575" s="23">
        <v>0.43958333333333333</v>
      </c>
      <c r="S1575" s="94" t="s">
        <v>254</v>
      </c>
      <c r="T1575" s="1"/>
      <c r="U1575" s="15">
        <f>IF(OR('Controle de CT'!$R1575= "", 'Controle de CT'!$P1575= ""), "", 'Controle de CT'!$R1575-'Controle de CT'!$P1575)</f>
        <v>5.8333333333333348E-2</v>
      </c>
      <c r="V1575" s="1"/>
      <c r="W1575" s="2"/>
      <c r="X1575" s="2"/>
    </row>
    <row r="1576" spans="11:24" ht="15" hidden="1" customHeight="1">
      <c r="K1576" s="5">
        <v>46136</v>
      </c>
      <c r="L1576" t="s">
        <v>375</v>
      </c>
      <c r="M1576" s="24" t="s">
        <v>63</v>
      </c>
      <c r="N1576" s="20" t="str">
        <f t="shared" si="78"/>
        <v>Finalizado</v>
      </c>
      <c r="O15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6" s="4">
        <v>0.40625</v>
      </c>
      <c r="Q1576" s="4">
        <v>0.4201388888888889</v>
      </c>
      <c r="R1576" s="23">
        <v>0.44930555555555557</v>
      </c>
      <c r="S1576" s="94" t="s">
        <v>254</v>
      </c>
      <c r="T1576" s="1"/>
      <c r="U1576" s="15">
        <f>IF(OR('Controle de CT'!$R1576= "", 'Controle de CT'!$P1576= ""), "", 'Controle de CT'!$R1576-'Controle de CT'!$P1576)</f>
        <v>4.3055555555555569E-2</v>
      </c>
      <c r="V1576" s="1"/>
      <c r="W1576" s="2"/>
      <c r="X1576" s="2"/>
    </row>
    <row r="1577" spans="11:24" ht="15" hidden="1" customHeight="1">
      <c r="K1577" s="5">
        <v>46136</v>
      </c>
      <c r="L1577" s="8" t="s">
        <v>91</v>
      </c>
      <c r="M1577" s="9" t="str">
        <f>IF(Tabela1[[#This Row],[Motorista]]="","",IFERROR(_xlfn.XLOOKUP(Tabela1[[#This Row],[Motorista]],Base!A:A,Base!B:B),""))</f>
        <v>FOB</v>
      </c>
      <c r="N1577" s="20" t="str">
        <f t="shared" si="78"/>
        <v>Finalizado</v>
      </c>
      <c r="O15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77" s="4">
        <v>0.42777777777777776</v>
      </c>
      <c r="Q1577" s="4">
        <v>0.51388888888888884</v>
      </c>
      <c r="R1577" s="23">
        <v>0.58611111111111114</v>
      </c>
      <c r="S1577" s="94" t="s">
        <v>254</v>
      </c>
      <c r="T1577" s="1"/>
      <c r="U1577" s="15">
        <f>IF(OR('Controle de CT'!$R1577= "", 'Controle de CT'!$P1577= ""), "", 'Controle de CT'!$R1577-'Controle de CT'!$P1577)</f>
        <v>0.15833333333333338</v>
      </c>
      <c r="V1577" s="1"/>
      <c r="W1577" s="2"/>
      <c r="X1577" s="2"/>
    </row>
    <row r="1578" spans="11:24" ht="15" hidden="1" customHeight="1">
      <c r="K1578" s="5">
        <v>46136</v>
      </c>
      <c r="L1578" s="8" t="s">
        <v>255</v>
      </c>
      <c r="M1578" s="9" t="s">
        <v>62</v>
      </c>
      <c r="N1578" s="20" t="str">
        <f t="shared" si="78"/>
        <v>Finalizado</v>
      </c>
      <c r="O15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78" s="4">
        <v>0.43680555555555556</v>
      </c>
      <c r="Q1578" s="4">
        <v>0.5180555555555556</v>
      </c>
      <c r="R1578" s="23">
        <v>0.55277777777777781</v>
      </c>
      <c r="S1578" s="94" t="s">
        <v>254</v>
      </c>
      <c r="T1578" s="1"/>
      <c r="U1578" s="15">
        <f>IF(OR('Controle de CT'!$R1578= "", 'Controle de CT'!$P1578= ""), "", 'Controle de CT'!$R1578-'Controle de CT'!$P1578)</f>
        <v>0.11597222222222225</v>
      </c>
      <c r="V1578" s="1"/>
      <c r="W1578" s="2"/>
      <c r="X1578" s="2"/>
    </row>
    <row r="1579" spans="11:24" ht="15" hidden="1" customHeight="1">
      <c r="K1579" s="5">
        <v>46136</v>
      </c>
      <c r="L1579" s="8" t="s">
        <v>52</v>
      </c>
      <c r="M1579" s="9" t="str">
        <f>IF(Tabela1[[#This Row],[Motorista]]="","",IFERROR(_xlfn.XLOOKUP(Tabela1[[#This Row],[Motorista]],Base!A:A,Base!B:B),""))</f>
        <v>CIF</v>
      </c>
      <c r="N1579" s="20" t="str">
        <f t="shared" si="78"/>
        <v>Finalizado</v>
      </c>
      <c r="O15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79" s="4">
        <v>0.44166666666666665</v>
      </c>
      <c r="Q1579" s="4">
        <v>0.46388888888888891</v>
      </c>
      <c r="R1579" s="23">
        <v>0.50069444444444444</v>
      </c>
      <c r="S1579" s="94" t="s">
        <v>254</v>
      </c>
      <c r="T1579" s="1"/>
      <c r="U1579" s="15">
        <f>IF(OR('Controle de CT'!$R1579= "", 'Controle de CT'!$P1579= ""), "", 'Controle de CT'!$R1579-'Controle de CT'!$P1579)</f>
        <v>5.902777777777779E-2</v>
      </c>
      <c r="V1579" s="1"/>
      <c r="W1579" s="2"/>
      <c r="X1579" s="2"/>
    </row>
    <row r="1580" spans="11:24" ht="15" hidden="1" customHeight="1">
      <c r="K1580" s="5">
        <v>46136</v>
      </c>
      <c r="L1580" s="8" t="s">
        <v>57</v>
      </c>
      <c r="M1580" s="9" t="str">
        <f>IF(Tabela1[[#This Row],[Motorista]]="","",IFERROR(_xlfn.XLOOKUP(Tabela1[[#This Row],[Motorista]],Base!A:A,Base!B:B),""))</f>
        <v>CIF</v>
      </c>
      <c r="N1580" s="20" t="str">
        <f t="shared" si="78"/>
        <v>Finalizado</v>
      </c>
      <c r="O15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80" s="4">
        <v>0.44930555555555557</v>
      </c>
      <c r="Q1580" s="4">
        <v>0.49027777777777776</v>
      </c>
      <c r="R1580" s="23">
        <v>0.53819444444444442</v>
      </c>
      <c r="S1580" s="94" t="s">
        <v>254</v>
      </c>
      <c r="T1580" s="1"/>
      <c r="U1580" s="15">
        <f>IF(OR('Controle de CT'!$R1580= "", 'Controle de CT'!$P1580= ""), "", 'Controle de CT'!$R1580-'Controle de CT'!$P1580)</f>
        <v>8.8888888888888851E-2</v>
      </c>
      <c r="V1580" s="1"/>
      <c r="W1580" s="2"/>
      <c r="X1580" s="2"/>
    </row>
    <row r="1581" spans="11:24" ht="15" hidden="1" customHeight="1">
      <c r="K1581" s="5">
        <v>46136</v>
      </c>
      <c r="L1581" t="s">
        <v>400</v>
      </c>
      <c r="M1581" s="24" t="s">
        <v>63</v>
      </c>
      <c r="N1581" s="20" t="str">
        <f t="shared" si="78"/>
        <v>Aguardando Entrada</v>
      </c>
      <c r="O15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1" s="4">
        <v>0.46250000000000002</v>
      </c>
      <c r="Q1581" s="4"/>
      <c r="R1581" s="23"/>
      <c r="S1581" s="67"/>
      <c r="T1581" s="1"/>
      <c r="U1581" s="15" t="str">
        <f>IF(OR('Controle de CT'!$R1581= "", 'Controle de CT'!$P1581= ""), "", 'Controle de CT'!$R1581-'Controle de CT'!$P1581)</f>
        <v/>
      </c>
      <c r="V1581" s="1" t="s">
        <v>368</v>
      </c>
      <c r="W1581" s="2"/>
      <c r="X1581" s="2"/>
    </row>
    <row r="1582" spans="11:24" ht="15" hidden="1" customHeight="1">
      <c r="K1582" s="5">
        <v>46136</v>
      </c>
      <c r="L1582" s="8" t="s">
        <v>54</v>
      </c>
      <c r="M1582" s="9" t="str">
        <f>IF(Tabela1[[#This Row],[Motorista]]="","",IFERROR(_xlfn.XLOOKUP(Tabela1[[#This Row],[Motorista]],Base!A:A,Base!B:B),""))</f>
        <v>CIF</v>
      </c>
      <c r="N1582" s="20" t="str">
        <f t="shared" si="78"/>
        <v>Finalizado</v>
      </c>
      <c r="O15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82" s="4">
        <v>0.47291666666666665</v>
      </c>
      <c r="Q1582" s="4">
        <v>0.53333333333333333</v>
      </c>
      <c r="R1582" s="23">
        <v>0.5805555555555556</v>
      </c>
      <c r="S1582" s="94" t="s">
        <v>254</v>
      </c>
      <c r="T1582" s="1"/>
      <c r="U1582" s="15">
        <f>IF(OR('Controle de CT'!$R1582= "", 'Controle de CT'!$P1582= ""), "", 'Controle de CT'!$R1582-'Controle de CT'!$P1582)</f>
        <v>0.10763888888888895</v>
      </c>
      <c r="V1582" s="1"/>
      <c r="W1582" s="2"/>
      <c r="X1582" s="2"/>
    </row>
    <row r="1583" spans="11:24" ht="15" hidden="1" customHeight="1">
      <c r="K1583" s="5">
        <v>46136</v>
      </c>
      <c r="L1583" s="8" t="s">
        <v>87</v>
      </c>
      <c r="M1583" s="9" t="str">
        <f>IF(Tabela1[[#This Row],[Motorista]]="","",IFERROR(_xlfn.XLOOKUP(Tabela1[[#This Row],[Motorista]],Base!A:A,Base!B:B),""))</f>
        <v>FOB</v>
      </c>
      <c r="N1583" s="20" t="str">
        <f t="shared" si="78"/>
        <v>Finalizado</v>
      </c>
      <c r="O15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83" s="4">
        <v>0.46736111111111112</v>
      </c>
      <c r="Q1583" s="4">
        <v>0.53541666666666665</v>
      </c>
      <c r="R1583" s="23">
        <v>0.59722222222222221</v>
      </c>
      <c r="S1583" s="94" t="s">
        <v>254</v>
      </c>
      <c r="T1583" s="1"/>
      <c r="U1583" s="15">
        <f>IF(OR('Controle de CT'!$R1583= "", 'Controle de CT'!$P1583= ""), "", 'Controle de CT'!$R1583-'Controle de CT'!$P1583)</f>
        <v>0.12986111111111109</v>
      </c>
      <c r="V1583" s="1"/>
      <c r="W1583" s="2"/>
      <c r="X1583" s="2"/>
    </row>
    <row r="1584" spans="11:24" ht="15" hidden="1" customHeight="1">
      <c r="K1584" s="5">
        <v>46136</v>
      </c>
      <c r="L1584" s="8" t="s">
        <v>183</v>
      </c>
      <c r="M1584" s="9" t="str">
        <f>IF(Tabela1[[#This Row],[Motorista]]="","",IFERROR(_xlfn.XLOOKUP(Tabela1[[#This Row],[Motorista]],Base!A:A,Base!B:B),""))</f>
        <v>FOB</v>
      </c>
      <c r="N1584" s="20" t="str">
        <f t="shared" si="78"/>
        <v>Finalizado</v>
      </c>
      <c r="O15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84" s="4">
        <v>0.48472222222222222</v>
      </c>
      <c r="Q1584" s="4">
        <v>0.62083333333333335</v>
      </c>
      <c r="R1584" s="23">
        <v>0.66666666666666663</v>
      </c>
      <c r="S1584" s="94" t="s">
        <v>254</v>
      </c>
      <c r="T1584" s="1"/>
      <c r="U1584" s="15">
        <f>IF(OR('Controle de CT'!$R1584= "", 'Controle de CT'!$P1584= ""), "", 'Controle de CT'!$R1584-'Controle de CT'!$P1584)</f>
        <v>0.18194444444444441</v>
      </c>
      <c r="V1584" s="1"/>
      <c r="W1584" s="2"/>
      <c r="X1584" s="2"/>
    </row>
    <row r="1585" spans="11:24" ht="15" hidden="1" customHeight="1">
      <c r="K1585" s="5">
        <v>46136</v>
      </c>
      <c r="L1585" s="8" t="s">
        <v>55</v>
      </c>
      <c r="M1585" s="9" t="str">
        <f>IF(Tabela1[[#This Row],[Motorista]]="","",IFERROR(_xlfn.XLOOKUP(Tabela1[[#This Row],[Motorista]],Base!A:A,Base!B:B),""))</f>
        <v>CIF</v>
      </c>
      <c r="N1585" s="20" t="str">
        <f t="shared" si="78"/>
        <v>Finalizado</v>
      </c>
      <c r="O15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85" s="4">
        <v>0.5</v>
      </c>
      <c r="Q1585" s="4">
        <v>0.57291666666666663</v>
      </c>
      <c r="R1585" s="23">
        <v>0.89513888888888893</v>
      </c>
      <c r="S1585" s="94" t="s">
        <v>254</v>
      </c>
      <c r="T1585" s="1"/>
      <c r="U1585" s="15">
        <f>IF(OR('Controle de CT'!$R1585= "", 'Controle de CT'!$P1585= ""), "", 'Controle de CT'!$R1585-'Controle de CT'!$P1585)</f>
        <v>0.39513888888888893</v>
      </c>
      <c r="V1585" s="1" t="s">
        <v>226</v>
      </c>
      <c r="W1585" s="2"/>
      <c r="X1585" s="2"/>
    </row>
    <row r="1586" spans="11:24" ht="15" hidden="1" customHeight="1">
      <c r="K1586" s="5">
        <v>46136</v>
      </c>
      <c r="L1586" s="8" t="s">
        <v>225</v>
      </c>
      <c r="M1586" s="9" t="str">
        <f>IF(Tabela1[[#This Row],[Motorista]]="","",IFERROR(_xlfn.XLOOKUP(Tabela1[[#This Row],[Motorista]],Base!A:A,Base!B:B),""))</f>
        <v>FOB</v>
      </c>
      <c r="N1586" s="20" t="str">
        <f t="shared" si="78"/>
        <v/>
      </c>
      <c r="O15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6" s="4"/>
      <c r="Q1586" s="4"/>
      <c r="R1586" s="23"/>
      <c r="S1586" s="67"/>
      <c r="T1586" s="1"/>
      <c r="U1586" s="15" t="str">
        <f>IF(OR('Controle de CT'!$R1586= "", 'Controle de CT'!$P1586= ""), "", 'Controle de CT'!$R1586-'Controle de CT'!$P1586)</f>
        <v/>
      </c>
      <c r="V1586" s="1" t="s">
        <v>219</v>
      </c>
      <c r="W1586" s="2"/>
      <c r="X1586" s="2"/>
    </row>
    <row r="1587" spans="11:24" ht="15" hidden="1" customHeight="1">
      <c r="K1587" s="5">
        <v>46136</v>
      </c>
      <c r="L1587" t="s">
        <v>412</v>
      </c>
      <c r="M1587" s="24" t="s">
        <v>63</v>
      </c>
      <c r="N1587" s="20" t="str">
        <f t="shared" si="78"/>
        <v>Fila de Carregamento</v>
      </c>
      <c r="O15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7" s="4">
        <v>0.55486111111111114</v>
      </c>
      <c r="Q1587" s="4">
        <v>0.60416666666666663</v>
      </c>
      <c r="R1587" s="23"/>
      <c r="S1587" s="67"/>
      <c r="T1587" s="1"/>
      <c r="U1587" s="15" t="str">
        <f>IF(OR('Controle de CT'!$R1587= "", 'Controle de CT'!$P1587= ""), "", 'Controle de CT'!$R1587-'Controle de CT'!$P1587)</f>
        <v/>
      </c>
      <c r="V1587" s="1"/>
      <c r="W1587" s="2"/>
      <c r="X1587" s="2"/>
    </row>
    <row r="1588" spans="11:24" ht="15" hidden="1" customHeight="1">
      <c r="K1588" s="5">
        <v>46136</v>
      </c>
      <c r="L1588" s="8" t="s">
        <v>89</v>
      </c>
      <c r="M1588" s="9" t="str">
        <f>IF(Tabela1[[#This Row],[Motorista]]="","",IFERROR(_xlfn.XLOOKUP(Tabela1[[#This Row],[Motorista]],Base!A:A,Base!B:B),""))</f>
        <v>FOB</v>
      </c>
      <c r="N1588" s="20" t="str">
        <f t="shared" si="78"/>
        <v>Finalizado</v>
      </c>
      <c r="O15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8" s="4">
        <v>0.56388888888888888</v>
      </c>
      <c r="Q1588" s="4">
        <v>0.59166666666666667</v>
      </c>
      <c r="R1588" s="23">
        <v>0.64930555555555558</v>
      </c>
      <c r="S1588" s="94" t="s">
        <v>254</v>
      </c>
      <c r="T1588" s="1"/>
      <c r="U1588" s="15">
        <f>IF(OR('Controle de CT'!$R1588= "", 'Controle de CT'!$P1588= ""), "", 'Controle de CT'!$R1588-'Controle de CT'!$P1588)</f>
        <v>8.5416666666666696E-2</v>
      </c>
      <c r="V1588" s="1"/>
      <c r="W1588" s="2"/>
      <c r="X1588" s="2"/>
    </row>
    <row r="1589" spans="11:24" ht="15" hidden="1" customHeight="1">
      <c r="K1589" s="5">
        <v>46136</v>
      </c>
      <c r="L1589" s="8" t="s">
        <v>98</v>
      </c>
      <c r="M1589" s="9" t="str">
        <f>IF(Tabela1[[#This Row],[Motorista]]="","",IFERROR(_xlfn.XLOOKUP(Tabela1[[#This Row],[Motorista]],Base!A:A,Base!B:B),""))</f>
        <v>FOB</v>
      </c>
      <c r="N1589" s="20" t="str">
        <f t="shared" si="78"/>
        <v>Fila de Carregamento</v>
      </c>
      <c r="O15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89" s="4">
        <v>0.58819444444444446</v>
      </c>
      <c r="Q1589" s="4">
        <v>0.66319444444444442</v>
      </c>
      <c r="R1589" s="23"/>
      <c r="S1589" s="67"/>
      <c r="T1589" s="1"/>
      <c r="U1589" s="15" t="str">
        <f>IF(OR('Controle de CT'!$R1589= "", 'Controle de CT'!$P1589= ""), "", 'Controle de CT'!$R1589-'Controle de CT'!$P1589)</f>
        <v/>
      </c>
      <c r="V1589" s="1"/>
      <c r="W1589" s="2"/>
      <c r="X1589" s="2"/>
    </row>
    <row r="1590" spans="11:24" ht="15" hidden="1" customHeight="1">
      <c r="K1590" s="5">
        <v>46136</v>
      </c>
      <c r="L1590" t="s">
        <v>161</v>
      </c>
      <c r="M1590" s="9" t="str">
        <f>IF(Tabela1[[#This Row],[Motorista]]="","",IFERROR(_xlfn.XLOOKUP(Tabela1[[#This Row],[Motorista]],Base!A:A,Base!B:B),""))</f>
        <v>Transferência</v>
      </c>
      <c r="N1590" s="20" t="str">
        <f t="shared" si="78"/>
        <v/>
      </c>
      <c r="O15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0" s="4"/>
      <c r="Q1590" s="4"/>
      <c r="R1590" s="23"/>
      <c r="S1590" s="67"/>
      <c r="T1590" s="1"/>
      <c r="U1590" s="15" t="str">
        <f>IF(OR('Controle de CT'!$R1590= "", 'Controle de CT'!$P1590= ""), "", 'Controle de CT'!$R1590-'Controle de CT'!$P1590)</f>
        <v/>
      </c>
      <c r="V1590" s="1"/>
      <c r="W1590" s="2"/>
      <c r="X1590" s="2"/>
    </row>
    <row r="1591" spans="11:24" ht="15" hidden="1" customHeight="1">
      <c r="K1591" s="5">
        <v>46136</v>
      </c>
      <c r="L1591" t="s">
        <v>278</v>
      </c>
      <c r="M1591" s="9" t="str">
        <f>IF(Tabela1[[#This Row],[Motorista]]="","",IFERROR(_xlfn.XLOOKUP(Tabela1[[#This Row],[Motorista]],Base!A:A,Base!B:B),""))</f>
        <v>FOB</v>
      </c>
      <c r="N1591" s="20" t="str">
        <f t="shared" si="78"/>
        <v>Fila de Carregamento</v>
      </c>
      <c r="O15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1" s="4">
        <v>0.60763888888888884</v>
      </c>
      <c r="Q1591" s="4">
        <v>0.625</v>
      </c>
      <c r="R1591" s="23"/>
      <c r="S1591" s="67"/>
      <c r="T1591" s="1"/>
      <c r="U1591" s="15" t="str">
        <f>IF(OR('Controle de CT'!$R1591= "", 'Controle de CT'!$P1591= ""), "", 'Controle de CT'!$R1591-'Controle de CT'!$P1591)</f>
        <v/>
      </c>
      <c r="V1591" s="1"/>
      <c r="W1591" s="2"/>
      <c r="X1591" s="2"/>
    </row>
    <row r="1592" spans="11:24" ht="15" hidden="1" customHeight="1">
      <c r="K1592" s="5">
        <v>46136</v>
      </c>
      <c r="L1592" s="8" t="s">
        <v>126</v>
      </c>
      <c r="M1592" s="9" t="str">
        <f>IF(Tabela1[[#This Row],[Motorista]]="","",IFERROR(_xlfn.XLOOKUP(Tabela1[[#This Row],[Motorista]],Base!A:A,Base!B:B),""))</f>
        <v>Transferência</v>
      </c>
      <c r="N1592" s="20" t="str">
        <f t="shared" si="78"/>
        <v>Aguardando Entrada</v>
      </c>
      <c r="O15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2" s="4">
        <v>0.62777777777777777</v>
      </c>
      <c r="Q1592" s="4"/>
      <c r="R1592" s="23"/>
      <c r="S1592" s="67"/>
      <c r="T1592" s="1"/>
      <c r="U1592" s="15" t="str">
        <f>IF(OR('Controle de CT'!$R1592= "", 'Controle de CT'!$P1592= ""), "", 'Controle de CT'!$R1592-'Controle de CT'!$P1592)</f>
        <v/>
      </c>
      <c r="V1592" s="1"/>
      <c r="W1592" s="2"/>
      <c r="X1592" s="2"/>
    </row>
    <row r="1593" spans="11:24" ht="15" hidden="1" customHeight="1">
      <c r="K1593" s="5">
        <v>46136</v>
      </c>
      <c r="L1593" s="8" t="s">
        <v>163</v>
      </c>
      <c r="M1593" s="9" t="str">
        <f>IF(Tabela1[[#This Row],[Motorista]]="","",IFERROR(_xlfn.XLOOKUP(Tabela1[[#This Row],[Motorista]],Base!A:A,Base!B:B),""))</f>
        <v>Transferência</v>
      </c>
      <c r="N1593" s="20" t="str">
        <f t="shared" si="78"/>
        <v>Aguardando Entrada</v>
      </c>
      <c r="O15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3" s="4">
        <v>0.58333333333333337</v>
      </c>
      <c r="Q1593" s="4"/>
      <c r="R1593" s="23"/>
      <c r="S1593" s="67"/>
      <c r="T1593" s="1"/>
      <c r="U1593" s="15" t="str">
        <f>IF(OR('Controle de CT'!$R1593= "", 'Controle de CT'!$P1593= ""), "", 'Controle de CT'!$R1593-'Controle de CT'!$P1593)</f>
        <v/>
      </c>
      <c r="V1593" s="1"/>
      <c r="W1593" s="2"/>
      <c r="X1593" s="2"/>
    </row>
    <row r="1594" spans="11:24" ht="15" hidden="1" customHeight="1">
      <c r="K1594" s="5">
        <v>46136</v>
      </c>
      <c r="L1594" s="8" t="s">
        <v>124</v>
      </c>
      <c r="M1594" s="9" t="str">
        <f>IF(Tabela1[[#This Row],[Motorista]]="","",IFERROR(_xlfn.XLOOKUP(Tabela1[[#This Row],[Motorista]],Base!A:A,Base!B:B),""))</f>
        <v>Transferência</v>
      </c>
      <c r="N1594" s="20" t="str">
        <f t="shared" si="78"/>
        <v>Aguardando Entrada</v>
      </c>
      <c r="O15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4" s="4">
        <v>0.66597222222222219</v>
      </c>
      <c r="Q1594" s="4"/>
      <c r="R1594" s="23"/>
      <c r="S1594" s="67"/>
      <c r="T1594" s="1"/>
      <c r="U1594" s="15" t="str">
        <f>IF(OR('Controle de CT'!$R1594= "", 'Controle de CT'!$P1594= ""), "", 'Controle de CT'!$R1594-'Controle de CT'!$P1594)</f>
        <v/>
      </c>
      <c r="V1594" s="1"/>
      <c r="W1594" s="2"/>
      <c r="X1594" s="2"/>
    </row>
    <row r="1595" spans="11:24" ht="15" hidden="1" customHeight="1">
      <c r="K1595" s="5">
        <v>46137</v>
      </c>
      <c r="L1595" s="8" t="s">
        <v>116</v>
      </c>
      <c r="M1595" s="9" t="str">
        <f>IF(Tabela1[[#This Row],[Motorista]]="","",IFERROR(_xlfn.XLOOKUP(Tabela1[[#This Row],[Motorista]],Base!A:A,Base!B:B),""))</f>
        <v xml:space="preserve">CIF </v>
      </c>
      <c r="N1595" s="20" t="str">
        <f t="shared" si="78"/>
        <v>Finalizado</v>
      </c>
      <c r="O15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95" s="4">
        <v>0.20555555555555555</v>
      </c>
      <c r="Q1595" s="4">
        <v>0.26180555555555557</v>
      </c>
      <c r="R1595" s="23">
        <v>0.30416666666666664</v>
      </c>
      <c r="S1595" s="94" t="s">
        <v>254</v>
      </c>
      <c r="T1595" s="1"/>
      <c r="U1595" s="15">
        <f>IF(OR('Controle de CT'!$R1595= "", 'Controle de CT'!$P1595= ""), "", 'Controle de CT'!$R1595-'Controle de CT'!$P1595)</f>
        <v>9.8611111111111094E-2</v>
      </c>
      <c r="V1595" s="1"/>
      <c r="W1595" s="2"/>
      <c r="X1595" s="2"/>
    </row>
    <row r="1596" spans="11:24" ht="15" hidden="1" customHeight="1">
      <c r="K1596" s="5">
        <v>46137</v>
      </c>
      <c r="L1596" s="8" t="s">
        <v>45</v>
      </c>
      <c r="M1596" s="9" t="str">
        <f>IF(Tabela1[[#This Row],[Motorista]]="","",IFERROR(_xlfn.XLOOKUP(Tabela1[[#This Row],[Motorista]],Base!A:A,Base!B:B),""))</f>
        <v>CIF</v>
      </c>
      <c r="N1596" s="20" t="str">
        <f t="shared" ref="N1596:N1627" si="79">IF(R1596&lt;&gt;"","Finalizado", IF(Q1596&lt;&gt;"","Fila de Carregamento", IF(P1596&lt;&gt;"","Aguardando Entrada","")))</f>
        <v>Finalizado</v>
      </c>
      <c r="O15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96" s="4">
        <v>0.22777777777777777</v>
      </c>
      <c r="Q1596" s="4">
        <v>0.27152777777777776</v>
      </c>
      <c r="R1596" s="23">
        <v>0.3034722222222222</v>
      </c>
      <c r="S1596" s="94" t="s">
        <v>254</v>
      </c>
      <c r="T1596" s="14">
        <f>IF(OR(Tabela1[[#This Row],[Entrada]]="",Tabela1[[#This Row],[Saída]]=""), "", Tabela1[[#This Row],[Saída]]-Tabela1[[#This Row],[Entrada]])</f>
        <v>3.1944444444444442E-2</v>
      </c>
      <c r="U1596" s="15">
        <f>IF(OR('Controle de CT'!$R1596= "", 'Controle de CT'!$P1596= ""), "", 'Controle de CT'!$R1596-'Controle de CT'!$P1596)</f>
        <v>7.5694444444444425E-2</v>
      </c>
      <c r="V1596" s="1"/>
      <c r="W1596" s="2"/>
      <c r="X1596" s="2"/>
    </row>
    <row r="1597" spans="11:24" ht="15" hidden="1" customHeight="1">
      <c r="K1597" s="5">
        <v>46137</v>
      </c>
      <c r="L1597" s="8" t="s">
        <v>117</v>
      </c>
      <c r="M1597" s="9" t="str">
        <f>IF(Tabela1[[#This Row],[Motorista]]="","",IFERROR(_xlfn.XLOOKUP(Tabela1[[#This Row],[Motorista]],Base!A:A,Base!B:B),""))</f>
        <v>FOB</v>
      </c>
      <c r="N1597" s="20" t="str">
        <f t="shared" si="79"/>
        <v>Finalizado</v>
      </c>
      <c r="O15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7" s="4">
        <v>0.2326388888888889</v>
      </c>
      <c r="Q1597" s="4">
        <v>0.30416666666666664</v>
      </c>
      <c r="R1597" s="23">
        <v>0.35486111111111113</v>
      </c>
      <c r="S1597" s="94" t="s">
        <v>254</v>
      </c>
      <c r="T1597" s="1"/>
      <c r="U1597" s="15">
        <f>IF(OR('Controle de CT'!$R1597= "", 'Controle de CT'!$P1597= ""), "", 'Controle de CT'!$R1597-'Controle de CT'!$P1597)</f>
        <v>0.12222222222222223</v>
      </c>
      <c r="V1597" s="1"/>
      <c r="W1597" s="2"/>
      <c r="X1597" s="2"/>
    </row>
    <row r="1598" spans="11:24" ht="15" hidden="1" customHeight="1">
      <c r="K1598" s="5">
        <v>46137</v>
      </c>
      <c r="L1598" s="8" t="s">
        <v>90</v>
      </c>
      <c r="M1598" s="9" t="str">
        <f>IF(Tabela1[[#This Row],[Motorista]]="","",IFERROR(_xlfn.XLOOKUP(Tabela1[[#This Row],[Motorista]],Base!A:A,Base!B:B),""))</f>
        <v>FOB</v>
      </c>
      <c r="N1598" s="20" t="str">
        <f t="shared" si="79"/>
        <v>Finalizado</v>
      </c>
      <c r="O15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598" s="4">
        <v>0.24791666666666667</v>
      </c>
      <c r="Q1598" s="4">
        <v>0.29375000000000001</v>
      </c>
      <c r="R1598" s="23">
        <v>0.34236111111111112</v>
      </c>
      <c r="S1598" s="94" t="s">
        <v>254</v>
      </c>
      <c r="T1598" s="1"/>
      <c r="U1598" s="15">
        <f>IF(OR('Controle de CT'!$R1598= "", 'Controle de CT'!$P1598= ""), "", 'Controle de CT'!$R1598-'Controle de CT'!$P1598)</f>
        <v>9.4444444444444442E-2</v>
      </c>
      <c r="V1598" s="1"/>
      <c r="W1598" s="2"/>
      <c r="X1598" s="2"/>
    </row>
    <row r="1599" spans="11:24" ht="15" hidden="1" customHeight="1">
      <c r="K1599" s="5">
        <v>46137</v>
      </c>
      <c r="L1599" s="8" t="s">
        <v>52</v>
      </c>
      <c r="M1599" s="9" t="str">
        <f>IF(Tabela1[[#This Row],[Motorista]]="","",IFERROR(_xlfn.XLOOKUP(Tabela1[[#This Row],[Motorista]],Base!A:A,Base!B:B),""))</f>
        <v>CIF</v>
      </c>
      <c r="N1599" s="20" t="str">
        <f t="shared" si="79"/>
        <v>Finalizado</v>
      </c>
      <c r="O15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599" s="4">
        <v>0.24722222222222223</v>
      </c>
      <c r="Q1599" s="4">
        <v>0.28263888888888888</v>
      </c>
      <c r="R1599" s="23">
        <v>0.3298611111111111</v>
      </c>
      <c r="S1599" s="94" t="s">
        <v>254</v>
      </c>
      <c r="T1599" s="1"/>
      <c r="U1599" s="15">
        <f>IF(OR('Controle de CT'!$R1599= "", 'Controle de CT'!$P1599= ""), "", 'Controle de CT'!$R1599-'Controle de CT'!$P1599)</f>
        <v>8.2638888888888873E-2</v>
      </c>
      <c r="V1599" s="1"/>
      <c r="W1599" s="2"/>
      <c r="X1599" s="2"/>
    </row>
    <row r="1600" spans="11:24" ht="15" hidden="1" customHeight="1">
      <c r="K1600" s="5">
        <v>46137</v>
      </c>
      <c r="L1600" s="8" t="s">
        <v>57</v>
      </c>
      <c r="M1600" s="9" t="str">
        <f>IF(Tabela1[[#This Row],[Motorista]]="","",IFERROR(_xlfn.XLOOKUP(Tabela1[[#This Row],[Motorista]],Base!A:A,Base!B:B),""))</f>
        <v>CIF</v>
      </c>
      <c r="N1600" s="20" t="str">
        <f t="shared" si="79"/>
        <v>Finalizado</v>
      </c>
      <c r="O16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00" s="4">
        <v>0.25069444444444444</v>
      </c>
      <c r="Q1600" s="4">
        <v>0.28749999999999998</v>
      </c>
      <c r="R1600" s="23">
        <v>0.34930555555555554</v>
      </c>
      <c r="S1600" s="94" t="s">
        <v>254</v>
      </c>
      <c r="T1600" s="1"/>
      <c r="U1600" s="15">
        <f>IF(OR('Controle de CT'!$R1600= "", 'Controle de CT'!$P1600= ""), "", 'Controle de CT'!$R1600-'Controle de CT'!$P1600)</f>
        <v>9.8611111111111094E-2</v>
      </c>
      <c r="V1600" s="1"/>
      <c r="W1600" s="2"/>
      <c r="X1600" s="2"/>
    </row>
    <row r="1601" spans="11:24" ht="15" hidden="1" customHeight="1">
      <c r="K1601" s="5">
        <v>46137</v>
      </c>
      <c r="L1601" s="8" t="s">
        <v>255</v>
      </c>
      <c r="M1601" s="9" t="s">
        <v>62</v>
      </c>
      <c r="N1601" s="20" t="str">
        <f t="shared" si="79"/>
        <v>Finalizado</v>
      </c>
      <c r="O16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1" s="4">
        <v>0.25486111111111109</v>
      </c>
      <c r="Q1601" s="4">
        <v>0.28819444444444442</v>
      </c>
      <c r="R1601" s="23">
        <v>0.33888888888888891</v>
      </c>
      <c r="S1601" s="94" t="s">
        <v>254</v>
      </c>
      <c r="T1601" s="14">
        <f>IF(OR(Tabela1[[#This Row],[Entrada]]="",Tabela1[[#This Row],[Saída]]=""), "", Tabela1[[#This Row],[Saída]]-Tabela1[[#This Row],[Entrada]])</f>
        <v>5.0694444444444486E-2</v>
      </c>
      <c r="U1601" s="15">
        <f>IF(OR('Controle de CT'!$R1601= "", 'Controle de CT'!$P1601= ""), "", 'Controle de CT'!$R1601-'Controle de CT'!$P1601)</f>
        <v>8.4027777777777812E-2</v>
      </c>
      <c r="V1601" s="1"/>
      <c r="W1601" s="2"/>
      <c r="X1601" s="2"/>
    </row>
    <row r="1602" spans="11:24" ht="15" hidden="1" customHeight="1">
      <c r="K1602" s="5">
        <v>46137</v>
      </c>
      <c r="L1602" s="8" t="s">
        <v>101</v>
      </c>
      <c r="M1602" s="9" t="s">
        <v>62</v>
      </c>
      <c r="N1602" s="20" t="str">
        <f t="shared" si="79"/>
        <v>Finalizado</v>
      </c>
      <c r="O16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2" s="4">
        <v>0.25555555555555554</v>
      </c>
      <c r="Q1602" s="4">
        <v>0.28125</v>
      </c>
      <c r="R1602" s="23">
        <v>0.34791666666666665</v>
      </c>
      <c r="S1602" s="94" t="s">
        <v>254</v>
      </c>
      <c r="T1602" s="14">
        <f>IF(OR(Tabela1[[#This Row],[Entrada]]="",Tabela1[[#This Row],[Saída]]=""), "", Tabela1[[#This Row],[Saída]]-Tabela1[[#This Row],[Entrada]])</f>
        <v>6.6666666666666652E-2</v>
      </c>
      <c r="U1602" s="15">
        <f>IF(OR('Controle de CT'!$R1602= "", 'Controle de CT'!$P1602= ""), "", 'Controle de CT'!$R1602-'Controle de CT'!$P1602)</f>
        <v>9.2361111111111116E-2</v>
      </c>
      <c r="V1602" s="1"/>
      <c r="W1602" s="2"/>
      <c r="X1602" s="2"/>
    </row>
    <row r="1603" spans="11:24" ht="15" hidden="1" customHeight="1">
      <c r="K1603" s="5">
        <v>46137</v>
      </c>
      <c r="L1603" t="s">
        <v>92</v>
      </c>
      <c r="M1603" s="24" t="s">
        <v>63</v>
      </c>
      <c r="N1603" s="20" t="str">
        <f t="shared" si="79"/>
        <v>Finalizado</v>
      </c>
      <c r="O16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3" s="4">
        <v>0.25277777777777777</v>
      </c>
      <c r="Q1603" s="4">
        <v>0.31527777777777777</v>
      </c>
      <c r="R1603" s="23">
        <v>0.37916666666666665</v>
      </c>
      <c r="S1603" s="94" t="s">
        <v>254</v>
      </c>
      <c r="T1603" s="1"/>
      <c r="U1603" s="15">
        <f>IF(OR('Controle de CT'!$R1603= "", 'Controle de CT'!$P1603= ""), "", 'Controle de CT'!$R1603-'Controle de CT'!$P1603)</f>
        <v>0.12638888888888888</v>
      </c>
      <c r="V1603" s="1"/>
      <c r="W1603" s="2"/>
      <c r="X1603" s="2"/>
    </row>
    <row r="1604" spans="11:24" ht="15" hidden="1" customHeight="1">
      <c r="K1604" s="5">
        <v>46137</v>
      </c>
      <c r="L1604" s="8" t="s">
        <v>87</v>
      </c>
      <c r="M1604" s="9" t="str">
        <f>IF(Tabela1[[#This Row],[Motorista]]="","",IFERROR(_xlfn.XLOOKUP(Tabela1[[#This Row],[Motorista]],Base!A:A,Base!B:B),""))</f>
        <v>FOB</v>
      </c>
      <c r="N1604" s="20" t="str">
        <f t="shared" si="79"/>
        <v>Finalizado</v>
      </c>
      <c r="O16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4" s="4">
        <v>0.25694444444444442</v>
      </c>
      <c r="Q1604" s="4">
        <v>0.31527777777777777</v>
      </c>
      <c r="R1604" s="23">
        <v>0.37638888888888888</v>
      </c>
      <c r="S1604" s="94" t="s">
        <v>254</v>
      </c>
      <c r="T1604" s="1"/>
      <c r="U1604" s="15">
        <f>IF(OR('Controle de CT'!$R1604= "", 'Controle de CT'!$P1604= ""), "", 'Controle de CT'!$R1604-'Controle de CT'!$P1604)</f>
        <v>0.11944444444444446</v>
      </c>
      <c r="V1604" s="1"/>
      <c r="W1604" s="2"/>
      <c r="X1604" s="2"/>
    </row>
    <row r="1605" spans="11:24" ht="15" hidden="1" customHeight="1">
      <c r="K1605" s="5">
        <v>46137</v>
      </c>
      <c r="L1605" s="8" t="s">
        <v>150</v>
      </c>
      <c r="M1605" s="9" t="str">
        <f>IF(Tabela1[[#This Row],[Motorista]]="","",IFERROR(_xlfn.XLOOKUP(Tabela1[[#This Row],[Motorista]],Base!A:A,Base!B:B),""))</f>
        <v>Transferência</v>
      </c>
      <c r="N1605" s="20" t="str">
        <f t="shared" si="79"/>
        <v>Finalizado</v>
      </c>
      <c r="O16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5" s="4">
        <v>0.25555555555555554</v>
      </c>
      <c r="Q1605" s="4">
        <v>0.33541666666666664</v>
      </c>
      <c r="R1605" s="23">
        <v>0.33541666666666664</v>
      </c>
      <c r="S1605" s="94" t="s">
        <v>254</v>
      </c>
      <c r="T1605" s="1"/>
      <c r="U1605" s="15">
        <f>IF(OR('Controle de CT'!$R1605= "", 'Controle de CT'!$P1605= ""), "", 'Controle de CT'!$R1605-'Controle de CT'!$P1605)</f>
        <v>7.9861111111111105E-2</v>
      </c>
      <c r="V1605" s="1"/>
      <c r="W1605" s="2"/>
      <c r="X1605" s="2"/>
    </row>
    <row r="1606" spans="11:24" ht="15" hidden="1" customHeight="1">
      <c r="K1606" s="5">
        <v>46137</v>
      </c>
      <c r="L1606" t="s">
        <v>375</v>
      </c>
      <c r="M1606" s="24" t="s">
        <v>63</v>
      </c>
      <c r="N1606" s="20" t="str">
        <f t="shared" si="79"/>
        <v>Finalizado</v>
      </c>
      <c r="O16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6" s="4">
        <v>0.27152777777777776</v>
      </c>
      <c r="Q1606" s="4">
        <v>0.32013888888888886</v>
      </c>
      <c r="R1606" s="23">
        <v>0.39791666666666664</v>
      </c>
      <c r="S1606" s="94" t="s">
        <v>254</v>
      </c>
      <c r="T1606" s="1"/>
      <c r="U1606" s="15">
        <f>IF(OR('Controle de CT'!$R1606= "", 'Controle de CT'!$P1606= ""), "", 'Controle de CT'!$R1606-'Controle de CT'!$P1606)</f>
        <v>0.12638888888888888</v>
      </c>
      <c r="V1606" s="1"/>
      <c r="W1606" s="2"/>
      <c r="X1606" s="2"/>
    </row>
    <row r="1607" spans="11:24" ht="15" hidden="1" customHeight="1">
      <c r="K1607" s="5">
        <v>46137</v>
      </c>
      <c r="L1607" s="8" t="s">
        <v>231</v>
      </c>
      <c r="M1607" s="9" t="str">
        <f>IF(Tabela1[[#This Row],[Motorista]]="","",IFERROR(_xlfn.XLOOKUP(Tabela1[[#This Row],[Motorista]],Base!A:A,Base!B:B),""))</f>
        <v>Transferência</v>
      </c>
      <c r="N1607" s="20" t="str">
        <f t="shared" si="79"/>
        <v>Fila de Carregamento</v>
      </c>
      <c r="O16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7" s="4">
        <v>0.28055555555555556</v>
      </c>
      <c r="Q1607" s="4">
        <v>0.33680555555555558</v>
      </c>
      <c r="R1607" s="23"/>
      <c r="S1607" s="67"/>
      <c r="T1607" s="1"/>
      <c r="U1607" s="15" t="str">
        <f>IF(OR('Controle de CT'!$R1607= "", 'Controle de CT'!$P1607= ""), "", 'Controle de CT'!$R1607-'Controle de CT'!$P1607)</f>
        <v/>
      </c>
      <c r="V1607" s="1" t="s">
        <v>413</v>
      </c>
      <c r="W1607" s="2"/>
      <c r="X1607" s="2"/>
    </row>
    <row r="1608" spans="11:24" ht="15" hidden="1" customHeight="1">
      <c r="K1608" s="5">
        <v>46137</v>
      </c>
      <c r="L1608" s="8" t="s">
        <v>58</v>
      </c>
      <c r="M1608" s="9" t="str">
        <f>IF(Tabela1[[#This Row],[Motorista]]="","",IFERROR(_xlfn.XLOOKUP(Tabela1[[#This Row],[Motorista]],Base!A:A,Base!B:B),""))</f>
        <v xml:space="preserve">CIF </v>
      </c>
      <c r="N1608" s="20" t="str">
        <f t="shared" si="79"/>
        <v>Finalizado</v>
      </c>
      <c r="O16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8" s="4">
        <v>0.35694444444444445</v>
      </c>
      <c r="Q1608" s="4">
        <v>0.36875000000000002</v>
      </c>
      <c r="R1608" s="23">
        <v>0.42083333333333334</v>
      </c>
      <c r="S1608" s="94" t="s">
        <v>254</v>
      </c>
      <c r="T1608" s="1"/>
      <c r="U1608" s="15">
        <f>IF(OR('Controle de CT'!$R1608= "", 'Controle de CT'!$P1608= ""), "", 'Controle de CT'!$R1608-'Controle de CT'!$P1608)</f>
        <v>6.3888888888888884E-2</v>
      </c>
      <c r="V1608" s="1"/>
      <c r="W1608" s="2"/>
      <c r="X1608" s="2"/>
    </row>
    <row r="1609" spans="11:24" ht="15" hidden="1" customHeight="1">
      <c r="K1609" s="5">
        <v>46137</v>
      </c>
      <c r="L1609" t="s">
        <v>115</v>
      </c>
      <c r="M1609" s="24" t="s">
        <v>62</v>
      </c>
      <c r="N1609" s="20" t="str">
        <f t="shared" si="79"/>
        <v>Finalizado</v>
      </c>
      <c r="O16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09" s="4">
        <v>0.23333333333333334</v>
      </c>
      <c r="Q1609" s="4">
        <v>0.36944444444444446</v>
      </c>
      <c r="R1609" s="23">
        <v>0.44930555555555557</v>
      </c>
      <c r="S1609" s="94" t="s">
        <v>254</v>
      </c>
      <c r="T1609" s="1"/>
      <c r="U1609" s="15">
        <f>IF(OR('Controle de CT'!$R1609= "", 'Controle de CT'!$P1609= ""), "", 'Controle de CT'!$R1609-'Controle de CT'!$P1609)</f>
        <v>0.21597222222222223</v>
      </c>
      <c r="V1609" s="1"/>
      <c r="W1609" s="2"/>
      <c r="X1609" s="2"/>
    </row>
    <row r="1610" spans="11:24" ht="15" hidden="1" customHeight="1">
      <c r="K1610" s="5">
        <v>46137</v>
      </c>
      <c r="L1610" t="s">
        <v>278</v>
      </c>
      <c r="M1610" s="24" t="s">
        <v>63</v>
      </c>
      <c r="N1610" s="20" t="str">
        <f t="shared" si="79"/>
        <v>Finalizado</v>
      </c>
      <c r="O16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10" s="4">
        <v>0.35416666666666669</v>
      </c>
      <c r="Q1610" s="4">
        <v>0.40763888888888888</v>
      </c>
      <c r="R1610" s="23">
        <v>0.45416666666666666</v>
      </c>
      <c r="S1610" s="94" t="s">
        <v>254</v>
      </c>
      <c r="T1610" s="1"/>
      <c r="U1610" s="15">
        <f>IF(OR('Controle de CT'!$R1610= "", 'Controle de CT'!$P1610= ""), "", 'Controle de CT'!$R1610-'Controle de CT'!$P1610)</f>
        <v>9.9999999999999978E-2</v>
      </c>
      <c r="V1610" s="1" t="s">
        <v>170</v>
      </c>
      <c r="W1610" s="2"/>
      <c r="X1610" s="2"/>
    </row>
    <row r="1611" spans="11:24" ht="15" hidden="1" customHeight="1">
      <c r="K1611" s="5">
        <v>46137</v>
      </c>
      <c r="L1611" s="8" t="s">
        <v>257</v>
      </c>
      <c r="M1611" s="9" t="str">
        <f>IF(Tabela1[[#This Row],[Motorista]]="","",IFERROR(_xlfn.XLOOKUP(Tabela1[[#This Row],[Motorista]],Base!A:A,Base!B:B),""))</f>
        <v>FOB</v>
      </c>
      <c r="N1611" s="20" t="str">
        <f t="shared" si="79"/>
        <v>Finalizado</v>
      </c>
      <c r="O16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11" s="4">
        <v>0.38055555555555554</v>
      </c>
      <c r="Q1611" s="4">
        <v>0.41388888888888886</v>
      </c>
      <c r="R1611" s="23">
        <v>0.45347222222222222</v>
      </c>
      <c r="S1611" s="94" t="s">
        <v>254</v>
      </c>
      <c r="T1611" s="1"/>
      <c r="U1611" s="15">
        <f>IF(OR('Controle de CT'!$R1611= "", 'Controle de CT'!$P1611= ""), "", 'Controle de CT'!$R1611-'Controle de CT'!$P1611)</f>
        <v>7.2916666666666685E-2</v>
      </c>
      <c r="V1611" s="1"/>
      <c r="W1611" s="2"/>
      <c r="X1611" s="2"/>
    </row>
    <row r="1612" spans="11:24" ht="15" hidden="1" customHeight="1">
      <c r="K1612" s="5">
        <v>46137</v>
      </c>
      <c r="L1612" t="s">
        <v>55</v>
      </c>
      <c r="M1612" s="9" t="str">
        <f>IF(Tabela1[[#This Row],[Motorista]]="","",IFERROR(_xlfn.XLOOKUP(Tabela1[[#This Row],[Motorista]],Base!A:A,Base!B:B),""))</f>
        <v>CIF</v>
      </c>
      <c r="N1612" s="20" t="str">
        <f t="shared" si="79"/>
        <v>Finalizado</v>
      </c>
      <c r="O16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12" s="4">
        <v>0.40138888888888891</v>
      </c>
      <c r="Q1612" s="4">
        <v>0.41597222222222224</v>
      </c>
      <c r="R1612" s="23">
        <v>0.48888888888888887</v>
      </c>
      <c r="S1612" s="67"/>
      <c r="T1612" s="1"/>
      <c r="U1612" s="15">
        <f>IF(OR('Controle de CT'!$R1612= "", 'Controle de CT'!$P1612= ""), "", 'Controle de CT'!$R1612-'Controle de CT'!$P1612)</f>
        <v>8.7499999999999967E-2</v>
      </c>
      <c r="V1612" s="1"/>
      <c r="W1612" s="2"/>
      <c r="X1612" s="2"/>
    </row>
    <row r="1613" spans="11:24" ht="15" hidden="1" customHeight="1">
      <c r="K1613" s="5">
        <v>46137</v>
      </c>
      <c r="L1613" s="8" t="s">
        <v>98</v>
      </c>
      <c r="M1613" s="9" t="str">
        <f>IF(Tabela1[[#This Row],[Motorista]]="","",IFERROR(_xlfn.XLOOKUP(Tabela1[[#This Row],[Motorista]],Base!A:A,Base!B:B),""))</f>
        <v>FOB</v>
      </c>
      <c r="N1613" s="20" t="str">
        <f t="shared" si="79"/>
        <v>Aguardando Entrada</v>
      </c>
      <c r="O16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13" s="4">
        <v>0.41388888888888886</v>
      </c>
      <c r="Q1613" s="4"/>
      <c r="R1613" s="23"/>
      <c r="S1613" s="67"/>
      <c r="T1613" s="1"/>
      <c r="U1613" s="15" t="str">
        <f>IF(OR('Controle de CT'!$R1613= "", 'Controle de CT'!$P1613= ""), "", 'Controle de CT'!$R1613-'Controle de CT'!$P1613)</f>
        <v/>
      </c>
      <c r="V1613" s="1"/>
      <c r="W1613" s="2"/>
      <c r="X1613" s="2"/>
    </row>
    <row r="1614" spans="11:24" ht="15" hidden="1" customHeight="1">
      <c r="K1614" s="5">
        <v>46137</v>
      </c>
      <c r="L1614" s="8" t="s">
        <v>45</v>
      </c>
      <c r="M1614" s="9" t="str">
        <f>IF(Tabela1[[#This Row],[Motorista]]="","",IFERROR(_xlfn.XLOOKUP(Tabela1[[#This Row],[Motorista]],Base!A:A,Base!B:B),""))</f>
        <v>CIF</v>
      </c>
      <c r="N1614" s="20" t="str">
        <f t="shared" si="79"/>
        <v>Finalizado</v>
      </c>
      <c r="O16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4" s="4">
        <v>0.44930555555555557</v>
      </c>
      <c r="Q1614" s="4">
        <v>0.4513888888888889</v>
      </c>
      <c r="R1614" s="23">
        <v>0.46736111111111112</v>
      </c>
      <c r="S1614" s="67"/>
      <c r="T1614" s="1"/>
      <c r="U1614" s="15">
        <f>IF(OR('Controle de CT'!$R1614= "", 'Controle de CT'!$P1614= ""), "", 'Controle de CT'!$R1614-'Controle de CT'!$P1614)</f>
        <v>1.8055555555555547E-2</v>
      </c>
      <c r="V1614" s="1"/>
      <c r="W1614" s="2"/>
      <c r="X1614" s="2"/>
    </row>
    <row r="1615" spans="11:24" ht="15" hidden="1" customHeight="1">
      <c r="K1615" s="5">
        <v>46137</v>
      </c>
      <c r="L1615" s="8" t="s">
        <v>57</v>
      </c>
      <c r="M1615" s="9" t="str">
        <f>IF(Tabela1[[#This Row],[Motorista]]="","",IFERROR(_xlfn.XLOOKUP(Tabela1[[#This Row],[Motorista]],Base!A:A,Base!B:B),""))</f>
        <v>CIF</v>
      </c>
      <c r="N1615" s="20" t="str">
        <f t="shared" si="79"/>
        <v>Finalizado</v>
      </c>
      <c r="O16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5" s="4">
        <v>0.42222222222222222</v>
      </c>
      <c r="Q1615" s="4">
        <v>0.43194444444444446</v>
      </c>
      <c r="R1615" s="23">
        <v>0.49513888888888891</v>
      </c>
      <c r="S1615" s="67"/>
      <c r="T1615" s="1"/>
      <c r="U1615" s="15">
        <f>IF(OR('Controle de CT'!$R1615= "", 'Controle de CT'!$P1615= ""), "", 'Controle de CT'!$R1615-'Controle de CT'!$P1615)</f>
        <v>7.2916666666666685E-2</v>
      </c>
      <c r="V1615" s="1"/>
      <c r="W1615" s="2"/>
      <c r="X1615" s="2"/>
    </row>
    <row r="1616" spans="11:24" ht="15" hidden="1" customHeight="1">
      <c r="K1616" s="5">
        <v>46137</v>
      </c>
      <c r="L1616" s="8" t="s">
        <v>116</v>
      </c>
      <c r="M1616" s="9" t="str">
        <f>IF(Tabela1[[#This Row],[Motorista]]="","",IFERROR(_xlfn.XLOOKUP(Tabela1[[#This Row],[Motorista]],Base!A:A,Base!B:B),""))</f>
        <v xml:space="preserve">CIF </v>
      </c>
      <c r="N1616" s="20" t="str">
        <f t="shared" si="79"/>
        <v>Finalizado</v>
      </c>
      <c r="O16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6" s="4">
        <v>0.43194444444444446</v>
      </c>
      <c r="Q1616" s="4"/>
      <c r="R1616" s="23">
        <v>0.4861111111111111</v>
      </c>
      <c r="S1616" s="67"/>
      <c r="T1616" s="1"/>
      <c r="U1616" s="15">
        <f>IF(OR('Controle de CT'!$R1616= "", 'Controle de CT'!$P1616= ""), "", 'Controle de CT'!$R1616-'Controle de CT'!$P1616)</f>
        <v>5.4166666666666641E-2</v>
      </c>
      <c r="V1616" s="1"/>
      <c r="W1616" s="2"/>
      <c r="X1616" s="2"/>
    </row>
    <row r="1617" spans="11:24" ht="15" hidden="1" customHeight="1">
      <c r="K1617" s="5">
        <v>46137</v>
      </c>
      <c r="L1617" s="8" t="s">
        <v>52</v>
      </c>
      <c r="M1617" s="9" t="str">
        <f>IF(Tabela1[[#This Row],[Motorista]]="","",IFERROR(_xlfn.XLOOKUP(Tabela1[[#This Row],[Motorista]],Base!A:A,Base!B:B),""))</f>
        <v>CIF</v>
      </c>
      <c r="N1617" s="20" t="str">
        <f t="shared" si="79"/>
        <v>Aguardando Entrada</v>
      </c>
      <c r="O16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7" s="4">
        <v>0.4513888888888889</v>
      </c>
      <c r="Q1617" s="4"/>
      <c r="R1617" s="23"/>
      <c r="S1617" s="67"/>
      <c r="T1617" s="1"/>
      <c r="U1617" s="15" t="str">
        <f>IF(OR('Controle de CT'!$R1617= "", 'Controle de CT'!$P1617= ""), "", 'Controle de CT'!$R1617-'Controle de CT'!$P1617)</f>
        <v/>
      </c>
      <c r="V1617" s="1"/>
      <c r="W1617" s="2"/>
      <c r="X1617" s="2"/>
    </row>
    <row r="1618" spans="11:24" ht="15" hidden="1" customHeight="1">
      <c r="K1618" s="5">
        <v>46139</v>
      </c>
      <c r="L1618" s="8" t="s">
        <v>45</v>
      </c>
      <c r="M1618" s="9" t="str">
        <f>IF(Tabela1[[#This Row],[Motorista]]="","",IFERROR(_xlfn.XLOOKUP(Tabela1[[#This Row],[Motorista]],Base!A:A,Base!B:B),""))</f>
        <v>CIF</v>
      </c>
      <c r="N1618" s="20" t="str">
        <f t="shared" si="79"/>
        <v>Finalizado</v>
      </c>
      <c r="O16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8" s="4">
        <v>0.21041666666666667</v>
      </c>
      <c r="Q1618" s="4">
        <v>0.29444444444444445</v>
      </c>
      <c r="R1618" s="23">
        <v>0.3215277777777778</v>
      </c>
      <c r="S1618" s="94" t="s">
        <v>254</v>
      </c>
      <c r="T1618" s="1"/>
      <c r="U1618" s="15">
        <f>IF(OR('Controle de CT'!$R1618= "", 'Controle de CT'!$P1618= ""), "", 'Controle de CT'!$R1618-'Controle de CT'!$P1618)</f>
        <v>0.11111111111111113</v>
      </c>
      <c r="V1618" s="1"/>
      <c r="W1618" s="2"/>
      <c r="X1618" s="2"/>
    </row>
    <row r="1619" spans="11:24" ht="15" hidden="1" customHeight="1">
      <c r="K1619" s="5">
        <v>46139</v>
      </c>
      <c r="L1619" s="8" t="s">
        <v>116</v>
      </c>
      <c r="M1619" s="9" t="str">
        <f>IF(Tabela1[[#This Row],[Motorista]]="","",IFERROR(_xlfn.XLOOKUP(Tabela1[[#This Row],[Motorista]],Base!A:A,Base!B:B),""))</f>
        <v xml:space="preserve">CIF </v>
      </c>
      <c r="N1619" s="20" t="str">
        <f t="shared" si="79"/>
        <v>Finalizado</v>
      </c>
      <c r="O16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19" s="4">
        <v>0.21666666666666667</v>
      </c>
      <c r="Q1619" s="4">
        <v>0.2951388888888889</v>
      </c>
      <c r="R1619" s="23">
        <v>0.32916666666666666</v>
      </c>
      <c r="S1619" s="94" t="s">
        <v>254</v>
      </c>
      <c r="T1619" s="1"/>
      <c r="U1619" s="15">
        <f>IF(OR('Controle de CT'!$R1619= "", 'Controle de CT'!$P1619= ""), "", 'Controle de CT'!$R1619-'Controle de CT'!$P1619)</f>
        <v>0.11249999999999999</v>
      </c>
      <c r="V1619" s="1"/>
      <c r="W1619" s="2"/>
      <c r="X1619" s="2"/>
    </row>
    <row r="1620" spans="11:24" ht="15" hidden="1" customHeight="1">
      <c r="K1620" s="5">
        <v>46139</v>
      </c>
      <c r="L1620" s="8" t="s">
        <v>52</v>
      </c>
      <c r="M1620" s="9" t="str">
        <f>IF(Tabela1[[#This Row],[Motorista]]="","",IFERROR(_xlfn.XLOOKUP(Tabela1[[#This Row],[Motorista]],Base!A:A,Base!B:B),""))</f>
        <v>CIF</v>
      </c>
      <c r="N1620" s="20" t="str">
        <f t="shared" si="79"/>
        <v>Finalizado</v>
      </c>
      <c r="O16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20" s="4">
        <v>0.25277777777777777</v>
      </c>
      <c r="Q1620" s="4">
        <v>0.29166666666666669</v>
      </c>
      <c r="R1620" s="23">
        <v>0.32569444444444445</v>
      </c>
      <c r="S1620" s="94" t="s">
        <v>254</v>
      </c>
      <c r="T1620" s="1"/>
      <c r="U1620" s="15">
        <f>IF(OR('Controle de CT'!$R1620= "", 'Controle de CT'!$P1620= ""), "", 'Controle de CT'!$R1620-'Controle de CT'!$P1620)</f>
        <v>7.2916666666666685E-2</v>
      </c>
      <c r="V1620" s="1"/>
      <c r="W1620" s="2"/>
      <c r="X1620" s="2"/>
    </row>
    <row r="1621" spans="11:24" ht="15" hidden="1" customHeight="1">
      <c r="K1621" s="5">
        <v>46139</v>
      </c>
      <c r="L1621" s="8" t="s">
        <v>55</v>
      </c>
      <c r="M1621" s="9" t="str">
        <f>IF(Tabela1[[#This Row],[Motorista]]="","",IFERROR(_xlfn.XLOOKUP(Tabela1[[#This Row],[Motorista]],Base!A:A,Base!B:B),""))</f>
        <v>CIF</v>
      </c>
      <c r="N1621" s="20" t="str">
        <f t="shared" si="79"/>
        <v>Finalizado</v>
      </c>
      <c r="O16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21" s="4">
        <v>0.25416666666666665</v>
      </c>
      <c r="Q1621" s="4">
        <v>0.2986111111111111</v>
      </c>
      <c r="R1621" s="23">
        <v>0.33958333333333335</v>
      </c>
      <c r="S1621" s="94" t="s">
        <v>254</v>
      </c>
      <c r="T1621" s="1"/>
      <c r="U1621" s="15">
        <f>IF(OR('Controle de CT'!$R1621= "", 'Controle de CT'!$P1621= ""), "", 'Controle de CT'!$R1621-'Controle de CT'!$P1621)</f>
        <v>8.5416666666666696E-2</v>
      </c>
      <c r="V1621" s="1"/>
      <c r="W1621" s="2"/>
      <c r="X1621" s="2"/>
    </row>
    <row r="1622" spans="11:24" ht="15" hidden="1" customHeight="1">
      <c r="K1622" s="5">
        <v>46139</v>
      </c>
      <c r="L1622" s="8" t="s">
        <v>48</v>
      </c>
      <c r="M1622" s="9" t="str">
        <f>IF(Tabela1[[#This Row],[Motorista]]="","",IFERROR(_xlfn.XLOOKUP(Tabela1[[#This Row],[Motorista]],Base!A:A,Base!B:B),""))</f>
        <v>CIF</v>
      </c>
      <c r="N1622" s="20" t="str">
        <f t="shared" si="79"/>
        <v>Finalizado</v>
      </c>
      <c r="O16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22" s="4">
        <v>0.2590277777777778</v>
      </c>
      <c r="Q1622" s="4">
        <v>0.30694444444444446</v>
      </c>
      <c r="R1622" s="23">
        <v>0.37361111111111112</v>
      </c>
      <c r="S1622" s="94" t="s">
        <v>254</v>
      </c>
      <c r="T1622" s="1"/>
      <c r="U1622" s="15">
        <f>IF(OR('Controle de CT'!$R1622= "", 'Controle de CT'!$P1622= ""), "", 'Controle de CT'!$R1622-'Controle de CT'!$P1622)</f>
        <v>0.11458333333333331</v>
      </c>
      <c r="V1622" s="1"/>
      <c r="W1622" s="2"/>
      <c r="X1622" s="2"/>
    </row>
    <row r="1623" spans="11:24" ht="15" hidden="1" customHeight="1">
      <c r="K1623" s="5">
        <v>46139</v>
      </c>
      <c r="L1623" s="8" t="s">
        <v>255</v>
      </c>
      <c r="M1623" s="9" t="s">
        <v>62</v>
      </c>
      <c r="N1623" s="20" t="str">
        <f t="shared" si="79"/>
        <v>Finalizado</v>
      </c>
      <c r="O16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3" s="4">
        <v>0.26250000000000001</v>
      </c>
      <c r="Q1623" s="4">
        <v>0.30208333333333331</v>
      </c>
      <c r="R1623" s="23">
        <v>0.3611111111111111</v>
      </c>
      <c r="S1623" s="94" t="s">
        <v>254</v>
      </c>
      <c r="T1623" s="1"/>
      <c r="U1623" s="15">
        <f>IF(OR('Controle de CT'!$R1623= "", 'Controle de CT'!$P1623= ""), "", 'Controle de CT'!$R1623-'Controle de CT'!$P1623)</f>
        <v>9.8611111111111094E-2</v>
      </c>
      <c r="V1623" s="1"/>
      <c r="W1623" s="2"/>
      <c r="X1623" s="2"/>
    </row>
    <row r="1624" spans="11:24" ht="15" hidden="1" customHeight="1">
      <c r="K1624" s="5">
        <v>46139</v>
      </c>
      <c r="L1624" s="8" t="s">
        <v>46</v>
      </c>
      <c r="M1624" s="9" t="str">
        <f>IF(Tabela1[[#This Row],[Motorista]]="","",IFERROR(_xlfn.XLOOKUP(Tabela1[[#This Row],[Motorista]],Base!A:A,Base!B:B),""))</f>
        <v>CIF</v>
      </c>
      <c r="N1624" s="20" t="str">
        <f t="shared" si="79"/>
        <v>Finalizado</v>
      </c>
      <c r="O16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24" s="4">
        <v>0.27013888888888887</v>
      </c>
      <c r="Q1624" s="4">
        <v>0.31180555555555556</v>
      </c>
      <c r="R1624" s="23">
        <v>0.36249999999999999</v>
      </c>
      <c r="S1624" s="94" t="s">
        <v>254</v>
      </c>
      <c r="T1624" s="1"/>
      <c r="U1624" s="15">
        <f>IF(OR('Controle de CT'!$R1624= "", 'Controle de CT'!$P1624= ""), "", 'Controle de CT'!$R1624-'Controle de CT'!$P1624)</f>
        <v>9.2361111111111116E-2</v>
      </c>
      <c r="V1624" s="1"/>
      <c r="W1624" s="2"/>
      <c r="X1624" s="2"/>
    </row>
    <row r="1625" spans="11:24" ht="15" hidden="1" customHeight="1">
      <c r="K1625" s="5">
        <v>46139</v>
      </c>
      <c r="L1625" s="8" t="s">
        <v>101</v>
      </c>
      <c r="M1625" s="9" t="str">
        <f>IF(Tabela1[[#This Row],[Motorista]]="","",IFERROR(_xlfn.XLOOKUP(Tabela1[[#This Row],[Motorista]],Base!A:A,Base!B:B),""))</f>
        <v>FOB</v>
      </c>
      <c r="N1625" s="20" t="str">
        <f t="shared" si="79"/>
        <v>Finalizado</v>
      </c>
      <c r="O16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5" s="4">
        <v>0.27013888888888887</v>
      </c>
      <c r="Q1625" s="4">
        <v>0.3298611111111111</v>
      </c>
      <c r="R1625" s="23">
        <v>0.39791666666666664</v>
      </c>
      <c r="S1625" s="94" t="s">
        <v>254</v>
      </c>
      <c r="T1625" s="1"/>
      <c r="U1625" s="15">
        <f>IF(OR('Controle de CT'!$R1625= "", 'Controle de CT'!$P1625= ""), "", 'Controle de CT'!$R1625-'Controle de CT'!$P1625)</f>
        <v>0.12777777777777777</v>
      </c>
      <c r="V1625" s="1"/>
      <c r="W1625" s="2"/>
      <c r="X1625" s="2"/>
    </row>
    <row r="1626" spans="11:24" ht="15" hidden="1" customHeight="1">
      <c r="K1626" s="5">
        <v>46139</v>
      </c>
      <c r="L1626" t="s">
        <v>375</v>
      </c>
      <c r="M1626" s="24" t="s">
        <v>63</v>
      </c>
      <c r="N1626" s="20" t="str">
        <f t="shared" si="79"/>
        <v>Finalizado</v>
      </c>
      <c r="O16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26" s="4">
        <v>0.28749999999999998</v>
      </c>
      <c r="Q1626" s="4">
        <v>0.3347222222222222</v>
      </c>
      <c r="R1626" s="23">
        <v>0.40694444444444444</v>
      </c>
      <c r="S1626" s="94" t="s">
        <v>254</v>
      </c>
      <c r="T1626" s="1"/>
      <c r="U1626" s="15">
        <f>IF(OR('Controle de CT'!$R1626= "", 'Controle de CT'!$P1626= ""), "", 'Controle de CT'!$R1626-'Controle de CT'!$P1626)</f>
        <v>0.11944444444444446</v>
      </c>
      <c r="V1626" s="1"/>
      <c r="W1626" s="2"/>
      <c r="X1626" s="2"/>
    </row>
    <row r="1627" spans="11:24" ht="15" hidden="1" customHeight="1">
      <c r="K1627" s="5">
        <v>46139</v>
      </c>
      <c r="L1627" s="8" t="s">
        <v>111</v>
      </c>
      <c r="M1627" s="9" t="str">
        <f>IF(Tabela1[[#This Row],[Motorista]]="","",IFERROR(_xlfn.XLOOKUP(Tabela1[[#This Row],[Motorista]],Base!A:A,Base!B:B),""))</f>
        <v>FOB</v>
      </c>
      <c r="N1627" s="20" t="str">
        <f t="shared" si="79"/>
        <v>Finalizado</v>
      </c>
      <c r="O16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7" s="4">
        <v>0.29305555555555557</v>
      </c>
      <c r="Q1627" s="4">
        <v>0.46875</v>
      </c>
      <c r="R1627" s="23">
        <v>0.46041666666666664</v>
      </c>
      <c r="S1627" s="94" t="s">
        <v>254</v>
      </c>
      <c r="T1627" s="1"/>
      <c r="U1627" s="15">
        <f>IF(OR('Controle de CT'!$R1627= "", 'Controle de CT'!$P1627= ""), "", 'Controle de CT'!$R1627-'Controle de CT'!$P1627)</f>
        <v>0.16736111111111107</v>
      </c>
      <c r="V1627" s="1" t="s">
        <v>414</v>
      </c>
      <c r="W1627" s="2"/>
      <c r="X1627" s="2"/>
    </row>
    <row r="1628" spans="11:24" ht="15" hidden="1" customHeight="1">
      <c r="K1628" s="5">
        <v>46139</v>
      </c>
      <c r="L1628" t="s">
        <v>363</v>
      </c>
      <c r="M1628" s="24" t="s">
        <v>63</v>
      </c>
      <c r="N1628" s="20" t="str">
        <f t="shared" ref="N1628:N1659" si="80">IF(R1628&lt;&gt;"","Finalizado", IF(Q1628&lt;&gt;"","Fila de Carregamento", IF(P1628&lt;&gt;"","Aguardando Entrada","")))</f>
        <v>Aguardando Entrada</v>
      </c>
      <c r="O16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8" s="4">
        <v>0.2951388888888889</v>
      </c>
      <c r="Q1628" s="4"/>
      <c r="R1628" s="23"/>
      <c r="S1628" s="67"/>
      <c r="T1628" s="1"/>
      <c r="U1628" s="15" t="str">
        <f>IF(OR('Controle de CT'!$R1628= "", 'Controle de CT'!$P1628= ""), "", 'Controle de CT'!$R1628-'Controle de CT'!$P1628)</f>
        <v/>
      </c>
      <c r="V1628" s="1"/>
      <c r="W1628" s="2"/>
      <c r="X1628" s="2"/>
    </row>
    <row r="1629" spans="11:24" ht="15" hidden="1" customHeight="1">
      <c r="K1629" s="5">
        <v>46139</v>
      </c>
      <c r="L1629" s="8" t="s">
        <v>90</v>
      </c>
      <c r="M1629" s="9" t="str">
        <f>IF(Tabela1[[#This Row],[Motorista]]="","",IFERROR(_xlfn.XLOOKUP(Tabela1[[#This Row],[Motorista]],Base!A:A,Base!B:B),""))</f>
        <v>FOB</v>
      </c>
      <c r="N1629" s="20" t="str">
        <f t="shared" si="80"/>
        <v>Finalizado</v>
      </c>
      <c r="O16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29" s="4">
        <v>0.31180555555555556</v>
      </c>
      <c r="Q1629" s="4">
        <v>0.37291666666666667</v>
      </c>
      <c r="R1629" s="23">
        <v>0.43055555555555558</v>
      </c>
      <c r="S1629" s="94" t="s">
        <v>254</v>
      </c>
      <c r="T1629" s="1"/>
      <c r="U1629" s="15">
        <f>IF(OR('Controle de CT'!$R1629= "", 'Controle de CT'!$P1629= ""), "", 'Controle de CT'!$R1629-'Controle de CT'!$P1629)</f>
        <v>0.11875000000000002</v>
      </c>
      <c r="V1629" s="1"/>
      <c r="W1629" s="2"/>
      <c r="X1629" s="2"/>
    </row>
    <row r="1630" spans="11:24" ht="15" hidden="1" customHeight="1">
      <c r="K1630" s="5">
        <v>46139</v>
      </c>
      <c r="L1630" t="s">
        <v>92</v>
      </c>
      <c r="M1630" s="24" t="s">
        <v>63</v>
      </c>
      <c r="N1630" s="20" t="str">
        <f t="shared" si="80"/>
        <v>Finalizado</v>
      </c>
      <c r="O16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30" s="4">
        <v>0.31666666666666665</v>
      </c>
      <c r="Q1630" s="4">
        <v>0.35972222222222222</v>
      </c>
      <c r="R1630" s="23">
        <v>0.39930555555555558</v>
      </c>
      <c r="S1630" s="94" t="s">
        <v>254</v>
      </c>
      <c r="T1630" s="1"/>
      <c r="U1630" s="15">
        <f>IF(OR('Controle de CT'!$R1630= "", 'Controle de CT'!$P1630= ""), "", 'Controle de CT'!$R1630-'Controle de CT'!$P1630)</f>
        <v>8.2638888888888928E-2</v>
      </c>
      <c r="V1630" s="1"/>
      <c r="W1630" s="2"/>
      <c r="X1630" s="2"/>
    </row>
    <row r="1631" spans="11:24" ht="15" hidden="1" customHeight="1">
      <c r="K1631" s="5">
        <v>46139</v>
      </c>
      <c r="L1631" s="8" t="s">
        <v>121</v>
      </c>
      <c r="M1631" s="9" t="str">
        <f>IF(Tabela1[[#This Row],[Motorista]]="","",IFERROR(_xlfn.XLOOKUP(Tabela1[[#This Row],[Motorista]],Base!A:A,Base!B:B),""))</f>
        <v>CIF</v>
      </c>
      <c r="N1631" s="20" t="str">
        <f t="shared" si="80"/>
        <v>Finalizado</v>
      </c>
      <c r="O16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1" s="4">
        <v>0.31805555555555554</v>
      </c>
      <c r="Q1631" s="4">
        <v>0.3611111111111111</v>
      </c>
      <c r="R1631" s="23">
        <v>0.44861111111111113</v>
      </c>
      <c r="S1631" s="94" t="s">
        <v>254</v>
      </c>
      <c r="T1631" s="1"/>
      <c r="U1631" s="15">
        <f>IF(OR('Controle de CT'!$R1631= "", 'Controle de CT'!$P1631= ""), "", 'Controle de CT'!$R1631-'Controle de CT'!$P1631)</f>
        <v>0.13055555555555559</v>
      </c>
      <c r="V1631" s="1" t="s">
        <v>226</v>
      </c>
      <c r="W1631" s="2"/>
      <c r="X1631" s="2"/>
    </row>
    <row r="1632" spans="11:24" ht="15" hidden="1" customHeight="1">
      <c r="K1632" s="5">
        <v>46139</v>
      </c>
      <c r="L1632" s="8" t="s">
        <v>87</v>
      </c>
      <c r="M1632" s="9" t="str">
        <f>IF(Tabela1[[#This Row],[Motorista]]="","",IFERROR(_xlfn.XLOOKUP(Tabela1[[#This Row],[Motorista]],Base!A:A,Base!B:B),""))</f>
        <v>FOB</v>
      </c>
      <c r="N1632" s="20" t="str">
        <f t="shared" si="80"/>
        <v>Finalizado</v>
      </c>
      <c r="O16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2" s="4">
        <v>0.35902777777777778</v>
      </c>
      <c r="Q1632" s="4">
        <v>0.37986111111111109</v>
      </c>
      <c r="R1632" s="23">
        <v>0.4375</v>
      </c>
      <c r="S1632" s="94" t="s">
        <v>254</v>
      </c>
      <c r="T1632" s="1"/>
      <c r="U1632" s="15">
        <f>IF(OR('Controle de CT'!$R1632= "", 'Controle de CT'!$P1632= ""), "", 'Controle de CT'!$R1632-'Controle de CT'!$P1632)</f>
        <v>7.8472222222222221E-2</v>
      </c>
      <c r="V1632" s="1"/>
      <c r="W1632" s="2"/>
      <c r="X1632" s="2"/>
    </row>
    <row r="1633" spans="11:24" ht="15" hidden="1" customHeight="1">
      <c r="K1633" s="5">
        <v>46139</v>
      </c>
      <c r="L1633" t="s">
        <v>278</v>
      </c>
      <c r="M1633" s="24" t="s">
        <v>63</v>
      </c>
      <c r="N1633" s="20" t="str">
        <f t="shared" si="80"/>
        <v>Finalizado</v>
      </c>
      <c r="O16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3" s="4">
        <v>0.36875000000000002</v>
      </c>
      <c r="Q1633" s="4">
        <v>0.38263888888888886</v>
      </c>
      <c r="R1633" s="23">
        <v>0.44027777777777777</v>
      </c>
      <c r="S1633" s="94" t="s">
        <v>254</v>
      </c>
      <c r="T1633" s="14">
        <f>IF(OR(Tabela1[[#This Row],[Entrada]]="",Tabela1[[#This Row],[Saída]]=""), "", Tabela1[[#This Row],[Saída]]-Tabela1[[#This Row],[Entrada]])</f>
        <v>5.7638888888888906E-2</v>
      </c>
      <c r="U1633" s="15">
        <f>IF(OR('Controle de CT'!$R1633= "", 'Controle de CT'!$P1633= ""), "", 'Controle de CT'!$R1633-'Controle de CT'!$P1633)</f>
        <v>7.1527777777777746E-2</v>
      </c>
      <c r="V1633" s="1"/>
      <c r="W1633" s="2"/>
      <c r="X1633" s="2"/>
    </row>
    <row r="1634" spans="11:24" ht="15" hidden="1" customHeight="1">
      <c r="K1634" s="5">
        <v>46139</v>
      </c>
      <c r="L1634" s="8" t="s">
        <v>114</v>
      </c>
      <c r="M1634" s="9" t="str">
        <f>IF(Tabela1[[#This Row],[Motorista]]="","",IFERROR(_xlfn.XLOOKUP(Tabela1[[#This Row],[Motorista]],Base!A:A,Base!B:B),""))</f>
        <v>FOB</v>
      </c>
      <c r="N1634" s="20" t="str">
        <f t="shared" si="80"/>
        <v>Finalizado</v>
      </c>
      <c r="O16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4" s="4">
        <v>0.35972222222222222</v>
      </c>
      <c r="Q1634" s="4">
        <v>0.44236111111111109</v>
      </c>
      <c r="R1634" s="23">
        <v>0.56319444444444444</v>
      </c>
      <c r="S1634" s="94" t="s">
        <v>254</v>
      </c>
      <c r="T1634" s="1"/>
      <c r="U1634" s="15">
        <f>IF(OR('Controle de CT'!$R1634= "", 'Controle de CT'!$P1634= ""), "", 'Controle de CT'!$R1634-'Controle de CT'!$P1634)</f>
        <v>0.20347222222222222</v>
      </c>
      <c r="V1634" s="1" t="s">
        <v>226</v>
      </c>
      <c r="W1634" s="2"/>
      <c r="X1634" s="2"/>
    </row>
    <row r="1635" spans="11:24" ht="15" hidden="1" customHeight="1">
      <c r="K1635" s="5">
        <v>46139</v>
      </c>
      <c r="L1635" s="8" t="s">
        <v>45</v>
      </c>
      <c r="M1635" s="9" t="str">
        <f>IF(Tabela1[[#This Row],[Motorista]]="","",IFERROR(_xlfn.XLOOKUP(Tabela1[[#This Row],[Motorista]],Base!A:A,Base!B:B),""))</f>
        <v>CIF</v>
      </c>
      <c r="N1635" s="20" t="str">
        <f t="shared" si="80"/>
        <v>Finalizado</v>
      </c>
      <c r="O16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35" s="4">
        <v>0.40069444444444446</v>
      </c>
      <c r="Q1635" s="4">
        <v>0.41944444444444445</v>
      </c>
      <c r="R1635" s="23">
        <v>0.45833333333333331</v>
      </c>
      <c r="S1635" s="94" t="s">
        <v>254</v>
      </c>
      <c r="T1635" s="1"/>
      <c r="U1635" s="15">
        <f>IF(OR('Controle de CT'!$R1635= "", 'Controle de CT'!$P1635= ""), "", 'Controle de CT'!$R1635-'Controle de CT'!$P1635)</f>
        <v>5.7638888888888851E-2</v>
      </c>
      <c r="V1635" s="1"/>
      <c r="W1635" s="2"/>
      <c r="X1635" s="2"/>
    </row>
    <row r="1636" spans="11:24" ht="15" hidden="1" customHeight="1">
      <c r="K1636" s="5">
        <v>46139</v>
      </c>
      <c r="L1636" s="8" t="s">
        <v>52</v>
      </c>
      <c r="M1636" s="9" t="str">
        <f>IF(Tabela1[[#This Row],[Motorista]]="","",IFERROR(_xlfn.XLOOKUP(Tabela1[[#This Row],[Motorista]],Base!A:A,Base!B:B),""))</f>
        <v>CIF</v>
      </c>
      <c r="N1636" s="20" t="str">
        <f t="shared" si="80"/>
        <v>Finalizado</v>
      </c>
      <c r="O16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36" s="4">
        <v>0.43055555555555558</v>
      </c>
      <c r="Q1636" s="4">
        <v>0.44305555555555554</v>
      </c>
      <c r="R1636" s="23">
        <v>0.47222222222222221</v>
      </c>
      <c r="S1636" s="94" t="s">
        <v>254</v>
      </c>
      <c r="T1636" s="1"/>
      <c r="U1636" s="15">
        <f>IF(OR('Controle de CT'!$R1636= "", 'Controle de CT'!$P1636= ""), "", 'Controle de CT'!$R1636-'Controle de CT'!$P1636)</f>
        <v>4.166666666666663E-2</v>
      </c>
      <c r="V1636" s="1"/>
      <c r="W1636" s="2"/>
      <c r="X1636" s="2"/>
    </row>
    <row r="1637" spans="11:24" ht="15" hidden="1" customHeight="1">
      <c r="K1637" s="5">
        <v>46139</v>
      </c>
      <c r="L1637" s="8" t="s">
        <v>107</v>
      </c>
      <c r="M1637" s="9" t="str">
        <f>IF(Tabela1[[#This Row],[Motorista]]="","",IFERROR(_xlfn.XLOOKUP(Tabela1[[#This Row],[Motorista]],Base!A:A,Base!B:B),""))</f>
        <v>FOB</v>
      </c>
      <c r="N1637" s="20" t="str">
        <f t="shared" si="80"/>
        <v>Finalizado</v>
      </c>
      <c r="O16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37" s="4">
        <v>0.43472222222222223</v>
      </c>
      <c r="Q1637" s="4">
        <v>0.46527777777777779</v>
      </c>
      <c r="R1637" s="23">
        <v>0.58333333333333337</v>
      </c>
      <c r="S1637" s="94" t="s">
        <v>254</v>
      </c>
      <c r="T1637" s="1"/>
      <c r="U1637" s="15">
        <f>IF(OR('Controle de CT'!$R1637= "", 'Controle de CT'!$P1637= ""), "", 'Controle de CT'!$R1637-'Controle de CT'!$P1637)</f>
        <v>0.14861111111111114</v>
      </c>
      <c r="V1637" s="1" t="s">
        <v>226</v>
      </c>
      <c r="W1637" s="2"/>
      <c r="X1637" s="2"/>
    </row>
    <row r="1638" spans="11:24" ht="15" hidden="1" customHeight="1">
      <c r="K1638" s="5">
        <v>46139</v>
      </c>
      <c r="L1638" s="8" t="s">
        <v>116</v>
      </c>
      <c r="M1638" s="9" t="str">
        <f>IF(Tabela1[[#This Row],[Motorista]]="","",IFERROR(_xlfn.XLOOKUP(Tabela1[[#This Row],[Motorista]],Base!A:A,Base!B:B),""))</f>
        <v xml:space="preserve">CIF </v>
      </c>
      <c r="N1638" s="20" t="str">
        <f t="shared" si="80"/>
        <v>Finalizado</v>
      </c>
      <c r="O16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38" s="4">
        <v>0.48472222222222222</v>
      </c>
      <c r="Q1638" s="4">
        <v>0.49444444444444446</v>
      </c>
      <c r="R1638" s="23">
        <v>0.52083333333333337</v>
      </c>
      <c r="S1638" s="94" t="s">
        <v>254</v>
      </c>
      <c r="T1638" s="1"/>
      <c r="U1638" s="15">
        <f>IF(OR('Controle de CT'!$R1638= "", 'Controle de CT'!$P1638= ""), "", 'Controle de CT'!$R1638-'Controle de CT'!$P1638)</f>
        <v>3.6111111111111149E-2</v>
      </c>
      <c r="V1638" s="1"/>
      <c r="W1638" s="2"/>
      <c r="X1638" s="2"/>
    </row>
    <row r="1639" spans="11:24" ht="15" hidden="1" customHeight="1">
      <c r="K1639" s="5">
        <v>46139</v>
      </c>
      <c r="L1639" s="8" t="s">
        <v>55</v>
      </c>
      <c r="M1639" s="9" t="str">
        <f>IF(Tabela1[[#This Row],[Motorista]]="","",IFERROR(_xlfn.XLOOKUP(Tabela1[[#This Row],[Motorista]],Base!A:A,Base!B:B),""))</f>
        <v>CIF</v>
      </c>
      <c r="N1639" s="20" t="str">
        <f t="shared" si="80"/>
        <v>Finalizado</v>
      </c>
      <c r="O16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39" s="4">
        <v>0.49722222222222223</v>
      </c>
      <c r="Q1639" s="4">
        <v>0.51736111111111116</v>
      </c>
      <c r="R1639" s="23">
        <v>0.625</v>
      </c>
      <c r="S1639" s="94" t="s">
        <v>254</v>
      </c>
      <c r="T1639" s="1"/>
      <c r="U1639" s="15">
        <f>IF(OR('Controle de CT'!$R1639= "", 'Controle de CT'!$P1639= ""), "", 'Controle de CT'!$R1639-'Controle de CT'!$P1639)</f>
        <v>0.12777777777777777</v>
      </c>
      <c r="V1639" s="1" t="s">
        <v>226</v>
      </c>
      <c r="W1639" s="2"/>
      <c r="X1639" s="2"/>
    </row>
    <row r="1640" spans="11:24" ht="15" hidden="1" customHeight="1">
      <c r="K1640" s="5">
        <v>46139</v>
      </c>
      <c r="L1640" s="8" t="s">
        <v>46</v>
      </c>
      <c r="M1640" s="9" t="str">
        <f>IF(Tabela1[[#This Row],[Motorista]]="","",IFERROR(_xlfn.XLOOKUP(Tabela1[[#This Row],[Motorista]],Base!A:A,Base!B:B),""))</f>
        <v>CIF</v>
      </c>
      <c r="N1640" s="20" t="str">
        <f t="shared" si="80"/>
        <v>Finalizado</v>
      </c>
      <c r="O16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40" s="4">
        <v>0.51249999999999996</v>
      </c>
      <c r="Q1640" s="4">
        <v>0.56666666666666665</v>
      </c>
      <c r="R1640" s="23">
        <v>0.62569444444444444</v>
      </c>
      <c r="S1640" s="94" t="s">
        <v>254</v>
      </c>
      <c r="T1640" s="1"/>
      <c r="U1640" s="15">
        <f>IF(OR('Controle de CT'!$R1640= "", 'Controle de CT'!$P1640= ""), "", 'Controle de CT'!$R1640-'Controle de CT'!$P1640)</f>
        <v>0.11319444444444449</v>
      </c>
      <c r="V1640" s="1"/>
      <c r="W1640" s="2"/>
      <c r="X1640" s="2"/>
    </row>
    <row r="1641" spans="11:24" ht="15" hidden="1" customHeight="1">
      <c r="K1641" s="5">
        <v>46139</v>
      </c>
      <c r="L1641" s="8" t="s">
        <v>48</v>
      </c>
      <c r="M1641" s="9" t="str">
        <f>IF(Tabela1[[#This Row],[Motorista]]="","",IFERROR(_xlfn.XLOOKUP(Tabela1[[#This Row],[Motorista]],Base!A:A,Base!B:B),""))</f>
        <v>CIF</v>
      </c>
      <c r="N1641" s="20" t="str">
        <f t="shared" si="80"/>
        <v>Finalizado</v>
      </c>
      <c r="O16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41" s="4">
        <v>0.53680555555555554</v>
      </c>
      <c r="Q1641" s="4">
        <v>0.54722222222222228</v>
      </c>
      <c r="R1641" s="23">
        <v>0.58333333333333337</v>
      </c>
      <c r="S1641" s="94" t="s">
        <v>254</v>
      </c>
      <c r="T1641" s="14">
        <f>IF(OR(Tabela1[[#This Row],[Entrada]]="",Tabela1[[#This Row],[Saída]]=""), "", Tabela1[[#This Row],[Saída]]-Tabela1[[#This Row],[Entrada]])</f>
        <v>3.6111111111111094E-2</v>
      </c>
      <c r="U1641" s="15">
        <f>IF(OR('Controle de CT'!$R1641= "", 'Controle de CT'!$P1641= ""), "", 'Controle de CT'!$R1641-'Controle de CT'!$P1641)</f>
        <v>4.6527777777777835E-2</v>
      </c>
      <c r="V1641" s="1"/>
      <c r="W1641" s="2"/>
      <c r="X1641" s="2"/>
    </row>
    <row r="1642" spans="11:24" ht="15" hidden="1" customHeight="1">
      <c r="K1642" s="5">
        <v>46139</v>
      </c>
      <c r="L1642" s="8" t="s">
        <v>92</v>
      </c>
      <c r="M1642" s="9" t="str">
        <f>IF(Tabela1[[#This Row],[Motorista]]="","",IFERROR(_xlfn.XLOOKUP(Tabela1[[#This Row],[Motorista]],Base!A:A,Base!B:B),""))</f>
        <v>FOB</v>
      </c>
      <c r="N1642" s="20" t="str">
        <f t="shared" si="80"/>
        <v>Finalizado</v>
      </c>
      <c r="O16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42" s="4">
        <v>0.54861111111111116</v>
      </c>
      <c r="Q1642" s="4">
        <v>0.5625</v>
      </c>
      <c r="R1642" s="23">
        <v>0.59097222222222223</v>
      </c>
      <c r="S1642" s="94" t="s">
        <v>254</v>
      </c>
      <c r="T1642" s="14">
        <f>IF(OR(Tabela1[[#This Row],[Entrada]]="",Tabela1[[#This Row],[Saída]]=""), "", Tabela1[[#This Row],[Saída]]-Tabela1[[#This Row],[Entrada]])</f>
        <v>2.8472222222222232E-2</v>
      </c>
      <c r="U1642" s="15">
        <f>IF(OR('Controle de CT'!$R1642= "", 'Controle de CT'!$P1642= ""), "", 'Controle de CT'!$R1642-'Controle de CT'!$P1642)</f>
        <v>4.2361111111111072E-2</v>
      </c>
      <c r="V1642" s="1"/>
      <c r="W1642" s="2"/>
      <c r="X1642" s="2"/>
    </row>
    <row r="1643" spans="11:24" ht="15" hidden="1" customHeight="1">
      <c r="K1643" s="5">
        <v>46139</v>
      </c>
      <c r="L1643" t="s">
        <v>375</v>
      </c>
      <c r="M1643" s="24" t="s">
        <v>63</v>
      </c>
      <c r="N1643" s="20" t="str">
        <f t="shared" si="80"/>
        <v>Finalizado</v>
      </c>
      <c r="O16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43" s="4">
        <v>0.55277777777777781</v>
      </c>
      <c r="Q1643" s="4">
        <v>0.60416666666666663</v>
      </c>
      <c r="R1643" s="23">
        <v>0.59513888888888888</v>
      </c>
      <c r="S1643" s="94" t="s">
        <v>254</v>
      </c>
      <c r="T1643" s="14">
        <f>IF(OR(Tabela1[[#This Row],[Entrada]]="",Tabela1[[#This Row],[Saída]]=""), "", Tabela1[[#This Row],[Saída]]-Tabela1[[#This Row],[Entrada]])</f>
        <v>-9.0277777777777457E-3</v>
      </c>
      <c r="U1643" s="15">
        <f>IF(OR('Controle de CT'!$R1643= "", 'Controle de CT'!$P1643= ""), "", 'Controle de CT'!$R1643-'Controle de CT'!$P1643)</f>
        <v>4.2361111111111072E-2</v>
      </c>
      <c r="V1643" s="1"/>
      <c r="W1643" s="2"/>
      <c r="X1643" s="2"/>
    </row>
    <row r="1644" spans="11:24" ht="15" hidden="1" customHeight="1">
      <c r="K1644" s="5">
        <v>46139</v>
      </c>
      <c r="L1644" t="s">
        <v>89</v>
      </c>
      <c r="M1644" s="24" t="s">
        <v>63</v>
      </c>
      <c r="N1644" s="20" t="str">
        <f t="shared" si="80"/>
        <v>Fila de Carregamento</v>
      </c>
      <c r="O16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4" s="4">
        <v>0.54236111111111107</v>
      </c>
      <c r="Q1644" s="4">
        <v>0.58333333333333337</v>
      </c>
      <c r="R1644" s="23"/>
      <c r="S1644" s="94" t="s">
        <v>254</v>
      </c>
      <c r="T1644" s="1"/>
      <c r="U1644" s="15" t="str">
        <f>IF(OR('Controle de CT'!$R1644= "", 'Controle de CT'!$P1644= ""), "", 'Controle de CT'!$R1644-'Controle de CT'!$P1644)</f>
        <v/>
      </c>
      <c r="V1644" s="1"/>
      <c r="W1644" s="2"/>
      <c r="X1644" s="2"/>
    </row>
    <row r="1645" spans="11:24" ht="15" hidden="1" customHeight="1">
      <c r="K1645" s="5">
        <v>46139</v>
      </c>
      <c r="L1645" s="8" t="s">
        <v>415</v>
      </c>
      <c r="M1645" s="9" t="s">
        <v>63</v>
      </c>
      <c r="N1645" s="20" t="str">
        <f t="shared" si="80"/>
        <v>Fila de Carregamento</v>
      </c>
      <c r="O16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5" s="4">
        <v>0.54861111111111116</v>
      </c>
      <c r="Q1645" s="4">
        <v>0.60277777777777775</v>
      </c>
      <c r="R1645" s="23"/>
      <c r="S1645" s="94" t="s">
        <v>254</v>
      </c>
      <c r="T1645" s="1"/>
      <c r="U1645" s="15" t="str">
        <f>IF(OR('Controle de CT'!$R1645= "", 'Controle de CT'!$P1645= ""), "", 'Controle de CT'!$R1645-'Controle de CT'!$P1645)</f>
        <v/>
      </c>
      <c r="V1645" s="1"/>
      <c r="W1645" s="2"/>
      <c r="X1645" s="2"/>
    </row>
    <row r="1646" spans="11:24" ht="15" hidden="1" customHeight="1">
      <c r="K1646" s="5">
        <v>46140</v>
      </c>
      <c r="L1646" t="s">
        <v>116</v>
      </c>
      <c r="M1646" s="24" t="s">
        <v>321</v>
      </c>
      <c r="N1646" s="20" t="str">
        <f t="shared" si="80"/>
        <v>Finalizado</v>
      </c>
      <c r="O16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6" s="4">
        <v>0.20416666666666666</v>
      </c>
      <c r="Q1646" s="4">
        <v>0.28125</v>
      </c>
      <c r="R1646" s="23">
        <v>0.31944444444444442</v>
      </c>
      <c r="S1646" s="94" t="s">
        <v>254</v>
      </c>
      <c r="T1646" s="1"/>
      <c r="U1646" s="15">
        <f>IF(OR('Controle de CT'!$R1646= "", 'Controle de CT'!$P1646= ""), "", 'Controle de CT'!$R1646-'Controle de CT'!$P1646)</f>
        <v>0.11527777777777776</v>
      </c>
      <c r="V1646" s="1"/>
      <c r="W1646" s="2"/>
      <c r="X1646" s="2"/>
    </row>
    <row r="1647" spans="11:24" ht="15" hidden="1" customHeight="1">
      <c r="K1647" s="5">
        <v>46140</v>
      </c>
      <c r="L1647" t="s">
        <v>101</v>
      </c>
      <c r="M1647" s="24" t="s">
        <v>63</v>
      </c>
      <c r="N1647" s="20" t="str">
        <f t="shared" si="80"/>
        <v>Aguardando Entrada</v>
      </c>
      <c r="O16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7" s="4">
        <v>0.2326388888888889</v>
      </c>
      <c r="Q1647" s="4"/>
      <c r="R1647" s="23"/>
      <c r="S1647" s="16"/>
      <c r="T1647" s="1"/>
      <c r="U1647" s="15" t="str">
        <f>IF(OR('Controle de CT'!$R1647= "", 'Controle de CT'!$P1647= ""), "", 'Controle de CT'!$R1647-'Controle de CT'!$P1647)</f>
        <v/>
      </c>
      <c r="V1647" s="1" t="s">
        <v>416</v>
      </c>
      <c r="W1647" s="2"/>
      <c r="X1647" s="2"/>
    </row>
    <row r="1648" spans="11:24" ht="15" hidden="1" customHeight="1">
      <c r="K1648" s="5">
        <v>46140</v>
      </c>
      <c r="L1648" t="s">
        <v>128</v>
      </c>
      <c r="M1648" s="9" t="s">
        <v>63</v>
      </c>
      <c r="N1648" s="20" t="str">
        <f t="shared" si="80"/>
        <v>Fila de Carregamento</v>
      </c>
      <c r="O16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8" s="4">
        <v>0.20833333333333334</v>
      </c>
      <c r="Q1648" s="4">
        <v>0.29097222222222224</v>
      </c>
      <c r="R1648" s="23"/>
      <c r="S1648" s="16"/>
      <c r="T1648" s="1"/>
      <c r="U1648" s="15" t="str">
        <f>IF(OR('Controle de CT'!$R1648= "", 'Controle de CT'!$P1648= ""), "", 'Controle de CT'!$R1648-'Controle de CT'!$P1648)</f>
        <v/>
      </c>
      <c r="V1648" s="1"/>
      <c r="W1648" s="2"/>
      <c r="X1648" s="2"/>
    </row>
    <row r="1649" spans="11:24" ht="15" hidden="1" customHeight="1">
      <c r="K1649" s="5">
        <v>46140</v>
      </c>
      <c r="L1649" t="s">
        <v>154</v>
      </c>
      <c r="M1649" s="24" t="s">
        <v>63</v>
      </c>
      <c r="N1649" s="20" t="str">
        <f t="shared" si="80"/>
        <v>Finalizado</v>
      </c>
      <c r="O16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49" s="4">
        <v>0.24305555555555555</v>
      </c>
      <c r="Q1649" s="4">
        <v>0.30138888888888887</v>
      </c>
      <c r="R1649" s="23">
        <v>0.3888888888888889</v>
      </c>
      <c r="S1649" s="16"/>
      <c r="T1649" s="1"/>
      <c r="U1649" s="15">
        <f>IF(OR('Controle de CT'!$R1649= "", 'Controle de CT'!$P1649= ""), "", 'Controle de CT'!$R1649-'Controle de CT'!$P1649)</f>
        <v>0.14583333333333334</v>
      </c>
      <c r="V1649" s="1"/>
      <c r="W1649" s="2"/>
      <c r="X1649" s="2"/>
    </row>
    <row r="1650" spans="11:24" ht="15" hidden="1" customHeight="1">
      <c r="K1650" s="5">
        <v>46140</v>
      </c>
      <c r="L1650" t="s">
        <v>52</v>
      </c>
      <c r="M1650" s="24" t="s">
        <v>62</v>
      </c>
      <c r="N1650" s="20" t="str">
        <f t="shared" si="80"/>
        <v>Finalizado</v>
      </c>
      <c r="O16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0" s="4">
        <v>0.24861111111111112</v>
      </c>
      <c r="Q1650" s="4">
        <v>0.26805555555555555</v>
      </c>
      <c r="R1650" s="23">
        <v>0.35416666666666669</v>
      </c>
      <c r="S1650" s="94" t="s">
        <v>254</v>
      </c>
      <c r="T1650" s="1"/>
      <c r="U1650" s="15">
        <f>IF(OR('Controle de CT'!$R1650= "", 'Controle de CT'!$P1650= ""), "", 'Controle de CT'!$R1650-'Controle de CT'!$P1650)</f>
        <v>0.10555555555555557</v>
      </c>
      <c r="V1650" s="1" t="s">
        <v>226</v>
      </c>
      <c r="W1650" s="2"/>
      <c r="X1650" s="2"/>
    </row>
    <row r="1651" spans="11:24" ht="15" hidden="1" customHeight="1">
      <c r="K1651" s="5">
        <v>46140</v>
      </c>
      <c r="L1651" t="s">
        <v>49</v>
      </c>
      <c r="M1651" s="24" t="s">
        <v>62</v>
      </c>
      <c r="N1651" s="20" t="str">
        <f t="shared" si="80"/>
        <v>Finalizado</v>
      </c>
      <c r="O16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51" s="4">
        <v>0.25347222222222221</v>
      </c>
      <c r="Q1651" s="4">
        <v>0.27083333333333331</v>
      </c>
      <c r="R1651" s="23">
        <v>0.37152777777777779</v>
      </c>
      <c r="S1651" s="94" t="s">
        <v>254</v>
      </c>
      <c r="T1651" s="1"/>
      <c r="U1651" s="15">
        <f>IF(OR('Controle de CT'!$R1651= "", 'Controle de CT'!$P1651= ""), "", 'Controle de CT'!$R1651-'Controle de CT'!$P1651)</f>
        <v>0.11805555555555558</v>
      </c>
      <c r="V1651" s="1" t="s">
        <v>226</v>
      </c>
      <c r="W1651" s="2"/>
      <c r="X1651" s="2"/>
    </row>
    <row r="1652" spans="11:24" ht="15" hidden="1" customHeight="1">
      <c r="K1652" s="5">
        <v>46140</v>
      </c>
      <c r="L1652" t="s">
        <v>46</v>
      </c>
      <c r="M1652" s="24" t="s">
        <v>62</v>
      </c>
      <c r="N1652" s="20" t="str">
        <f t="shared" si="80"/>
        <v>Finalizado</v>
      </c>
      <c r="O16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2" s="4">
        <v>0.25972222222222224</v>
      </c>
      <c r="Q1652" s="4">
        <v>0.28958333333333336</v>
      </c>
      <c r="R1652" s="23">
        <v>0.40208333333333335</v>
      </c>
      <c r="S1652" s="94" t="s">
        <v>254</v>
      </c>
      <c r="T1652" s="1"/>
      <c r="U1652" s="15">
        <f>IF(OR('Controle de CT'!$R1652= "", 'Controle de CT'!$P1652= ""), "", 'Controle de CT'!$R1652-'Controle de CT'!$P1652)</f>
        <v>0.1423611111111111</v>
      </c>
      <c r="V1652" s="1" t="s">
        <v>226</v>
      </c>
      <c r="W1652" s="2"/>
      <c r="X1652" s="2"/>
    </row>
    <row r="1653" spans="11:24" ht="15" hidden="1" customHeight="1">
      <c r="K1653" s="5">
        <v>46140</v>
      </c>
      <c r="L1653" t="s">
        <v>57</v>
      </c>
      <c r="M1653" s="24" t="s">
        <v>62</v>
      </c>
      <c r="N1653" s="20" t="str">
        <f t="shared" si="80"/>
        <v>Finalizado</v>
      </c>
      <c r="O16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3" s="4">
        <v>0.26111111111111113</v>
      </c>
      <c r="Q1653" s="4">
        <v>0.29930555555555555</v>
      </c>
      <c r="R1653" s="23">
        <v>0.41666666666666669</v>
      </c>
      <c r="S1653" s="94" t="s">
        <v>254</v>
      </c>
      <c r="T1653" s="1"/>
      <c r="U1653" s="15">
        <f>IF(OR('Controle de CT'!$R1653= "", 'Controle de CT'!$P1653= ""), "", 'Controle de CT'!$R1653-'Controle de CT'!$P1653)</f>
        <v>0.15555555555555556</v>
      </c>
      <c r="V1653" s="1" t="s">
        <v>226</v>
      </c>
      <c r="W1653" s="2"/>
      <c r="X1653" s="2"/>
    </row>
    <row r="1654" spans="11:24" ht="15" hidden="1" customHeight="1">
      <c r="K1654" s="5">
        <v>46140</v>
      </c>
      <c r="L1654" t="s">
        <v>53</v>
      </c>
      <c r="M1654" s="24" t="s">
        <v>62</v>
      </c>
      <c r="N1654" s="20" t="str">
        <f t="shared" si="80"/>
        <v>Finalizado</v>
      </c>
      <c r="O16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4" s="4">
        <v>0.26597222222222222</v>
      </c>
      <c r="Q1654" s="4">
        <v>0.40138888888888891</v>
      </c>
      <c r="R1654" s="23">
        <v>0.46180555555555558</v>
      </c>
      <c r="S1654" s="16"/>
      <c r="T1654" s="14">
        <f>IF(OR(Tabela1[[#This Row],[Entrada]]="",Tabela1[[#This Row],[Saída]]=""), "", Tabela1[[#This Row],[Saída]]-Tabela1[[#This Row],[Entrada]])</f>
        <v>6.0416666666666674E-2</v>
      </c>
      <c r="U1654" s="15">
        <f>IF(OR('Controle de CT'!$R1654= "", 'Controle de CT'!$P1654= ""), "", 'Controle de CT'!$R1654-'Controle de CT'!$P1654)</f>
        <v>0.19583333333333336</v>
      </c>
      <c r="V1654" s="1" t="s">
        <v>417</v>
      </c>
      <c r="W1654" s="2"/>
      <c r="X1654" s="2"/>
    </row>
    <row r="1655" spans="11:24" ht="15" hidden="1" customHeight="1">
      <c r="K1655" s="5">
        <v>46140</v>
      </c>
      <c r="L1655" t="s">
        <v>90</v>
      </c>
      <c r="M1655" s="24" t="s">
        <v>63</v>
      </c>
      <c r="N1655" s="20" t="str">
        <f t="shared" si="80"/>
        <v>Aguardando Entrada</v>
      </c>
      <c r="O16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55" s="4">
        <v>0.25138888888888888</v>
      </c>
      <c r="Q1655" s="4"/>
      <c r="R1655" s="23"/>
      <c r="S1655" s="16"/>
      <c r="T1655" s="1"/>
      <c r="U1655" s="15" t="str">
        <f>IF(OR('Controle de CT'!$R1655= "", 'Controle de CT'!$P1655= ""), "", 'Controle de CT'!$R1655-'Controle de CT'!$P1655)</f>
        <v/>
      </c>
      <c r="V1655" s="1"/>
      <c r="W1655" s="2"/>
      <c r="X1655" s="2"/>
    </row>
    <row r="1656" spans="11:24" ht="15" hidden="1" customHeight="1">
      <c r="K1656" s="5">
        <v>46140</v>
      </c>
      <c r="L1656" t="s">
        <v>87</v>
      </c>
      <c r="M1656" s="24" t="s">
        <v>63</v>
      </c>
      <c r="N1656" s="20" t="str">
        <f t="shared" si="80"/>
        <v>Fila de Carregamento</v>
      </c>
      <c r="O16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6" s="4">
        <v>0.26180555555555557</v>
      </c>
      <c r="Q1656" s="4">
        <v>0.59861111111111109</v>
      </c>
      <c r="R1656" s="23"/>
      <c r="S1656" s="16"/>
      <c r="T1656" s="1"/>
      <c r="U1656" s="15" t="str">
        <f>IF(OR('Controle de CT'!$R1656= "", 'Controle de CT'!$P1656= ""), "", 'Controle de CT'!$R1656-'Controle de CT'!$P1656)</f>
        <v/>
      </c>
      <c r="V1656" s="1"/>
      <c r="W1656" s="2"/>
      <c r="X1656" s="2"/>
    </row>
    <row r="1657" spans="11:24" ht="15" hidden="1" customHeight="1">
      <c r="K1657" s="5">
        <v>46140</v>
      </c>
      <c r="L1657" t="s">
        <v>375</v>
      </c>
      <c r="M1657" s="24" t="s">
        <v>63</v>
      </c>
      <c r="N1657" s="20" t="str">
        <f t="shared" si="80"/>
        <v>Finalizado</v>
      </c>
      <c r="O16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7" s="4">
        <v>0.27291666666666664</v>
      </c>
      <c r="Q1657" s="4">
        <v>0.29444444444444445</v>
      </c>
      <c r="R1657" s="23">
        <v>0.32500000000000001</v>
      </c>
      <c r="S1657" s="94" t="s">
        <v>254</v>
      </c>
      <c r="T1657" s="1"/>
      <c r="U1657" s="15">
        <f>IF(OR('Controle de CT'!$R1657= "", 'Controle de CT'!$P1657= ""), "", 'Controle de CT'!$R1657-'Controle de CT'!$P1657)</f>
        <v>5.208333333333337E-2</v>
      </c>
      <c r="V1657" s="1" t="s">
        <v>418</v>
      </c>
      <c r="W1657" s="2"/>
      <c r="X1657" s="2"/>
    </row>
    <row r="1658" spans="11:24" ht="15" hidden="1" customHeight="1">
      <c r="K1658" s="5">
        <v>46140</v>
      </c>
      <c r="L1658" t="s">
        <v>278</v>
      </c>
      <c r="M1658" s="24" t="s">
        <v>63</v>
      </c>
      <c r="N1658" s="20" t="str">
        <f t="shared" si="80"/>
        <v>Aguardando Entrada</v>
      </c>
      <c r="O16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58" s="4">
        <v>0.32222222222222224</v>
      </c>
      <c r="Q1658" s="4"/>
      <c r="R1658" s="23"/>
      <c r="S1658" s="16"/>
      <c r="T1658" s="1"/>
      <c r="U1658" s="15" t="str">
        <f>IF(OR('Controle de CT'!$R1658= "", 'Controle de CT'!$P1658= ""), "", 'Controle de CT'!$R1658-'Controle de CT'!$P1658)</f>
        <v/>
      </c>
      <c r="V1658" s="1"/>
      <c r="W1658" s="2"/>
      <c r="X1658" s="2"/>
    </row>
    <row r="1659" spans="11:24" ht="15" hidden="1" customHeight="1">
      <c r="K1659" s="5">
        <v>46140</v>
      </c>
      <c r="L1659" t="s">
        <v>121</v>
      </c>
      <c r="M1659" s="24" t="s">
        <v>62</v>
      </c>
      <c r="N1659" s="20" t="str">
        <f t="shared" si="80"/>
        <v>Aguardando Entrada</v>
      </c>
      <c r="O16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59" s="4">
        <v>0.34305555555555556</v>
      </c>
      <c r="Q1659" s="4"/>
      <c r="R1659" s="23"/>
      <c r="S1659" s="16"/>
      <c r="T1659" s="14" t="str">
        <f>IF(OR(Tabela1[[#This Row],[Entrada]]="",Tabela1[[#This Row],[Saída]]=""), "", Tabela1[[#This Row],[Saída]]-Tabela1[[#This Row],[Entrada]])</f>
        <v/>
      </c>
      <c r="U1659" s="15" t="str">
        <f>IF(OR('Controle de CT'!$R1659= "", 'Controle de CT'!$P1659= ""), "", 'Controle de CT'!$R1659-'Controle de CT'!$P1659)</f>
        <v/>
      </c>
      <c r="V1659" s="1"/>
      <c r="W1659" s="2"/>
      <c r="X1659" s="2"/>
    </row>
    <row r="1660" spans="11:24" ht="15" hidden="1" customHeight="1">
      <c r="K1660" s="5">
        <v>46140</v>
      </c>
      <c r="L1660" t="s">
        <v>92</v>
      </c>
      <c r="M1660" s="24" t="s">
        <v>63</v>
      </c>
      <c r="N1660" s="20" t="str">
        <f t="shared" ref="N1660:N1694" si="81">IF(R1660&lt;&gt;"","Finalizado", IF(Q1660&lt;&gt;"","Fila de Carregamento", IF(P1660&lt;&gt;"","Aguardando Entrada","")))</f>
        <v>Finalizado</v>
      </c>
      <c r="O16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0" s="4">
        <v>0.33124999999999999</v>
      </c>
      <c r="Q1660" s="4">
        <v>0.42499999999999999</v>
      </c>
      <c r="R1660" s="23">
        <v>0.46527777777777779</v>
      </c>
      <c r="S1660" s="16"/>
      <c r="T1660" s="1"/>
      <c r="U1660" s="15">
        <f>IF(OR('Controle de CT'!$R1660= "", 'Controle de CT'!$P1660= ""), "", 'Controle de CT'!$R1660-'Controle de CT'!$P1660)</f>
        <v>0.1340277777777778</v>
      </c>
      <c r="V1660" s="1"/>
      <c r="W1660" s="2"/>
      <c r="X1660" s="2"/>
    </row>
    <row r="1661" spans="11:24" ht="15" hidden="1" customHeight="1">
      <c r="K1661" s="5">
        <v>46140</v>
      </c>
      <c r="L1661" t="s">
        <v>363</v>
      </c>
      <c r="M1661" s="24" t="s">
        <v>63</v>
      </c>
      <c r="N1661" s="20" t="str">
        <f t="shared" si="81"/>
        <v>Aguardando Entrada</v>
      </c>
      <c r="O16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1" s="4">
        <v>0.34027777777777779</v>
      </c>
      <c r="Q1661" s="4"/>
      <c r="R1661" s="23"/>
      <c r="S1661" s="16"/>
      <c r="T1661" s="1"/>
      <c r="U1661" s="15" t="str">
        <f>IF(OR('Controle de CT'!$R1661= "", 'Controle de CT'!$P1661= ""), "", 'Controle de CT'!$R1661-'Controle de CT'!$P1661)</f>
        <v/>
      </c>
      <c r="V1661" s="1" t="s">
        <v>408</v>
      </c>
      <c r="W1661" s="2"/>
      <c r="X1661" s="2"/>
    </row>
    <row r="1662" spans="11:24" ht="15" hidden="1" customHeight="1">
      <c r="K1662" s="5">
        <v>46140</v>
      </c>
      <c r="L1662" t="s">
        <v>89</v>
      </c>
      <c r="M1662" s="24" t="s">
        <v>63</v>
      </c>
      <c r="N1662" s="20" t="str">
        <f t="shared" si="81"/>
        <v>Fila de Carregamento</v>
      </c>
      <c r="O16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62" s="4">
        <v>0.38819444444444445</v>
      </c>
      <c r="Q1662" s="4">
        <v>0.42499999999999999</v>
      </c>
      <c r="R1662" s="23"/>
      <c r="S1662" s="16"/>
      <c r="T1662" s="1"/>
      <c r="U1662" s="15" t="str">
        <f>IF(OR('Controle de CT'!$R1662= "", 'Controle de CT'!$P1662= ""), "", 'Controle de CT'!$R1662-'Controle de CT'!$P1662)</f>
        <v/>
      </c>
      <c r="V1662" s="1"/>
      <c r="W1662" s="2"/>
      <c r="X1662" s="2"/>
    </row>
    <row r="1663" spans="11:24" ht="15" hidden="1" customHeight="1">
      <c r="K1663" s="5">
        <v>46140</v>
      </c>
      <c r="L1663" t="s">
        <v>45</v>
      </c>
      <c r="M1663" s="24" t="s">
        <v>62</v>
      </c>
      <c r="N1663" s="20" t="str">
        <f t="shared" si="81"/>
        <v>Fila de Carregamento</v>
      </c>
      <c r="O16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3" s="4">
        <v>0.41180555555555554</v>
      </c>
      <c r="Q1663" s="4">
        <v>0.42499999999999999</v>
      </c>
      <c r="R1663" s="23"/>
      <c r="S1663" s="16"/>
      <c r="T1663" s="1"/>
      <c r="U1663" s="15" t="str">
        <f>IF(OR('Controle de CT'!$R1663= "", 'Controle de CT'!$P1663= ""), "", 'Controle de CT'!$R1663-'Controle de CT'!$P1663)</f>
        <v/>
      </c>
      <c r="V1663" s="1"/>
      <c r="W1663" s="2"/>
      <c r="X1663" s="2"/>
    </row>
    <row r="1664" spans="11:24" ht="15" hidden="1" customHeight="1">
      <c r="K1664" s="5">
        <v>46140</v>
      </c>
      <c r="L1664" t="s">
        <v>292</v>
      </c>
      <c r="M1664" s="24" t="s">
        <v>64</v>
      </c>
      <c r="N1664" s="20" t="str">
        <f t="shared" si="81"/>
        <v>Finalizado</v>
      </c>
      <c r="O16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4" s="4">
        <v>0.42152777777777778</v>
      </c>
      <c r="Q1664" s="4">
        <v>0.44444444444444442</v>
      </c>
      <c r="R1664" s="23">
        <v>0.44444444444444442</v>
      </c>
      <c r="S1664" s="94" t="s">
        <v>254</v>
      </c>
      <c r="T1664" s="1"/>
      <c r="U1664" s="15">
        <f>IF(OR('Controle de CT'!$R1664= "", 'Controle de CT'!$P1664= ""), "", 'Controle de CT'!$R1664-'Controle de CT'!$P1664)</f>
        <v>2.2916666666666641E-2</v>
      </c>
      <c r="V1664" s="1" t="s">
        <v>226</v>
      </c>
      <c r="W1664" s="2"/>
      <c r="X1664" s="2"/>
    </row>
    <row r="1665" spans="11:24" ht="15" hidden="1" customHeight="1">
      <c r="K1665" s="5">
        <v>46140</v>
      </c>
      <c r="L1665" t="s">
        <v>200</v>
      </c>
      <c r="M1665" s="24" t="s">
        <v>63</v>
      </c>
      <c r="N1665" s="20" t="str">
        <f t="shared" si="81"/>
        <v>Fila de Carregamento</v>
      </c>
      <c r="O16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5" s="4">
        <v>0.44444444444444442</v>
      </c>
      <c r="Q1665" s="4">
        <v>0.45694444444444443</v>
      </c>
      <c r="R1665" s="23"/>
      <c r="S1665" s="16"/>
      <c r="T1665" s="1"/>
      <c r="U1665" s="15" t="str">
        <f>IF(OR('Controle de CT'!$R1665= "", 'Controle de CT'!$P1665= ""), "", 'Controle de CT'!$R1665-'Controle de CT'!$P1665)</f>
        <v/>
      </c>
      <c r="V1665" s="1"/>
      <c r="W1665" s="2"/>
      <c r="X1665" s="2"/>
    </row>
    <row r="1666" spans="11:24" ht="15" hidden="1" customHeight="1">
      <c r="K1666" s="5">
        <v>46140</v>
      </c>
      <c r="L1666" s="8" t="s">
        <v>419</v>
      </c>
      <c r="M1666" s="9" t="str">
        <f>IF(Tabela1[[#This Row],[Motorista]]="","",IFERROR(_xlfn.XLOOKUP(Tabela1[[#This Row],[Motorista]],Base!A:A,Base!B:B),""))</f>
        <v/>
      </c>
      <c r="N1666" s="20" t="str">
        <f t="shared" si="81"/>
        <v>Finalizado</v>
      </c>
      <c r="O16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6" s="4">
        <v>0.46944444444444444</v>
      </c>
      <c r="Q1666" s="4"/>
      <c r="R1666" s="23">
        <v>0.5493055555555556</v>
      </c>
      <c r="S1666" s="16"/>
      <c r="T1666" s="1"/>
      <c r="U1666" s="15">
        <f>IF(OR('Controle de CT'!$R1666= "", 'Controle de CT'!$P1666= ""), "", 'Controle de CT'!$R1666-'Controle de CT'!$P1666)</f>
        <v>7.986111111111116E-2</v>
      </c>
      <c r="V1666" s="1"/>
      <c r="W1666" s="2"/>
      <c r="X1666" s="2"/>
    </row>
    <row r="1667" spans="11:24" ht="15" hidden="1" customHeight="1">
      <c r="K1667" s="5">
        <v>46140</v>
      </c>
      <c r="L1667" s="8" t="s">
        <v>121</v>
      </c>
      <c r="M1667" s="9" t="str">
        <f>IF(Tabela1[[#This Row],[Motorista]]="","",IFERROR(_xlfn.XLOOKUP(Tabela1[[#This Row],[Motorista]],Base!A:A,Base!B:B),""))</f>
        <v>CIF</v>
      </c>
      <c r="N1667" s="20" t="str">
        <f t="shared" si="81"/>
        <v/>
      </c>
      <c r="O16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67" s="4"/>
      <c r="Q1667" s="4"/>
      <c r="R1667" s="23"/>
      <c r="S1667" s="16"/>
      <c r="T1667" s="1"/>
      <c r="U1667" s="15" t="str">
        <f>IF(OR('Controle de CT'!$R1667= "", 'Controle de CT'!$P1667= ""), "", 'Controle de CT'!$R1667-'Controle de CT'!$P1667)</f>
        <v/>
      </c>
      <c r="V1667" s="1"/>
      <c r="W1667" s="2"/>
      <c r="X1667" s="2"/>
    </row>
    <row r="1668" spans="11:24" ht="15" hidden="1" customHeight="1">
      <c r="K1668" s="5">
        <v>46140</v>
      </c>
      <c r="L1668" s="8" t="s">
        <v>420</v>
      </c>
      <c r="M1668" s="9" t="str">
        <f>IF(Tabela1[[#This Row],[Motorista]]="","",IFERROR(_xlfn.XLOOKUP(Tabela1[[#This Row],[Motorista]],Base!A:A,Base!B:B),""))</f>
        <v/>
      </c>
      <c r="N1668" s="20" t="str">
        <f t="shared" si="81"/>
        <v>Aguardando Entrada</v>
      </c>
      <c r="O16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8" s="4">
        <v>0.47916666666666669</v>
      </c>
      <c r="Q1668" s="4"/>
      <c r="R1668" s="23"/>
      <c r="S1668" s="16"/>
      <c r="T1668" s="1"/>
      <c r="U1668" s="15" t="str">
        <f>IF(OR('Controle de CT'!$R1668= "", 'Controle de CT'!$P1668= ""), "", 'Controle de CT'!$R1668-'Controle de CT'!$P1668)</f>
        <v/>
      </c>
      <c r="V1668" s="1" t="s">
        <v>421</v>
      </c>
      <c r="W1668" s="2"/>
      <c r="X1668" s="2"/>
    </row>
    <row r="1669" spans="11:24" ht="15" hidden="1" customHeight="1">
      <c r="K1669" s="5">
        <v>46140</v>
      </c>
      <c r="L1669" s="8" t="s">
        <v>422</v>
      </c>
      <c r="M1669" s="9" t="str">
        <f>IF(Tabela1[[#This Row],[Motorista]]="","",IFERROR(_xlfn.XLOOKUP(Tabela1[[#This Row],[Motorista]],Base!A:A,Base!B:B),""))</f>
        <v/>
      </c>
      <c r="N1669" s="20" t="str">
        <f t="shared" si="81"/>
        <v/>
      </c>
      <c r="O16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69" s="4"/>
      <c r="Q1669" s="4"/>
      <c r="R1669" s="23"/>
      <c r="S1669" s="16"/>
      <c r="T1669" s="14" t="str">
        <f>IF(OR(Tabela1[[#This Row],[Entrada]]="",Tabela1[[#This Row],[Saída]]=""), "", Tabela1[[#This Row],[Saída]]-Tabela1[[#This Row],[Entrada]])</f>
        <v/>
      </c>
      <c r="U1669" s="15" t="str">
        <f>IF(OR('Controle de CT'!$R1669= "", 'Controle de CT'!$P1669= ""), "", 'Controle de CT'!$R1669-'Controle de CT'!$P1669)</f>
        <v/>
      </c>
      <c r="V1669" s="1"/>
      <c r="W1669" s="2"/>
      <c r="X1669" s="2"/>
    </row>
    <row r="1670" spans="11:24" ht="15" hidden="1" customHeight="1">
      <c r="K1670" s="5">
        <v>46140</v>
      </c>
      <c r="L1670" s="8" t="s">
        <v>423</v>
      </c>
      <c r="M1670" s="9" t="s">
        <v>64</v>
      </c>
      <c r="N1670" s="20" t="str">
        <f t="shared" si="81"/>
        <v>Aguardando Entrada</v>
      </c>
      <c r="O16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0" s="4">
        <v>0.54097222222222219</v>
      </c>
      <c r="Q1670" s="4"/>
      <c r="R1670" s="23"/>
      <c r="S1670" s="16"/>
      <c r="T1670" s="1"/>
      <c r="V1670" s="1"/>
      <c r="W1670" s="2"/>
      <c r="X1670" s="2"/>
    </row>
    <row r="1671" spans="11:24" ht="15" hidden="1" customHeight="1">
      <c r="K1671" s="5">
        <v>46140</v>
      </c>
      <c r="L1671" s="8" t="s">
        <v>424</v>
      </c>
      <c r="M1671" s="9" t="str">
        <f>IF(Tabela1[[#This Row],[Motorista]]="","",IFERROR(_xlfn.XLOOKUP(Tabela1[[#This Row],[Motorista]],Base!A:A,Base!B:B),""))</f>
        <v/>
      </c>
      <c r="N1671" s="20" t="str">
        <f t="shared" si="81"/>
        <v>Fila de Carregamento</v>
      </c>
      <c r="O16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1" s="4">
        <v>0.55138888888888893</v>
      </c>
      <c r="Q1671" s="4">
        <v>0.5625</v>
      </c>
      <c r="R1671" s="23"/>
      <c r="S1671" s="16"/>
      <c r="T1671" s="1"/>
      <c r="V1671" s="1"/>
      <c r="W1671" s="2"/>
      <c r="X1671" s="2"/>
    </row>
    <row r="1672" spans="11:24" ht="15" hidden="1" customHeight="1">
      <c r="K1672" s="5">
        <v>46140</v>
      </c>
      <c r="L1672" s="8" t="s">
        <v>425</v>
      </c>
      <c r="M1672" s="9" t="str">
        <f>IF(Tabela1[[#This Row],[Motorista]]="","",IFERROR(_xlfn.XLOOKUP(Tabela1[[#This Row],[Motorista]],Base!A:A,Base!B:B),""))</f>
        <v>FOB</v>
      </c>
      <c r="N1672" s="20" t="str">
        <f t="shared" si="81"/>
        <v>Aguardando Entrada</v>
      </c>
      <c r="O16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2" s="4">
        <v>0.57638888888888884</v>
      </c>
      <c r="Q1672" s="4"/>
      <c r="R1672" s="23"/>
      <c r="S1672" s="16"/>
      <c r="T1672" s="1"/>
      <c r="V1672" s="1"/>
      <c r="W1672" s="2"/>
      <c r="X1672" s="2"/>
    </row>
    <row r="1673" spans="11:24" ht="15" hidden="1" customHeight="1">
      <c r="K1673" s="5">
        <v>46140</v>
      </c>
      <c r="L1673" s="8" t="s">
        <v>89</v>
      </c>
      <c r="M1673" s="9" t="str">
        <f>IF(Tabela1[[#This Row],[Motorista]]="","",IFERROR(_xlfn.XLOOKUP(Tabela1[[#This Row],[Motorista]],Base!A:A,Base!B:B),""))</f>
        <v>FOB</v>
      </c>
      <c r="N1673" s="20" t="str">
        <f t="shared" si="81"/>
        <v>Fila de Carregamento</v>
      </c>
      <c r="O16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73" s="4">
        <v>0.58333333333333337</v>
      </c>
      <c r="Q1673" s="4">
        <v>0.60416666666666663</v>
      </c>
      <c r="R1673" s="23"/>
      <c r="S1673" s="16"/>
      <c r="T1673" s="1"/>
      <c r="V1673" s="1"/>
      <c r="W1673" s="2"/>
      <c r="X1673" s="2"/>
    </row>
    <row r="1674" spans="11:24" ht="15" hidden="1" customHeight="1">
      <c r="K1674" s="5">
        <v>46140</v>
      </c>
      <c r="L1674" s="8" t="s">
        <v>49</v>
      </c>
      <c r="M1674" s="9" t="str">
        <f>IF(Tabela1[[#This Row],[Motorista]]="","",IFERROR(_xlfn.XLOOKUP(Tabela1[[#This Row],[Motorista]],Base!A:A,Base!B:B),""))</f>
        <v>CIF</v>
      </c>
      <c r="N1674" s="20" t="str">
        <f t="shared" si="81"/>
        <v>Fila de Carregamento</v>
      </c>
      <c r="O16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74" s="4">
        <v>0.54166666666666663</v>
      </c>
      <c r="Q1674" s="4">
        <v>0.62083333333333335</v>
      </c>
      <c r="R1674" s="23"/>
      <c r="S1674" s="16"/>
      <c r="T1674" s="1"/>
      <c r="V1674" s="1"/>
      <c r="W1674" s="2"/>
      <c r="X1674" s="2"/>
    </row>
    <row r="1675" spans="11:24" ht="15" hidden="1" customHeight="1">
      <c r="K1675" s="5">
        <v>46140</v>
      </c>
      <c r="L1675" s="8" t="s">
        <v>426</v>
      </c>
      <c r="M1675" s="9" t="str">
        <f>IF(Tabela1[[#This Row],[Motorista]]="","",IFERROR(_xlfn.XLOOKUP(Tabela1[[#This Row],[Motorista]],Base!A:A,Base!B:B),""))</f>
        <v/>
      </c>
      <c r="N1675" s="20" t="str">
        <f t="shared" si="81"/>
        <v>Fila de Carregamento</v>
      </c>
      <c r="O16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5" s="4">
        <v>0.54097222222222219</v>
      </c>
      <c r="Q1675" s="4">
        <v>0.625</v>
      </c>
      <c r="R1675" s="23"/>
      <c r="S1675" s="16"/>
      <c r="T1675" s="1"/>
      <c r="V1675" s="1" t="s">
        <v>226</v>
      </c>
      <c r="W1675" s="2"/>
      <c r="X1675" s="2"/>
    </row>
    <row r="1676" spans="11:24" ht="15" hidden="1" customHeight="1">
      <c r="K1676" s="5">
        <v>46140</v>
      </c>
      <c r="L1676" s="8" t="s">
        <v>90</v>
      </c>
      <c r="M1676" s="9" t="str">
        <f>IF(Tabela1[[#This Row],[Motorista]]="","",IFERROR(_xlfn.XLOOKUP(Tabela1[[#This Row],[Motorista]],Base!A:A,Base!B:B),""))</f>
        <v>FOB</v>
      </c>
      <c r="N1676" s="20" t="str">
        <f t="shared" si="81"/>
        <v>Fila de Carregamento</v>
      </c>
      <c r="O16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76" s="4">
        <v>0.25416666666666665</v>
      </c>
      <c r="Q1676" s="4">
        <v>0.65625</v>
      </c>
      <c r="R1676" s="23"/>
      <c r="S1676" s="16"/>
      <c r="T1676" s="1"/>
      <c r="V1676" s="1" t="s">
        <v>170</v>
      </c>
      <c r="W1676" s="2"/>
      <c r="X1676" s="2"/>
    </row>
    <row r="1677" spans="11:24" ht="15" hidden="1" customHeight="1">
      <c r="K1677" s="5">
        <v>46141</v>
      </c>
      <c r="L1677" s="8" t="s">
        <v>116</v>
      </c>
      <c r="M1677" s="9" t="str">
        <f>IF(Tabela1[[#This Row],[Motorista]]="","",IFERROR(_xlfn.XLOOKUP(Tabela1[[#This Row],[Motorista]],Base!A:A,Base!B:B),""))</f>
        <v xml:space="preserve">CIF </v>
      </c>
      <c r="N1677" s="20" t="str">
        <f t="shared" si="81"/>
        <v>Finalizado</v>
      </c>
      <c r="O16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7" s="4">
        <v>0.22013888888888888</v>
      </c>
      <c r="Q1677" s="4">
        <v>0.26874999999999999</v>
      </c>
      <c r="R1677" s="23">
        <v>0.3034722222222222</v>
      </c>
      <c r="S1677" s="16"/>
      <c r="T1677" s="1"/>
      <c r="V1677" s="1"/>
      <c r="W1677" s="2"/>
      <c r="X1677" s="2"/>
    </row>
    <row r="1678" spans="11:24" ht="15" hidden="1" customHeight="1">
      <c r="K1678" s="5">
        <v>46141</v>
      </c>
      <c r="L1678" t="s">
        <v>101</v>
      </c>
      <c r="M1678" s="24" t="s">
        <v>63</v>
      </c>
      <c r="N1678" s="20" t="str">
        <f t="shared" si="81"/>
        <v>Fila de Carregamento</v>
      </c>
      <c r="O16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78" s="4">
        <v>0.21666666666666667</v>
      </c>
      <c r="Q1678" s="4">
        <v>0.27083333333333331</v>
      </c>
      <c r="R1678" s="23"/>
      <c r="S1678" s="16"/>
      <c r="T1678" s="1"/>
      <c r="V1678" s="1"/>
      <c r="W1678" s="2"/>
      <c r="X1678" s="2"/>
    </row>
    <row r="1679" spans="11:24" ht="15" hidden="1" customHeight="1">
      <c r="K1679" s="5">
        <v>46141</v>
      </c>
      <c r="L1679" s="8" t="s">
        <v>49</v>
      </c>
      <c r="M1679" s="9" t="str">
        <f>IF(Tabela1[[#This Row],[Motorista]]="","",IFERROR(_xlfn.XLOOKUP(Tabela1[[#This Row],[Motorista]],Base!A:A,Base!B:B),""))</f>
        <v>CIF</v>
      </c>
      <c r="N1679" s="20" t="str">
        <f t="shared" si="81"/>
        <v>Aguardando Entrada</v>
      </c>
      <c r="O16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79" s="4">
        <v>0.25069444444444444</v>
      </c>
      <c r="Q1679" s="4"/>
      <c r="R1679" s="23"/>
      <c r="S1679" s="16"/>
      <c r="T1679" s="1"/>
      <c r="V1679" s="1"/>
      <c r="W1679" s="2"/>
      <c r="X1679" s="2"/>
    </row>
    <row r="1680" spans="11:24" ht="15" hidden="1" customHeight="1">
      <c r="K1680" s="5">
        <v>46141</v>
      </c>
      <c r="L1680" t="s">
        <v>52</v>
      </c>
      <c r="M1680" s="24" t="s">
        <v>62</v>
      </c>
      <c r="N1680" s="20" t="str">
        <f t="shared" si="81"/>
        <v>Fila de Carregamento</v>
      </c>
      <c r="O16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0" s="4">
        <v>0.25277777777777777</v>
      </c>
      <c r="Q1680" s="4">
        <v>0.27152777777777776</v>
      </c>
      <c r="R1680" s="23"/>
      <c r="S1680" s="16"/>
      <c r="T1680" s="1"/>
      <c r="V1680" s="1"/>
      <c r="W1680" s="2"/>
      <c r="X1680" s="2"/>
    </row>
    <row r="1681" spans="11:24" ht="15" hidden="1" customHeight="1">
      <c r="K1681" s="5">
        <v>46141</v>
      </c>
      <c r="L1681" t="s">
        <v>198</v>
      </c>
      <c r="M1681" s="24" t="s">
        <v>62</v>
      </c>
      <c r="N1681" s="20" t="str">
        <f t="shared" si="81"/>
        <v>Aguardando Entrada</v>
      </c>
      <c r="O16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1" s="4">
        <v>0.25833333333333336</v>
      </c>
      <c r="Q1681" s="4"/>
      <c r="R1681" s="23"/>
      <c r="S1681" s="16"/>
      <c r="T1681" s="1"/>
      <c r="V1681" s="1"/>
      <c r="W1681" s="2"/>
      <c r="X1681" s="2"/>
    </row>
    <row r="1682" spans="11:24" ht="15" hidden="1" customHeight="1">
      <c r="K1682" s="5">
        <v>46141</v>
      </c>
      <c r="L1682" t="s">
        <v>46</v>
      </c>
      <c r="M1682" s="24" t="s">
        <v>62</v>
      </c>
      <c r="N1682" s="20" t="str">
        <f t="shared" si="81"/>
        <v>Fila de Carregamento</v>
      </c>
      <c r="O16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2" s="4">
        <v>0.2590277777777778</v>
      </c>
      <c r="Q1682" s="4">
        <v>0.28125</v>
      </c>
      <c r="R1682" s="23"/>
      <c r="S1682" s="16"/>
      <c r="T1682" s="1"/>
      <c r="V1682" s="1"/>
      <c r="W1682" s="2"/>
      <c r="X1682" s="2"/>
    </row>
    <row r="1683" spans="11:24" ht="15" hidden="1" customHeight="1">
      <c r="K1683" s="5">
        <v>46141</v>
      </c>
      <c r="L1683" s="8" t="s">
        <v>363</v>
      </c>
      <c r="M1683" s="9" t="str">
        <f>IF(Tabela1[[#This Row],[Motorista]]="","",IFERROR(_xlfn.XLOOKUP(Tabela1[[#This Row],[Motorista]],Base!A:A,Base!B:B),""))</f>
        <v>FOB</v>
      </c>
      <c r="N1683" s="20" t="str">
        <f t="shared" si="81"/>
        <v>Aguardando Entrada</v>
      </c>
      <c r="O16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3" s="4">
        <v>0.34583333333333333</v>
      </c>
      <c r="Q1683" s="4"/>
      <c r="R1683" s="23"/>
      <c r="S1683" s="16"/>
      <c r="T1683" s="1"/>
      <c r="V1683" s="1"/>
      <c r="W1683" s="2"/>
      <c r="X1683" s="2"/>
    </row>
    <row r="1684" spans="11:24" ht="15" hidden="1" customHeight="1">
      <c r="K1684" s="5">
        <v>46141</v>
      </c>
      <c r="L1684" t="s">
        <v>87</v>
      </c>
      <c r="M1684" s="24" t="s">
        <v>63</v>
      </c>
      <c r="N1684" s="20" t="str">
        <f t="shared" si="81"/>
        <v>Finalizado</v>
      </c>
      <c r="O16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4" s="4">
        <v>0.34722222222222221</v>
      </c>
      <c r="Q1684" s="4">
        <v>0.36041666666666666</v>
      </c>
      <c r="R1684" s="23">
        <v>0.39097222222222222</v>
      </c>
      <c r="S1684" s="16"/>
      <c r="T1684" s="1"/>
      <c r="V1684" s="1"/>
      <c r="W1684" s="2"/>
      <c r="X1684" s="2"/>
    </row>
    <row r="1685" spans="11:24" ht="15" hidden="1" customHeight="1">
      <c r="K1685" s="5">
        <v>46141</v>
      </c>
      <c r="L1685" s="8" t="s">
        <v>427</v>
      </c>
      <c r="M1685" s="9" t="str">
        <f>IF(Tabela1[[#This Row],[Motorista]]="","",IFERROR(_xlfn.XLOOKUP(Tabela1[[#This Row],[Motorista]],Base!A:A,Base!B:B),""))</f>
        <v/>
      </c>
      <c r="N1685" s="20" t="str">
        <f t="shared" si="81"/>
        <v>Fila de Carregamento</v>
      </c>
      <c r="O16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5" s="4">
        <v>0.35416666666666669</v>
      </c>
      <c r="Q1685" s="4">
        <v>0.39166666666666666</v>
      </c>
      <c r="R1685" s="23"/>
      <c r="S1685" s="16"/>
      <c r="T1685" s="1"/>
      <c r="V1685" s="1"/>
      <c r="W1685" s="2"/>
      <c r="X1685" s="2"/>
    </row>
    <row r="1686" spans="11:24" ht="15" hidden="1" customHeight="1">
      <c r="K1686" s="5">
        <v>46141</v>
      </c>
      <c r="L1686" t="s">
        <v>45</v>
      </c>
      <c r="M1686" s="24" t="s">
        <v>62</v>
      </c>
      <c r="N1686" s="20" t="str">
        <f t="shared" si="81"/>
        <v>Aguardando Entrada</v>
      </c>
      <c r="O16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6" s="4">
        <v>0.3576388888888889</v>
      </c>
      <c r="Q1686" s="4"/>
      <c r="R1686" s="23"/>
      <c r="S1686" s="16"/>
      <c r="T1686" s="14" t="str">
        <f>IF(OR(Tabela1[[#This Row],[Entrada]]="",Tabela1[[#This Row],[Saída]]=""), "", Tabela1[[#This Row],[Saída]]-Tabela1[[#This Row],[Entrada]])</f>
        <v/>
      </c>
      <c r="U1686" s="15" t="str">
        <f>IF(OR('Controle de CT'!$R1686= "", 'Controle de CT'!$P1686= ""), "", 'Controle de CT'!$R1686-'Controle de CT'!$P1686)</f>
        <v/>
      </c>
      <c r="V1686" s="1"/>
      <c r="W1686" s="2"/>
      <c r="X1686" s="2"/>
    </row>
    <row r="1687" spans="11:24" ht="15" hidden="1" customHeight="1">
      <c r="K1687" s="5">
        <v>46141</v>
      </c>
      <c r="L1687" t="s">
        <v>375</v>
      </c>
      <c r="M1687" s="24" t="s">
        <v>63</v>
      </c>
      <c r="N1687" s="20" t="str">
        <f t="shared" si="81"/>
        <v>Fila de Carregamento</v>
      </c>
      <c r="O16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7" s="4">
        <v>0.28472222222222221</v>
      </c>
      <c r="Q1687" s="4">
        <v>0.36249999999999999</v>
      </c>
      <c r="R1687" s="23"/>
      <c r="S1687" s="16"/>
      <c r="T1687" s="1"/>
      <c r="V1687" s="1"/>
      <c r="W1687" s="2"/>
      <c r="X1687" s="2"/>
    </row>
    <row r="1688" spans="11:24" ht="15" hidden="1" customHeight="1">
      <c r="K1688" s="5">
        <v>46141</v>
      </c>
      <c r="L1688" t="s">
        <v>278</v>
      </c>
      <c r="M1688" s="24" t="s">
        <v>63</v>
      </c>
      <c r="N1688" s="20" t="str">
        <f t="shared" si="81"/>
        <v>Aguardando Entrada</v>
      </c>
      <c r="O16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8" s="4">
        <v>0.58263888888888893</v>
      </c>
      <c r="Q1688" s="4"/>
      <c r="R1688" s="23"/>
      <c r="S1688" s="16"/>
      <c r="T1688" s="1"/>
      <c r="V1688" s="1"/>
      <c r="W1688" s="2"/>
      <c r="X1688" s="2"/>
    </row>
    <row r="1689" spans="11:24" ht="15" hidden="1" customHeight="1">
      <c r="K1689" s="5">
        <v>46141</v>
      </c>
      <c r="L1689" s="8" t="s">
        <v>428</v>
      </c>
      <c r="M1689" s="9" t="s">
        <v>63</v>
      </c>
      <c r="N1689" s="20" t="str">
        <f t="shared" si="81"/>
        <v>Aguardando Entrada</v>
      </c>
      <c r="O16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89" s="4">
        <v>0.3611111111111111</v>
      </c>
      <c r="Q1689" s="4"/>
      <c r="R1689" s="23"/>
      <c r="S1689" s="16"/>
      <c r="T1689" s="1"/>
      <c r="V1689" s="1"/>
      <c r="W1689" s="2"/>
      <c r="X1689" s="2"/>
    </row>
    <row r="1690" spans="11:24" ht="15" hidden="1" customHeight="1">
      <c r="K1690" s="5">
        <v>46141</v>
      </c>
      <c r="L1690" t="s">
        <v>90</v>
      </c>
      <c r="M1690" s="24" t="s">
        <v>63</v>
      </c>
      <c r="N1690" s="20" t="str">
        <f t="shared" si="81"/>
        <v>Aguardando Entrada</v>
      </c>
      <c r="O16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90" s="4">
        <v>0.38333333333333336</v>
      </c>
      <c r="Q1690" s="4"/>
      <c r="R1690" s="23"/>
      <c r="S1690" s="16"/>
      <c r="T1690" s="1"/>
      <c r="V1690" s="1"/>
      <c r="W1690" s="2"/>
      <c r="X1690" s="2"/>
    </row>
    <row r="1691" spans="11:24" ht="15" hidden="1" customHeight="1">
      <c r="K1691" s="5">
        <v>46141</v>
      </c>
      <c r="L1691" s="8" t="s">
        <v>429</v>
      </c>
      <c r="M1691" s="24" t="s">
        <v>63</v>
      </c>
      <c r="N1691" s="20" t="str">
        <f t="shared" si="81"/>
        <v>Fila de Carregamento</v>
      </c>
      <c r="O16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91" s="4">
        <v>0.39374999999999999</v>
      </c>
      <c r="Q1691" s="4">
        <v>0.47916666666666669</v>
      </c>
      <c r="R1691" s="23"/>
      <c r="S1691" s="16"/>
      <c r="T1691" s="1"/>
      <c r="V1691" s="1" t="s">
        <v>430</v>
      </c>
      <c r="W1691" s="2"/>
      <c r="X1691" s="2"/>
    </row>
    <row r="1692" spans="11:24" ht="15" hidden="1" customHeight="1">
      <c r="K1692" s="5">
        <v>46141</v>
      </c>
      <c r="L1692" s="8" t="s">
        <v>431</v>
      </c>
      <c r="M1692" s="9" t="str">
        <f>IF(Tabela1[[#This Row],[Motorista]]="","",IFERROR(_xlfn.XLOOKUP(Tabela1[[#This Row],[Motorista]],Base!A:A,Base!B:B),""))</f>
        <v/>
      </c>
      <c r="N1692" s="20" t="str">
        <f t="shared" si="81"/>
        <v/>
      </c>
      <c r="O16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92" s="4"/>
      <c r="Q1692" s="4"/>
      <c r="R1692" s="23"/>
      <c r="S1692" s="16"/>
      <c r="T1692" s="1"/>
      <c r="V1692" s="1" t="s">
        <v>432</v>
      </c>
      <c r="W1692" s="2"/>
      <c r="X1692" s="2"/>
    </row>
    <row r="1693" spans="11:24" ht="15" hidden="1" customHeight="1">
      <c r="K1693" s="5">
        <v>46141</v>
      </c>
      <c r="L1693" s="8" t="s">
        <v>433</v>
      </c>
      <c r="M1693" s="9" t="str">
        <f>IF(Tabela1[[#This Row],[Motorista]]="","",IFERROR(_xlfn.XLOOKUP(Tabela1[[#This Row],[Motorista]],Base!A:A,Base!B:B),""))</f>
        <v/>
      </c>
      <c r="N1693" s="20" t="str">
        <f t="shared" si="81"/>
        <v>Aguardando Entrada</v>
      </c>
      <c r="O16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93" s="4">
        <v>0.50138888888888888</v>
      </c>
      <c r="Q1693" s="4"/>
      <c r="R1693" s="23"/>
      <c r="S1693" s="16"/>
      <c r="T1693" s="1"/>
      <c r="V1693" s="1"/>
      <c r="W1693" s="2"/>
      <c r="X1693" s="2"/>
    </row>
    <row r="1694" spans="11:24" ht="15" hidden="1" customHeight="1">
      <c r="K1694" s="5">
        <v>46141</v>
      </c>
      <c r="L1694" s="8" t="s">
        <v>49</v>
      </c>
      <c r="M1694" s="9" t="str">
        <f>IF(Tabela1[[#This Row],[Motorista]]="","",IFERROR(_xlfn.XLOOKUP(Tabela1[[#This Row],[Motorista]],Base!A:A,Base!B:B),""))</f>
        <v>CIF</v>
      </c>
      <c r="N1694" s="20" t="str">
        <f t="shared" si="81"/>
        <v>Aguardando Entrada</v>
      </c>
      <c r="O16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94" s="4">
        <v>0.50277777777777777</v>
      </c>
      <c r="Q1694" s="4"/>
      <c r="R1694" s="23"/>
      <c r="S1694" s="16"/>
      <c r="T1694" s="1"/>
      <c r="V1694" s="1"/>
      <c r="W1694" s="2"/>
      <c r="X1694" s="2"/>
    </row>
    <row r="1695" spans="11:24" ht="15" hidden="1" customHeight="1">
      <c r="K1695" s="5">
        <v>46141</v>
      </c>
      <c r="L1695" s="8" t="s">
        <v>90</v>
      </c>
      <c r="M1695" s="9" t="str">
        <f>IF(Tabela1[[#This Row],[Motorista]]="","",IFERROR(_xlfn.XLOOKUP(Tabela1[[#This Row],[Motorista]],Base!A:A,Base!B:B),""))</f>
        <v>FOB</v>
      </c>
      <c r="N1695" s="20" t="str">
        <f t="shared" ref="N1695:N1698" si="82">IF(R1695&lt;&gt;"","Finalizado", IF(Q1695&lt;&gt;"","Fila de Carregamento", IF(P1695&lt;&gt;"","Aguardando Entrada","")))</f>
        <v>Aguardando Entrada</v>
      </c>
      <c r="O16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95" s="4">
        <v>0.62222222222222223</v>
      </c>
      <c r="Q1695" s="4"/>
      <c r="R1695" s="23"/>
      <c r="S1695" s="16"/>
      <c r="T1695" s="14" t="str">
        <f>IF(OR(Tabela1[[#This Row],[Entrada]]="",Tabela1[[#This Row],[Saída]]=""), "", Tabela1[[#This Row],[Saída]]-Tabela1[[#This Row],[Entrada]])</f>
        <v/>
      </c>
      <c r="U1695" s="15" t="str">
        <f>IF(OR('Controle de CT'!$R1695= "", 'Controle de CT'!$P1695= ""), "", 'Controle de CT'!$R1695-'Controle de CT'!$P1695)</f>
        <v/>
      </c>
      <c r="V1695" s="1"/>
      <c r="W1695" s="2"/>
      <c r="X1695" s="2"/>
    </row>
    <row r="1696" spans="11:24" ht="15" hidden="1" customHeight="1">
      <c r="K1696" s="5">
        <v>46141</v>
      </c>
      <c r="L1696" s="8" t="s">
        <v>434</v>
      </c>
      <c r="M1696" s="22" t="str">
        <f>IF(Tabela1[[#This Row],[Motorista]]="","",IFERROR(_xlfn.XLOOKUP(Tabela1[[#This Row],[Motorista]],Base!A:A,Base!B:B),""))</f>
        <v/>
      </c>
      <c r="N1696" s="20" t="str">
        <f t="shared" si="82"/>
        <v/>
      </c>
      <c r="O16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696" s="16"/>
      <c r="S1696" s="16"/>
      <c r="T1696" s="14" t="str">
        <f>IF(OR(Tabela1[[#This Row],[Entrada]]="",Tabela1[[#This Row],[Saída]]=""), "", Tabela1[[#This Row],[Saída]]-Tabela1[[#This Row],[Entrada]])</f>
        <v/>
      </c>
      <c r="U1696" s="15" t="str">
        <f>IF(OR('Controle de CT'!$R1696= "", 'Controle de CT'!$P1696= ""), "", 'Controle de CT'!$R1696-'Controle de CT'!$P1696)</f>
        <v/>
      </c>
      <c r="V1696" s="1"/>
      <c r="W1696" s="2"/>
      <c r="X1696" s="2"/>
    </row>
    <row r="1697" spans="11:24" ht="15" hidden="1" customHeight="1">
      <c r="K1697" s="5">
        <v>46142</v>
      </c>
      <c r="L1697" s="8" t="s">
        <v>435</v>
      </c>
      <c r="M1697" s="22" t="str">
        <f>IF(Tabela1[[#This Row],[Motorista]]="","",IFERROR(_xlfn.XLOOKUP(Tabela1[[#This Row],[Motorista]],Base!A:A,Base!B:B),""))</f>
        <v>CIF</v>
      </c>
      <c r="N1697" s="20" t="str">
        <f t="shared" si="82"/>
        <v>Finalizado</v>
      </c>
      <c r="O16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697" s="2">
        <v>0.24097222222222223</v>
      </c>
      <c r="Q1697" s="2">
        <v>0.2986111111111111</v>
      </c>
      <c r="R1697" s="16">
        <v>0.41458333333333336</v>
      </c>
      <c r="S1697" s="94" t="s">
        <v>254</v>
      </c>
      <c r="T1697" s="14">
        <f>IF(OR(Tabela1[[#This Row],[Entrada]]="",Tabela1[[#This Row],[Saída]]=""), "", Tabela1[[#This Row],[Saída]]-Tabela1[[#This Row],[Entrada]])</f>
        <v>0.11597222222222225</v>
      </c>
      <c r="U1697" s="15">
        <f>IF(OR('Controle de CT'!$R1697= "", 'Controle de CT'!$P1697= ""), "", 'Controle de CT'!$R1697-'Controle de CT'!$P1697)</f>
        <v>0.17361111111111113</v>
      </c>
      <c r="V1697" s="1"/>
      <c r="W1697" s="2"/>
      <c r="X1697" s="2"/>
    </row>
    <row r="1698" spans="11:24" ht="15" hidden="1" customHeight="1">
      <c r="K1698" s="5">
        <v>46142</v>
      </c>
      <c r="L1698" t="s">
        <v>52</v>
      </c>
      <c r="M1698" s="24" t="s">
        <v>62</v>
      </c>
      <c r="N1698" s="20" t="str">
        <f t="shared" si="82"/>
        <v>Fila de Carregamento</v>
      </c>
      <c r="O16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98" s="2">
        <v>0.24097222222222223</v>
      </c>
      <c r="Q1698" s="2">
        <v>0.27638888888888891</v>
      </c>
      <c r="R1698" s="16"/>
      <c r="S1698" s="94" t="s">
        <v>254</v>
      </c>
      <c r="T1698" s="14" t="str">
        <f>IF(OR(Tabela1[[#This Row],[Entrada]]="",Tabela1[[#This Row],[Saída]]=""), "", Tabela1[[#This Row],[Saída]]-Tabela1[[#This Row],[Entrada]])</f>
        <v/>
      </c>
      <c r="U1698" s="15" t="str">
        <f>IF(OR('Controle de CT'!$R1698= "", 'Controle de CT'!$P1698= ""), "", 'Controle de CT'!$R1698-'Controle de CT'!$P1698)</f>
        <v/>
      </c>
      <c r="V1698" s="1"/>
      <c r="W1698" s="2"/>
      <c r="X1698" s="2"/>
    </row>
    <row r="1699" spans="11:24" ht="15" hidden="1" customHeight="1">
      <c r="K1699" s="5">
        <v>46142</v>
      </c>
      <c r="L1699" t="s">
        <v>55</v>
      </c>
      <c r="M1699" s="24" t="s">
        <v>62</v>
      </c>
      <c r="N1699" s="20" t="str">
        <f t="shared" ref="N1699:N1711" si="83">IF(R1699&lt;&gt;"","Finalizado", IF(Q1699&lt;&gt;"","Fila de Carregamento", IF(P1699&lt;&gt;"","Aguardando Entrada","")))</f>
        <v>Finalizado</v>
      </c>
      <c r="O16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699" s="4">
        <v>0.24166666666666667</v>
      </c>
      <c r="Q1699" s="4">
        <v>0.27777777777777779</v>
      </c>
      <c r="R1699" s="23">
        <v>0.33541666666666664</v>
      </c>
      <c r="S1699" s="94" t="s">
        <v>254</v>
      </c>
      <c r="T1699" s="1"/>
      <c r="U1699" s="15">
        <f>IF(OR('Controle de CT'!$R1699= "", 'Controle de CT'!$P1699= ""), "", 'Controle de CT'!$R1699-'Controle de CT'!$P1699)</f>
        <v>9.3749999999999972E-2</v>
      </c>
      <c r="V1699" s="1"/>
      <c r="W1699" s="2"/>
      <c r="X1699" s="2"/>
    </row>
    <row r="1700" spans="11:24" ht="15" hidden="1" customHeight="1">
      <c r="K1700" s="5">
        <v>46142</v>
      </c>
      <c r="L1700" t="s">
        <v>54</v>
      </c>
      <c r="M1700" s="24" t="s">
        <v>62</v>
      </c>
      <c r="N1700" s="20" t="str">
        <f t="shared" si="83"/>
        <v>Finalizado</v>
      </c>
      <c r="O17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0" s="4">
        <v>0.24583333333333332</v>
      </c>
      <c r="Q1700" s="4">
        <v>0.30138888888888887</v>
      </c>
      <c r="R1700" s="23">
        <v>0.42291666666666666</v>
      </c>
      <c r="S1700" s="94" t="s">
        <v>254</v>
      </c>
      <c r="T1700" s="1"/>
      <c r="U1700" s="15">
        <f>IF(OR('Controle de CT'!$R1700= "", 'Controle de CT'!$P1700= ""), "", 'Controle de CT'!$R1700-'Controle de CT'!$P1700)</f>
        <v>0.17708333333333334</v>
      </c>
      <c r="V1700" s="1" t="s">
        <v>226</v>
      </c>
      <c r="W1700" s="2"/>
      <c r="X1700" s="2"/>
    </row>
    <row r="1701" spans="11:24" ht="15" hidden="1" customHeight="1">
      <c r="K1701" s="5">
        <v>46142</v>
      </c>
      <c r="L1701" t="s">
        <v>46</v>
      </c>
      <c r="M1701" s="24" t="s">
        <v>62</v>
      </c>
      <c r="N1701" s="20" t="str">
        <f t="shared" si="83"/>
        <v>Finalizado</v>
      </c>
      <c r="O17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01" s="4">
        <v>0.24652777777777779</v>
      </c>
      <c r="Q1701" s="4">
        <v>0.2902777777777778</v>
      </c>
      <c r="R1701" s="23">
        <v>0.36666666666666664</v>
      </c>
      <c r="S1701" s="94" t="s">
        <v>254</v>
      </c>
      <c r="T1701" s="1"/>
      <c r="U1701" s="15">
        <f>IF(OR('Controle de CT'!$R1701= "", 'Controle de CT'!$P1701= ""), "", 'Controle de CT'!$R1701-'Controle de CT'!$P1701)</f>
        <v>0.12013888888888885</v>
      </c>
      <c r="V1701" s="1"/>
      <c r="W1701" s="2"/>
      <c r="X1701" s="2"/>
    </row>
    <row r="1702" spans="11:24" ht="15" hidden="1" customHeight="1">
      <c r="K1702" s="5">
        <v>46142</v>
      </c>
      <c r="L1702" t="s">
        <v>58</v>
      </c>
      <c r="M1702" s="24" t="s">
        <v>321</v>
      </c>
      <c r="N1702" s="20" t="str">
        <f t="shared" si="83"/>
        <v>Finalizado</v>
      </c>
      <c r="O17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02" s="4">
        <v>0.25347222222222221</v>
      </c>
      <c r="Q1702" s="4">
        <v>0.29583333333333334</v>
      </c>
      <c r="R1702" s="23">
        <v>0.37361111111111112</v>
      </c>
      <c r="S1702" s="94" t="s">
        <v>254</v>
      </c>
      <c r="T1702" s="1"/>
      <c r="U1702" s="15">
        <f>IF(OR('Controle de CT'!$R1702= "", 'Controle de CT'!$P1702= ""), "", 'Controle de CT'!$R1702-'Controle de CT'!$P1702)</f>
        <v>0.12013888888888891</v>
      </c>
      <c r="V1702" s="1"/>
      <c r="W1702" s="2"/>
      <c r="X1702" s="2"/>
    </row>
    <row r="1703" spans="11:24" ht="15" hidden="1" customHeight="1">
      <c r="K1703" s="5">
        <v>46142</v>
      </c>
      <c r="L1703" t="s">
        <v>198</v>
      </c>
      <c r="M1703" s="24" t="s">
        <v>62</v>
      </c>
      <c r="N1703" s="20" t="str">
        <f t="shared" si="83"/>
        <v>Finalizado</v>
      </c>
      <c r="O17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3" s="4">
        <v>0.25694444444444442</v>
      </c>
      <c r="Q1703" s="4">
        <v>0.30763888888888891</v>
      </c>
      <c r="R1703" s="23">
        <v>0.37569444444444444</v>
      </c>
      <c r="S1703" s="94" t="s">
        <v>254</v>
      </c>
      <c r="T1703" s="1"/>
      <c r="U1703" s="15">
        <f>IF(OR('Controle de CT'!$R1703= "", 'Controle de CT'!$P1703= ""), "", 'Controle de CT'!$R1703-'Controle de CT'!$P1703)</f>
        <v>0.11875000000000002</v>
      </c>
      <c r="V1703" s="1"/>
      <c r="W1703" s="2"/>
      <c r="X1703" s="2"/>
    </row>
    <row r="1704" spans="11:24" ht="15" hidden="1" customHeight="1">
      <c r="K1704" s="5">
        <v>46142</v>
      </c>
      <c r="L1704" t="s">
        <v>114</v>
      </c>
      <c r="M1704" s="24" t="s">
        <v>63</v>
      </c>
      <c r="N1704" s="20" t="str">
        <f t="shared" si="83"/>
        <v>Aguardando Entrada</v>
      </c>
      <c r="O17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4" s="4">
        <v>6.25E-2</v>
      </c>
      <c r="Q1704" s="4"/>
      <c r="R1704" s="23"/>
      <c r="S1704" s="16"/>
      <c r="T1704" s="1"/>
      <c r="U1704" s="15" t="str">
        <f>IF(OR('Controle de CT'!$R1704= "", 'Controle de CT'!$P1704= ""), "", 'Controle de CT'!$R1704-'Controle de CT'!$P1704)</f>
        <v/>
      </c>
      <c r="V1704" s="1"/>
      <c r="W1704" s="2"/>
      <c r="X1704" s="2"/>
    </row>
    <row r="1705" spans="11:24" ht="15" hidden="1" customHeight="1">
      <c r="K1705" s="5">
        <v>46142</v>
      </c>
      <c r="L1705" s="8" t="s">
        <v>436</v>
      </c>
      <c r="M1705" s="24" t="s">
        <v>63</v>
      </c>
      <c r="N1705" s="20" t="str">
        <f>IF(R1705&lt;&gt;"","Finalizado", IF(Q1705&lt;&gt;"","Fila de Carregamento", IF(P1705&lt;&gt;"","Aguardando Entrada","")))</f>
        <v>Aguardando Entrada</v>
      </c>
      <c r="O17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5" s="4">
        <v>4.1666666666666664E-2</v>
      </c>
      <c r="Q1705" s="4"/>
      <c r="R1705" s="23"/>
      <c r="S1705" s="16"/>
      <c r="T1705" s="14" t="str">
        <f>IF(OR(Tabela1[[#This Row],[Entrada]]="",Tabela1[[#This Row],[Saída]]=""), "", Tabela1[[#This Row],[Saída]]-Tabela1[[#This Row],[Entrada]])</f>
        <v/>
      </c>
      <c r="U1705" s="15" t="str">
        <f>IF(OR('Controle de CT'!$R1705= "", 'Controle de CT'!$P1705= ""), "", 'Controle de CT'!$R1705-'Controle de CT'!$P1705)</f>
        <v/>
      </c>
      <c r="V1705" s="1"/>
      <c r="W1705" s="2"/>
      <c r="X1705" s="2"/>
    </row>
    <row r="1706" spans="11:24" ht="15" hidden="1" customHeight="1">
      <c r="K1706" s="5">
        <v>46142</v>
      </c>
      <c r="L1706" s="8" t="s">
        <v>116</v>
      </c>
      <c r="M1706" s="9" t="str">
        <f>IF(Tabela1[[#This Row],[Motorista]]="","",IFERROR(_xlfn.XLOOKUP(Tabela1[[#This Row],[Motorista]],Base!A:A,Base!B:B),""))</f>
        <v xml:space="preserve">CIF </v>
      </c>
      <c r="N1706" s="20" t="str">
        <f t="shared" si="83"/>
        <v>Finalizado</v>
      </c>
      <c r="O17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6" s="4">
        <v>0.20972222222222223</v>
      </c>
      <c r="Q1706" s="4">
        <v>0.27569444444444446</v>
      </c>
      <c r="R1706" s="23">
        <v>0.33263888888888887</v>
      </c>
      <c r="S1706" s="94" t="s">
        <v>254</v>
      </c>
      <c r="T1706" s="1"/>
      <c r="U1706" s="15">
        <f>IF(OR('Controle de CT'!$R1706= "", 'Controle de CT'!$P1706= ""), "", 'Controle de CT'!$R1706-'Controle de CT'!$P1706)</f>
        <v>0.12291666666666665</v>
      </c>
      <c r="V1706" s="1"/>
      <c r="W1706" s="2"/>
      <c r="X1706" s="2"/>
    </row>
    <row r="1707" spans="11:24" ht="15" hidden="1" customHeight="1">
      <c r="K1707" s="5">
        <v>46142</v>
      </c>
      <c r="L1707" t="s">
        <v>45</v>
      </c>
      <c r="M1707" s="24" t="s">
        <v>62</v>
      </c>
      <c r="N1707" s="20" t="str">
        <f t="shared" si="83"/>
        <v>Finalizado</v>
      </c>
      <c r="O17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7" s="4">
        <v>0.22708333333333333</v>
      </c>
      <c r="Q1707" s="4">
        <v>0.2722222222222222</v>
      </c>
      <c r="R1707" s="23">
        <v>0.30486111111111114</v>
      </c>
      <c r="S1707" s="94" t="s">
        <v>254</v>
      </c>
      <c r="T1707" s="1"/>
      <c r="U1707" s="15">
        <f>IF(OR('Controle de CT'!$R1707= "", 'Controle de CT'!$P1707= ""), "", 'Controle de CT'!$R1707-'Controle de CT'!$P1707)</f>
        <v>7.7777777777777807E-2</v>
      </c>
      <c r="V1707" s="1"/>
      <c r="W1707" s="2"/>
      <c r="X1707" s="2"/>
    </row>
    <row r="1708" spans="11:24" ht="15" hidden="1" customHeight="1">
      <c r="K1708" s="5">
        <v>46142</v>
      </c>
      <c r="L1708" t="s">
        <v>135</v>
      </c>
      <c r="M1708" s="24" t="s">
        <v>64</v>
      </c>
      <c r="N1708" s="20" t="str">
        <f t="shared" si="83"/>
        <v>Fila de Carregamento</v>
      </c>
      <c r="O17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8" s="4">
        <v>0.25277777777777777</v>
      </c>
      <c r="Q1708" s="4">
        <v>0.30138888888888887</v>
      </c>
      <c r="R1708" s="23"/>
      <c r="S1708" s="16"/>
      <c r="T1708" s="1"/>
      <c r="U1708" s="15" t="str">
        <f>IF(OR('Controle de CT'!$R1708= "", 'Controle de CT'!$P1708= ""), "", 'Controle de CT'!$R1708-'Controle de CT'!$P1708)</f>
        <v/>
      </c>
      <c r="V1708" s="1" t="s">
        <v>226</v>
      </c>
      <c r="W1708" s="2"/>
      <c r="X1708" s="2"/>
    </row>
    <row r="1709" spans="11:24" ht="15" hidden="1" customHeight="1">
      <c r="K1709" s="5">
        <v>46142</v>
      </c>
      <c r="L1709" t="s">
        <v>92</v>
      </c>
      <c r="M1709" s="24" t="s">
        <v>63</v>
      </c>
      <c r="N1709" s="20" t="str">
        <f t="shared" si="83"/>
        <v>Fila de Carregamento</v>
      </c>
      <c r="O17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09" s="4">
        <v>0.25555555555555554</v>
      </c>
      <c r="Q1709" s="4">
        <v>0.4201388888888889</v>
      </c>
      <c r="R1709" s="23"/>
      <c r="S1709" s="94" t="s">
        <v>254</v>
      </c>
      <c r="T1709" s="1"/>
      <c r="U1709" s="15" t="str">
        <f>IF(OR('Controle de CT'!$R1709= "", 'Controle de CT'!$P1709= ""), "", 'Controle de CT'!$R1709-'Controle de CT'!$P1709)</f>
        <v/>
      </c>
      <c r="V1709" s="1"/>
      <c r="W1709" s="2"/>
      <c r="X1709" s="2"/>
    </row>
    <row r="1710" spans="11:24" ht="15" hidden="1" customHeight="1">
      <c r="K1710" s="5">
        <v>46142</v>
      </c>
      <c r="L1710" t="s">
        <v>121</v>
      </c>
      <c r="M1710" s="24" t="s">
        <v>62</v>
      </c>
      <c r="N1710" s="20" t="str">
        <f t="shared" si="83"/>
        <v>Finalizado</v>
      </c>
      <c r="O17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0" s="4">
        <v>0.26527777777777778</v>
      </c>
      <c r="Q1710" s="4"/>
      <c r="R1710" s="23">
        <v>0.44374999999999998</v>
      </c>
      <c r="S1710" s="94" t="s">
        <v>254</v>
      </c>
      <c r="T1710" s="1"/>
      <c r="U1710" s="15">
        <f>IF(OR('Controle de CT'!$R1710= "", 'Controle de CT'!$P1710= ""), "", 'Controle de CT'!$R1710-'Controle de CT'!$P1710)</f>
        <v>0.1784722222222222</v>
      </c>
      <c r="V1710" s="1" t="s">
        <v>226</v>
      </c>
      <c r="W1710" s="2"/>
      <c r="X1710" s="2"/>
    </row>
    <row r="1711" spans="11:24" ht="15" hidden="1" customHeight="1">
      <c r="K1711" s="5">
        <v>46142</v>
      </c>
      <c r="L1711" t="s">
        <v>278</v>
      </c>
      <c r="M1711" s="24" t="s">
        <v>63</v>
      </c>
      <c r="N1711" s="20" t="str">
        <f t="shared" si="83"/>
        <v>Finalizado</v>
      </c>
      <c r="O17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1" s="4">
        <v>0.27361111111111114</v>
      </c>
      <c r="Q1711" s="4">
        <v>0.40347222222222223</v>
      </c>
      <c r="R1711" s="23">
        <v>0.4375</v>
      </c>
      <c r="S1711" s="94" t="s">
        <v>254</v>
      </c>
      <c r="T1711" s="1"/>
      <c r="U1711" s="15">
        <f>IF(OR('Controle de CT'!$R1711= "", 'Controle de CT'!$P1711= ""), "", 'Controle de CT'!$R1711-'Controle de CT'!$P1711)</f>
        <v>0.16388888888888886</v>
      </c>
      <c r="V1711" s="1"/>
      <c r="W1711" s="2"/>
      <c r="X1711" s="2"/>
    </row>
    <row r="1712" spans="11:24" ht="15" hidden="1" customHeight="1">
      <c r="K1712" s="5">
        <v>46142</v>
      </c>
      <c r="L1712" t="s">
        <v>90</v>
      </c>
      <c r="M1712" s="24" t="s">
        <v>63</v>
      </c>
      <c r="N1712" s="20" t="str">
        <f t="shared" ref="N1712:N1717" si="84">IF(R1712&lt;&gt;"","Finalizado", IF(Q1712&lt;&gt;"","Fila de Carregamento", IF(P1712&lt;&gt;"","Aguardando Entrada","")))</f>
        <v>Aguardando Entrada</v>
      </c>
      <c r="O17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2" s="4">
        <v>0.3125</v>
      </c>
      <c r="Q1712" s="4"/>
      <c r="R1712" s="23"/>
      <c r="S1712" s="94" t="s">
        <v>254</v>
      </c>
      <c r="T1712" s="1"/>
      <c r="U1712" s="15" t="str">
        <f>IF(OR('Controle de CT'!$R1712= "", 'Controle de CT'!$P1712= ""), "", 'Controle de CT'!$R1712-'Controle de CT'!$P1712)</f>
        <v/>
      </c>
      <c r="V1712" s="1"/>
      <c r="W1712" s="2"/>
      <c r="X1712" s="2"/>
    </row>
    <row r="1713" spans="11:24" ht="15" hidden="1" customHeight="1">
      <c r="K1713" s="5">
        <v>46142</v>
      </c>
      <c r="L1713" t="s">
        <v>87</v>
      </c>
      <c r="M1713" s="24" t="s">
        <v>63</v>
      </c>
      <c r="N1713" s="20" t="str">
        <f t="shared" si="84"/>
        <v>Aguardando Entrada</v>
      </c>
      <c r="O17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3" s="4">
        <v>0.30069444444444443</v>
      </c>
      <c r="Q1713" s="4"/>
      <c r="R1713" s="23"/>
      <c r="S1713" s="16"/>
      <c r="T1713" s="1"/>
      <c r="U1713" s="15" t="str">
        <f>IF(OR('Controle de CT'!$R1713= "", 'Controle de CT'!$P1713= ""), "", 'Controle de CT'!$R1713-'Controle de CT'!$P1713)</f>
        <v/>
      </c>
      <c r="V1713" s="1" t="s">
        <v>299</v>
      </c>
      <c r="W1713" s="2"/>
      <c r="X1713" s="2"/>
    </row>
    <row r="1714" spans="11:24" ht="15" hidden="1" customHeight="1">
      <c r="K1714" s="5">
        <v>46142</v>
      </c>
      <c r="L1714" t="s">
        <v>98</v>
      </c>
      <c r="M1714" s="24" t="s">
        <v>63</v>
      </c>
      <c r="N1714" s="20" t="str">
        <f t="shared" si="84"/>
        <v>Finalizado</v>
      </c>
      <c r="O17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4" s="4">
        <v>0.31041666666666667</v>
      </c>
      <c r="Q1714" s="4">
        <v>0.41736111111111113</v>
      </c>
      <c r="R1714" s="23">
        <v>0.41736111111111113</v>
      </c>
      <c r="S1714" s="94" t="s">
        <v>254</v>
      </c>
      <c r="T1714" s="1"/>
      <c r="U1714" s="15">
        <f>IF(OR('Controle de CT'!$R1714= "", 'Controle de CT'!$P1714= ""), "", 'Controle de CT'!$R1714-'Controle de CT'!$P1714)</f>
        <v>0.10694444444444445</v>
      </c>
      <c r="V1714" s="1"/>
      <c r="W1714" s="2"/>
      <c r="X1714" s="2"/>
    </row>
    <row r="1715" spans="11:24" ht="15" hidden="1" customHeight="1">
      <c r="K1715" s="5">
        <v>46142</v>
      </c>
      <c r="L1715" t="s">
        <v>375</v>
      </c>
      <c r="M1715" s="24" t="s">
        <v>63</v>
      </c>
      <c r="N1715" s="20" t="str">
        <f t="shared" si="84"/>
        <v>Aguardando Entrada</v>
      </c>
      <c r="O17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5" s="4">
        <v>0.31597222222222221</v>
      </c>
      <c r="Q1715" s="4"/>
      <c r="R1715" s="23"/>
      <c r="S1715" s="94" t="s">
        <v>254</v>
      </c>
      <c r="T1715" s="1"/>
      <c r="U1715" s="15" t="str">
        <f>IF(OR('Controle de CT'!$R1715= "", 'Controle de CT'!$P1715= ""), "", 'Controle de CT'!$R1715-'Controle de CT'!$P1715)</f>
        <v/>
      </c>
      <c r="V1715" s="1"/>
      <c r="W1715" s="2"/>
      <c r="X1715" s="2"/>
    </row>
    <row r="1716" spans="11:24" ht="15" hidden="1" customHeight="1">
      <c r="K1716" s="5">
        <v>46142</v>
      </c>
      <c r="L1716" s="8" t="s">
        <v>433</v>
      </c>
      <c r="M1716" s="9" t="s">
        <v>63</v>
      </c>
      <c r="N1716" s="20" t="str">
        <f t="shared" si="84"/>
        <v>Aguardando Entrada</v>
      </c>
      <c r="O17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6" s="4">
        <v>0.37708333333333333</v>
      </c>
      <c r="Q1716" s="4"/>
      <c r="R1716" s="23"/>
      <c r="S1716" s="16"/>
      <c r="T1716" s="1"/>
      <c r="U1716" s="15" t="str">
        <f>IF(OR('Controle de CT'!$R1716= "", 'Controle de CT'!$P1716= ""), "", 'Controle de CT'!$R1716-'Controle de CT'!$P1716)</f>
        <v/>
      </c>
      <c r="V1716" s="1"/>
      <c r="W1716" s="2"/>
      <c r="X1716" s="2"/>
    </row>
    <row r="1717" spans="11:24" ht="15" hidden="1" customHeight="1">
      <c r="K1717" s="5">
        <v>46142</v>
      </c>
      <c r="L1717" s="8" t="s">
        <v>437</v>
      </c>
      <c r="M1717" s="9" t="s">
        <v>63</v>
      </c>
      <c r="N1717" s="20" t="str">
        <f t="shared" si="84"/>
        <v>Aguardando Entrada</v>
      </c>
      <c r="O17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17" s="4">
        <v>0.38541666666666669</v>
      </c>
      <c r="Q1717" s="4"/>
      <c r="R1717" s="23"/>
      <c r="S1717" s="16"/>
      <c r="T1717" s="1"/>
      <c r="U1717" s="15" t="str">
        <f>IF(OR('Controle de CT'!$R1717= "", 'Controle de CT'!$P1717= ""), "", 'Controle de CT'!$R1717-'Controle de CT'!$P1717)</f>
        <v/>
      </c>
      <c r="V1717" s="1"/>
      <c r="W1717" s="2"/>
      <c r="X1717" s="2"/>
    </row>
    <row r="1718" spans="11:24" ht="15" hidden="1" customHeight="1">
      <c r="K1718" s="5">
        <v>46142</v>
      </c>
      <c r="L1718" s="8" t="s">
        <v>52</v>
      </c>
      <c r="M1718" s="9" t="str">
        <f>IF(Tabela1[[#This Row],[Motorista]]="","",IFERROR(_xlfn.XLOOKUP(Tabela1[[#This Row],[Motorista]],Base!A:A,Base!B:B),""))</f>
        <v>CIF</v>
      </c>
      <c r="N1718" s="20" t="str">
        <f t="shared" ref="N1718:N1725" si="85">IF(R1718&lt;&gt;"","Finalizado", IF(Q1718&lt;&gt;"","Fila de Carregamento", IF(P1718&lt;&gt;"","Aguardando Entrada","")))</f>
        <v>Aguardando Entrada</v>
      </c>
      <c r="O17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18" s="4">
        <v>0.44583333333333336</v>
      </c>
      <c r="Q1718" s="4"/>
      <c r="R1718" s="23"/>
      <c r="S1718" s="16"/>
      <c r="T1718" s="1"/>
      <c r="U1718" s="15" t="str">
        <f>IF(OR('Controle de CT'!$R1718= "", 'Controle de CT'!$P1718= ""), "", 'Controle de CT'!$R1718-'Controle de CT'!$P1718)</f>
        <v/>
      </c>
      <c r="V1718" s="1"/>
      <c r="W1718" s="2"/>
      <c r="X1718" s="2"/>
    </row>
    <row r="1719" spans="11:24" ht="15" hidden="1" customHeight="1">
      <c r="K1719" s="5">
        <v>46142</v>
      </c>
      <c r="L1719" s="8" t="s">
        <v>46</v>
      </c>
      <c r="M1719" s="9" t="str">
        <f>IF(Tabela1[[#This Row],[Motorista]]="","",IFERROR(_xlfn.XLOOKUP(Tabela1[[#This Row],[Motorista]],Base!A:A,Base!B:B),""))</f>
        <v>CIF</v>
      </c>
      <c r="N1719" s="20" t="str">
        <f t="shared" si="85"/>
        <v>Aguardando Entrada</v>
      </c>
      <c r="O17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19" s="4">
        <v>0.47916666666666669</v>
      </c>
      <c r="Q1719" s="4"/>
      <c r="R1719" s="23"/>
      <c r="S1719" s="16"/>
      <c r="T1719" s="1"/>
      <c r="U1719" s="15" t="str">
        <f>IF(OR('Controle de CT'!$R1719= "", 'Controle de CT'!$P1719= ""), "", 'Controle de CT'!$R1719-'Controle de CT'!$P1719)</f>
        <v/>
      </c>
      <c r="V1719" s="1"/>
      <c r="W1719" s="2"/>
      <c r="X1719" s="2"/>
    </row>
    <row r="1720" spans="11:24" ht="15" hidden="1" customHeight="1">
      <c r="K1720" s="5">
        <v>46142</v>
      </c>
      <c r="L1720" s="8" t="s">
        <v>55</v>
      </c>
      <c r="M1720" s="9" t="str">
        <f>IF(Tabela1[[#This Row],[Motorista]]="","",IFERROR(_xlfn.XLOOKUP(Tabela1[[#This Row],[Motorista]],Base!A:A,Base!B:B),""))</f>
        <v>CIF</v>
      </c>
      <c r="N1720" s="20" t="str">
        <f t="shared" si="85"/>
        <v>Aguardando Entrada</v>
      </c>
      <c r="O17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20" s="4">
        <v>0.47916666666666669</v>
      </c>
      <c r="Q1720" s="4"/>
      <c r="R1720" s="23"/>
      <c r="S1720" s="16"/>
      <c r="T1720" s="1"/>
      <c r="U1720" s="15" t="str">
        <f>IF(OR('Controle de CT'!$R1720= "", 'Controle de CT'!$P1720= ""), "", 'Controle de CT'!$R1720-'Controle de CT'!$P1720)</f>
        <v/>
      </c>
      <c r="V1720" s="1"/>
      <c r="W1720" s="2"/>
      <c r="X1720" s="2"/>
    </row>
    <row r="1721" spans="11:24" ht="15" hidden="1" customHeight="1">
      <c r="K1721" s="5">
        <v>46142</v>
      </c>
      <c r="L1721" s="8" t="s">
        <v>58</v>
      </c>
      <c r="M1721" s="9" t="str">
        <f>IF(Tabela1[[#This Row],[Motorista]]="","",IFERROR(_xlfn.XLOOKUP(Tabela1[[#This Row],[Motorista]],Base!A:A,Base!B:B),""))</f>
        <v xml:space="preserve">CIF </v>
      </c>
      <c r="N1721" s="20" t="str">
        <f t="shared" si="85"/>
        <v/>
      </c>
      <c r="O17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21" s="4"/>
      <c r="Q1721" s="4"/>
      <c r="R1721" s="23"/>
      <c r="S1721" s="16"/>
      <c r="T1721" s="1"/>
      <c r="U1721" s="15" t="str">
        <f>IF(OR('Controle de CT'!$R1721= "", 'Controle de CT'!$P1721= ""), "", 'Controle de CT'!$R1721-'Controle de CT'!$P1721)</f>
        <v/>
      </c>
      <c r="V1721" s="1"/>
      <c r="W1721" s="2"/>
      <c r="X1721" s="2"/>
    </row>
    <row r="1722" spans="11:24" ht="15" hidden="1" customHeight="1">
      <c r="K1722" s="5">
        <v>46143</v>
      </c>
      <c r="L1722" s="8" t="s">
        <v>438</v>
      </c>
      <c r="M1722" s="9" t="str">
        <f>IF(Tabela1[[#This Row],[Motorista]]="","",IFERROR(_xlfn.XLOOKUP(Tabela1[[#This Row],[Motorista]],Base!A:A,Base!B:B),""))</f>
        <v/>
      </c>
      <c r="N1722" s="20" t="str">
        <f t="shared" si="85"/>
        <v/>
      </c>
      <c r="O17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2" s="4"/>
      <c r="Q1722" s="4"/>
      <c r="R1722" s="23"/>
      <c r="S1722" s="16"/>
      <c r="T1722" s="14" t="str">
        <f>IF(OR(Tabela1[[#This Row],[Entrada]]="",Tabela1[[#This Row],[Saída]]=""), "", Tabela1[[#This Row],[Saída]]-Tabela1[[#This Row],[Entrada]])</f>
        <v/>
      </c>
      <c r="U1722" s="15" t="str">
        <f>IF(OR('Controle de CT'!$R1722= "", 'Controle de CT'!$P1722= ""), "", 'Controle de CT'!$R1722-'Controle de CT'!$P1722)</f>
        <v/>
      </c>
      <c r="V1722" s="1"/>
      <c r="W1722" s="2"/>
      <c r="X1722" s="2"/>
    </row>
    <row r="1723" spans="11:24" ht="15" hidden="1" customHeight="1">
      <c r="K1723" s="5">
        <v>46143</v>
      </c>
      <c r="L1723" s="8" t="s">
        <v>116</v>
      </c>
      <c r="M1723" s="9" t="str">
        <f>IF(Tabela1[[#This Row],[Motorista]]="","",IFERROR(_xlfn.XLOOKUP(Tabela1[[#This Row],[Motorista]],Base!A:A,Base!B:B),""))</f>
        <v xml:space="preserve">CIF </v>
      </c>
      <c r="N1723" s="20" t="str">
        <f t="shared" si="85"/>
        <v/>
      </c>
      <c r="O17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3" s="4"/>
      <c r="Q1723" s="4"/>
      <c r="R1723" s="23"/>
      <c r="S1723" s="16"/>
      <c r="T1723" s="1"/>
      <c r="U1723" s="15" t="str">
        <f>IF(OR('Controle de CT'!$R1723= "", 'Controle de CT'!$P1723= ""), "", 'Controle de CT'!$R1723-'Controle de CT'!$P1723)</f>
        <v/>
      </c>
      <c r="V1723" s="1"/>
      <c r="W1723" s="2"/>
      <c r="X1723" s="2"/>
    </row>
    <row r="1724" spans="11:24" ht="15" hidden="1" customHeight="1">
      <c r="K1724" s="5">
        <v>46143</v>
      </c>
      <c r="L1724" s="8" t="s">
        <v>439</v>
      </c>
      <c r="M1724" s="9" t="str">
        <f>IF(Tabela1[[#This Row],[Motorista]]="","",IFERROR(_xlfn.XLOOKUP(Tabela1[[#This Row],[Motorista]],Base!A:A,Base!B:B),""))</f>
        <v/>
      </c>
      <c r="N1724" s="20" t="str">
        <f t="shared" si="85"/>
        <v/>
      </c>
      <c r="O17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24" s="4"/>
      <c r="Q1724" s="4"/>
      <c r="R1724" s="23"/>
      <c r="S1724" s="16"/>
      <c r="T1724" s="14" t="str">
        <f>IF(OR(Tabela1[[#This Row],[Entrada]]="",Tabela1[[#This Row],[Saída]]=""), "", Tabela1[[#This Row],[Saída]]-Tabela1[[#This Row],[Entrada]])</f>
        <v/>
      </c>
      <c r="U1724" s="15" t="str">
        <f>IF(OR('Controle de CT'!$R1724= "", 'Controle de CT'!$P1724= ""), "", 'Controle de CT'!$R1724-'Controle de CT'!$P1724)</f>
        <v/>
      </c>
      <c r="V1724" s="1" t="s">
        <v>220</v>
      </c>
      <c r="W1724" s="2"/>
      <c r="X1724" s="2"/>
    </row>
    <row r="1725" spans="11:24" ht="15" hidden="1" customHeight="1">
      <c r="K1725" s="5">
        <v>46143</v>
      </c>
      <c r="L1725" s="8" t="s">
        <v>440</v>
      </c>
      <c r="M1725" s="9" t="str">
        <f>IF(Tabela1[[#This Row],[Motorista]]="","",IFERROR(_xlfn.XLOOKUP(Tabela1[[#This Row],[Motorista]],Base!A:A,Base!B:B),""))</f>
        <v/>
      </c>
      <c r="N1725" s="20" t="str">
        <f t="shared" si="85"/>
        <v>Aguardando Entrada</v>
      </c>
      <c r="O17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5" s="4">
        <v>0.20972222222222223</v>
      </c>
      <c r="Q1725" s="4"/>
      <c r="R1725" s="23"/>
      <c r="S1725" s="16"/>
      <c r="T1725" s="1"/>
      <c r="U1725" s="15" t="str">
        <f>IF(OR('Controle de CT'!$R1725= "", 'Controle de CT'!$P1725= ""), "", 'Controle de CT'!$R1725-'Controle de CT'!$P1725)</f>
        <v/>
      </c>
      <c r="V1725" s="1" t="s">
        <v>220</v>
      </c>
      <c r="W1725" s="2"/>
      <c r="X1725" s="2"/>
    </row>
    <row r="1726" spans="11:24" ht="15" hidden="1" customHeight="1">
      <c r="K1726" s="5">
        <v>46143</v>
      </c>
      <c r="L1726" s="8" t="s">
        <v>441</v>
      </c>
      <c r="M1726" s="9" t="str">
        <f>IF(Tabela1[[#This Row],[Motorista]]="","",IFERROR(_xlfn.XLOOKUP(Tabela1[[#This Row],[Motorista]],Base!A:A,Base!B:B),""))</f>
        <v/>
      </c>
      <c r="N1726" s="20" t="str">
        <f t="shared" ref="N1726:N1733" si="86">IF(R1726&lt;&gt;"","Finalizado", IF(Q1727&lt;&gt;"","Fila de Carregamento", IF(P1726&lt;&gt;"","Aguardando Entrada","")))</f>
        <v>Aguardando Entrada</v>
      </c>
      <c r="O17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6" s="4">
        <v>0.21041666666666667</v>
      </c>
      <c r="Q1726" s="4"/>
      <c r="R1726" s="23"/>
      <c r="S1726" s="16"/>
      <c r="T1726" s="14" t="str">
        <f>IF(OR(Tabela1[[#This Row],[Entrada]]="",Tabela1[[#This Row],[Saída]]=""), "", Tabela1[[#This Row],[Saída]]-Tabela1[[#This Row],[Entrada]])</f>
        <v/>
      </c>
      <c r="U1726" s="15" t="str">
        <f>IF(OR('Controle de CT'!$R1726= "", 'Controle de CT'!$P1726= ""), "", 'Controle de CT'!$R1726-'Controle de CT'!$P1726)</f>
        <v/>
      </c>
      <c r="V1726" s="1"/>
      <c r="W1726" s="2"/>
      <c r="X1726" s="2"/>
    </row>
    <row r="1727" spans="11:24" ht="15" hidden="1" customHeight="1">
      <c r="K1727" s="5">
        <v>46143</v>
      </c>
      <c r="L1727" s="8" t="s">
        <v>442</v>
      </c>
      <c r="M1727" s="9" t="str">
        <f>IF(Tabela1[[#This Row],[Motorista]]="","",IFERROR(_xlfn.XLOOKUP(Tabela1[[#This Row],[Motorista]],Base!A:A,Base!B:B),""))</f>
        <v/>
      </c>
      <c r="N1727" s="20" t="str">
        <f t="shared" si="86"/>
        <v/>
      </c>
      <c r="O17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7" s="4"/>
      <c r="Q1727" s="4"/>
      <c r="R1727" s="23"/>
      <c r="S1727" s="16"/>
      <c r="T1727" s="1"/>
      <c r="U1727" s="15" t="str">
        <f>IF(OR('Controle de CT'!$R1727= "", 'Controle de CT'!$P1727= ""), "", 'Controle de CT'!$R1727-'Controle de CT'!$P1727)</f>
        <v/>
      </c>
      <c r="V1727" s="1"/>
      <c r="W1727" s="2"/>
      <c r="X1727" s="2"/>
    </row>
    <row r="1728" spans="11:24" ht="15" hidden="1" customHeight="1">
      <c r="K1728" s="5">
        <v>46143</v>
      </c>
      <c r="L1728" s="8" t="s">
        <v>443</v>
      </c>
      <c r="M1728" s="9" t="str">
        <f>IF(Tabela1[[#This Row],[Motorista]]="","",IFERROR(_xlfn.XLOOKUP(Tabela1[[#This Row],[Motorista]],Base!A:A,Base!B:B),""))</f>
        <v/>
      </c>
      <c r="N1728" s="20" t="str">
        <f t="shared" si="86"/>
        <v/>
      </c>
      <c r="O17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8" s="4"/>
      <c r="Q1728" s="4"/>
      <c r="R1728" s="23"/>
      <c r="S1728" s="16"/>
      <c r="T1728" s="14" t="str">
        <f>IF(OR(Tabela1[[#This Row],[Entrada]]="",Tabela1[[#This Row],[Saída]]=""), "", Tabela1[[#This Row],[Saída]]-Tabela1[[#This Row],[Entrada]])</f>
        <v/>
      </c>
      <c r="U1728" s="15" t="str">
        <f>IF(OR('Controle de CT'!$R1728= "", 'Controle de CT'!$P1728= ""), "", 'Controle de CT'!$R1728-'Controle de CT'!$P1728)</f>
        <v/>
      </c>
      <c r="V1728" s="1"/>
      <c r="W1728" s="2"/>
      <c r="X1728" s="2"/>
    </row>
    <row r="1729" spans="11:24" ht="15" hidden="1" customHeight="1">
      <c r="K1729" s="5">
        <v>46143</v>
      </c>
      <c r="L1729" s="8" t="s">
        <v>423</v>
      </c>
      <c r="M1729" s="9" t="str">
        <f>IF(Tabela1[[#This Row],[Motorista]]="","",IFERROR(_xlfn.XLOOKUP(Tabela1[[#This Row],[Motorista]],Base!A:A,Base!B:B),""))</f>
        <v/>
      </c>
      <c r="N1729" s="20" t="str">
        <f t="shared" si="86"/>
        <v/>
      </c>
      <c r="O17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29" s="4"/>
      <c r="Q1729" s="4"/>
      <c r="R1729" s="23"/>
      <c r="S1729" s="16"/>
      <c r="T1729" s="14" t="str">
        <f>IF(OR(Tabela1[[#This Row],[Entrada]]="",Tabela1[[#This Row],[Saída]]=""), "", Tabela1[[#This Row],[Saída]]-Tabela1[[#This Row],[Entrada]])</f>
        <v/>
      </c>
      <c r="U1729" s="15" t="str">
        <f>IF(OR('Controle de CT'!$R1729= "", 'Controle de CT'!$P1729= ""), "", 'Controle de CT'!$R1729-'Controle de CT'!$P1729)</f>
        <v/>
      </c>
      <c r="V1729" s="1"/>
      <c r="W1729" s="2"/>
      <c r="X1729" s="2"/>
    </row>
    <row r="1730" spans="11:24" ht="15" hidden="1" customHeight="1">
      <c r="K1730" s="5">
        <v>46143</v>
      </c>
      <c r="L1730" s="8" t="s">
        <v>444</v>
      </c>
      <c r="M1730" s="22" t="str">
        <f>IF(Tabela1[[#This Row],[Motorista]]="","",IFERROR(_xlfn.XLOOKUP(Tabela1[[#This Row],[Motorista]],Base!A:A,Base!B:B),""))</f>
        <v/>
      </c>
      <c r="N1730" s="20" t="str">
        <f t="shared" si="86"/>
        <v/>
      </c>
      <c r="O17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0" s="16"/>
      <c r="S1730" s="16"/>
      <c r="T1730" s="14" t="str">
        <f>IF(OR(Tabela1[[#This Row],[Entrada]]="",Tabela1[[#This Row],[Saída]]=""), "", Tabela1[[#This Row],[Saída]]-Tabela1[[#This Row],[Entrada]])</f>
        <v/>
      </c>
      <c r="U1730" s="15" t="str">
        <f>IF(OR('Controle de CT'!$R1730= "", 'Controle de CT'!$P1730= ""), "", 'Controle de CT'!$R1730-'Controle de CT'!$P1730)</f>
        <v/>
      </c>
      <c r="V1730" s="1"/>
      <c r="W1730" s="2"/>
      <c r="X1730" s="2"/>
    </row>
    <row r="1731" spans="11:24" ht="15" hidden="1" customHeight="1">
      <c r="K1731" s="5">
        <v>46143</v>
      </c>
      <c r="L1731" s="8" t="s">
        <v>445</v>
      </c>
      <c r="M1731" s="22" t="str">
        <f>IF(Tabela1[[#This Row],[Motorista]]="","",IFERROR(_xlfn.XLOOKUP(Tabela1[[#This Row],[Motorista]],Base!A:A,Base!B:B),""))</f>
        <v/>
      </c>
      <c r="N1731" s="20" t="str">
        <f t="shared" si="86"/>
        <v/>
      </c>
      <c r="O17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31" s="16"/>
      <c r="S1731" s="16"/>
      <c r="T1731" s="14" t="str">
        <f>IF(OR(Tabela1[[#This Row],[Entrada]]="",Tabela1[[#This Row],[Saída]]=""), "", Tabela1[[#This Row],[Saída]]-Tabela1[[#This Row],[Entrada]])</f>
        <v/>
      </c>
      <c r="U1731" s="15" t="str">
        <f>IF(OR('Controle de CT'!$R1731= "", 'Controle de CT'!$P1731= ""), "", 'Controle de CT'!$R1731-'Controle de CT'!$P1731)</f>
        <v/>
      </c>
      <c r="V1731" s="1"/>
      <c r="W1731" s="2"/>
      <c r="X1731" s="2"/>
    </row>
    <row r="1732" spans="11:24" ht="15" hidden="1" customHeight="1">
      <c r="K1732" s="5">
        <v>46143</v>
      </c>
      <c r="L1732" s="8" t="s">
        <v>446</v>
      </c>
      <c r="M1732" s="22" t="str">
        <f>IF(Tabela1[[#This Row],[Motorista]]="","",IFERROR(_xlfn.XLOOKUP(Tabela1[[#This Row],[Motorista]],Base!A:A,Base!B:B),""))</f>
        <v/>
      </c>
      <c r="N1732" s="20" t="str">
        <f t="shared" si="86"/>
        <v/>
      </c>
      <c r="O17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2" s="16"/>
      <c r="S1732" s="16"/>
      <c r="T1732" s="14" t="str">
        <f>IF(OR(Tabela1[[#This Row],[Entrada]]="",Tabela1[[#This Row],[Saída]]=""), "", Tabela1[[#This Row],[Saída]]-Tabela1[[#This Row],[Entrada]])</f>
        <v/>
      </c>
      <c r="U1732" s="15" t="str">
        <f>IF(OR('Controle de CT'!$R1732= "", 'Controle de CT'!$P1732= ""), "", 'Controle de CT'!$R1732-'Controle de CT'!$P1732)</f>
        <v/>
      </c>
      <c r="V1732" s="1" t="s">
        <v>220</v>
      </c>
      <c r="W1732" s="2"/>
      <c r="X1732" s="2"/>
    </row>
    <row r="1733" spans="11:24" ht="15" hidden="1" customHeight="1">
      <c r="K1733" s="5">
        <v>46143</v>
      </c>
      <c r="L1733" s="8" t="s">
        <v>319</v>
      </c>
      <c r="M1733" s="22" t="str">
        <f>IF(Tabela1[[#This Row],[Motorista]]="","",IFERROR(_xlfn.XLOOKUP(Tabela1[[#This Row],[Motorista]],Base!A:A,Base!B:B),""))</f>
        <v/>
      </c>
      <c r="N1733" s="20" t="str">
        <f t="shared" si="86"/>
        <v/>
      </c>
      <c r="O17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3" s="16"/>
      <c r="S1733" s="16"/>
      <c r="T1733" s="14" t="str">
        <f>IF(OR(Tabela1[[#This Row],[Entrada]]="",Tabela1[[#This Row],[Saída]]=""), "", Tabela1[[#This Row],[Saída]]-Tabela1[[#This Row],[Entrada]])</f>
        <v/>
      </c>
      <c r="U1733" s="15" t="str">
        <f>IF(OR('Controle de CT'!$R1733= "", 'Controle de CT'!$P1733= ""), "", 'Controle de CT'!$R1733-'Controle de CT'!$P1733)</f>
        <v/>
      </c>
      <c r="V1733" s="1"/>
      <c r="W1733" s="2"/>
      <c r="X1733" s="2"/>
    </row>
    <row r="1734" spans="11:24" ht="15" hidden="1" customHeight="1">
      <c r="K1734" s="5">
        <v>46143</v>
      </c>
      <c r="L1734" s="8" t="s">
        <v>447</v>
      </c>
      <c r="M1734" s="22" t="str">
        <f>IF(Tabela1[[#This Row],[Motorista]]="","",IFERROR(_xlfn.XLOOKUP(Tabela1[[#This Row],[Motorista]],Base!A:A,Base!B:B),""))</f>
        <v/>
      </c>
      <c r="N1734" s="20" t="str">
        <f t="shared" ref="N1734:N1745" si="87">IF(R1734&lt;&gt;"","Finalizado", IF(Q1734&lt;&gt;"","Fila de Carregamento", IF(P1734&lt;&gt;"","Aguardando Entrada","")))</f>
        <v>Aguardando Entrada</v>
      </c>
      <c r="O17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34" s="2" t="s">
        <v>226</v>
      </c>
      <c r="R1734" s="16"/>
      <c r="S1734" s="16"/>
      <c r="T1734" s="14" t="str">
        <f>IF(OR(Tabela1[[#This Row],[Entrada]]="",Tabela1[[#This Row],[Saída]]=""), "", Tabela1[[#This Row],[Saída]]-Tabela1[[#This Row],[Entrada]])</f>
        <v/>
      </c>
      <c r="U1734" s="15" t="str">
        <f>IF(OR('Controle de CT'!$R1734= "", 'Controle de CT'!$P1734= ""), "", 'Controle de CT'!$R1734-'Controle de CT'!$P1734)</f>
        <v/>
      </c>
      <c r="V1734" s="1" t="s">
        <v>220</v>
      </c>
      <c r="W1734" s="2"/>
      <c r="X1734" s="2"/>
    </row>
    <row r="1735" spans="11:24" ht="15" hidden="1" customHeight="1">
      <c r="K1735" s="5">
        <v>46143</v>
      </c>
      <c r="L1735" s="8" t="s">
        <v>448</v>
      </c>
      <c r="M1735" s="22" t="str">
        <f>IF(Tabela1[[#This Row],[Motorista]]="","",IFERROR(_xlfn.XLOOKUP(Tabela1[[#This Row],[Motorista]],Base!A:A,Base!B:B),""))</f>
        <v/>
      </c>
      <c r="N1735" s="20" t="str">
        <f t="shared" si="87"/>
        <v/>
      </c>
      <c r="O17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5" s="16"/>
      <c r="S1735" s="16"/>
      <c r="T1735" s="14" t="str">
        <f>IF(OR(Tabela1[[#This Row],[Entrada]]="",Tabela1[[#This Row],[Saída]]=""), "", Tabela1[[#This Row],[Saída]]-Tabela1[[#This Row],[Entrada]])</f>
        <v/>
      </c>
      <c r="U1735" s="15" t="str">
        <f>IF(OR('Controle de CT'!$R1735= "", 'Controle de CT'!$P1735= ""), "", 'Controle de CT'!$R1735-'Controle de CT'!$P1735)</f>
        <v/>
      </c>
      <c r="V1735" s="1" t="s">
        <v>220</v>
      </c>
      <c r="W1735" s="2"/>
      <c r="X1735" s="2"/>
    </row>
    <row r="1736" spans="11:24" ht="15" hidden="1" customHeight="1">
      <c r="K1736" s="5">
        <v>46143</v>
      </c>
      <c r="L1736" s="8" t="s">
        <v>449</v>
      </c>
      <c r="M1736" s="22" t="str">
        <f>IF(Tabela1[[#This Row],[Motorista]]="","",IFERROR(_xlfn.XLOOKUP(Tabela1[[#This Row],[Motorista]],Base!A:A,Base!B:B),""))</f>
        <v/>
      </c>
      <c r="N1736" s="20" t="str">
        <f t="shared" si="87"/>
        <v/>
      </c>
      <c r="O17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6" s="16"/>
      <c r="S1736" s="16"/>
      <c r="T1736" s="14" t="str">
        <f>IF(OR(Tabela1[[#This Row],[Entrada]]="",Tabela1[[#This Row],[Saída]]=""), "", Tabela1[[#This Row],[Saída]]-Tabela1[[#This Row],[Entrada]])</f>
        <v/>
      </c>
      <c r="U1736" s="15" t="str">
        <f>IF(OR('Controle de CT'!$R1736= "", 'Controle de CT'!$P1736= ""), "", 'Controle de CT'!$R1736-'Controle de CT'!$P1736)</f>
        <v/>
      </c>
      <c r="V1736" s="1" t="s">
        <v>450</v>
      </c>
      <c r="W1736" s="2"/>
      <c r="X1736" s="2"/>
    </row>
    <row r="1737" spans="11:24" ht="15" hidden="1" customHeight="1">
      <c r="K1737" s="5">
        <v>46143</v>
      </c>
      <c r="L1737" s="8" t="s">
        <v>451</v>
      </c>
      <c r="M1737" s="22" t="str">
        <f>IF(Tabela1[[#This Row],[Motorista]]="","",IFERROR(_xlfn.XLOOKUP(Tabela1[[#This Row],[Motorista]],Base!A:A,Base!B:B),""))</f>
        <v/>
      </c>
      <c r="N1737" s="20" t="str">
        <f t="shared" si="87"/>
        <v/>
      </c>
      <c r="O17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7" s="16"/>
      <c r="S1737" s="16"/>
      <c r="T1737" s="14" t="str">
        <f>IF(OR(Tabela1[[#This Row],[Entrada]]="",Tabela1[[#This Row],[Saída]]=""), "", Tabela1[[#This Row],[Saída]]-Tabela1[[#This Row],[Entrada]])</f>
        <v/>
      </c>
      <c r="U1737" s="15" t="str">
        <f>IF(OR('Controle de CT'!$R1737= "", 'Controle de CT'!$P1737= ""), "", 'Controle de CT'!$R1737-'Controle de CT'!$P1737)</f>
        <v/>
      </c>
      <c r="V1737" s="1"/>
      <c r="W1737" s="2"/>
      <c r="X1737" s="2"/>
    </row>
    <row r="1738" spans="11:24" ht="15" hidden="1" customHeight="1">
      <c r="K1738" s="5">
        <v>46143</v>
      </c>
      <c r="L1738" s="8" t="s">
        <v>452</v>
      </c>
      <c r="M1738" s="22" t="str">
        <f>IF(Tabela1[[#This Row],[Motorista]]="","",IFERROR(_xlfn.XLOOKUP(Tabela1[[#This Row],[Motorista]],Base!A:A,Base!B:B),""))</f>
        <v/>
      </c>
      <c r="N1738" s="20" t="str">
        <f t="shared" si="87"/>
        <v/>
      </c>
      <c r="O17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8" s="16"/>
      <c r="S1738" s="16"/>
      <c r="T1738" s="14" t="str">
        <f>IF(OR(Tabela1[[#This Row],[Entrada]]="",Tabela1[[#This Row],[Saída]]=""), "", Tabela1[[#This Row],[Saída]]-Tabela1[[#This Row],[Entrada]])</f>
        <v/>
      </c>
      <c r="U1738" s="15" t="str">
        <f>IF(OR('Controle de CT'!$R1738= "", 'Controle de CT'!$P1738= ""), "", 'Controle de CT'!$R1738-'Controle de CT'!$P1738)</f>
        <v/>
      </c>
      <c r="V1738" s="1"/>
      <c r="W1738" s="2"/>
      <c r="X1738" s="2"/>
    </row>
    <row r="1739" spans="11:24" ht="15" hidden="1" customHeight="1">
      <c r="K1739" s="5">
        <v>46143</v>
      </c>
      <c r="L1739" s="8" t="s">
        <v>453</v>
      </c>
      <c r="M1739" s="22" t="str">
        <f>IF(Tabela1[[#This Row],[Motorista]]="","",IFERROR(_xlfn.XLOOKUP(Tabela1[[#This Row],[Motorista]],Base!A:A,Base!B:B),""))</f>
        <v/>
      </c>
      <c r="N1739" s="20" t="str">
        <f t="shared" si="87"/>
        <v/>
      </c>
      <c r="O17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39" s="16"/>
      <c r="S1739" s="16"/>
      <c r="T1739" s="14" t="str">
        <f>IF(OR(Tabela1[[#This Row],[Entrada]]="",Tabela1[[#This Row],[Saída]]=""), "", Tabela1[[#This Row],[Saída]]-Tabela1[[#This Row],[Entrada]])</f>
        <v/>
      </c>
      <c r="U1739" s="15" t="str">
        <f>IF(OR('Controle de CT'!$R1739= "", 'Controle de CT'!$P1739= ""), "", 'Controle de CT'!$R1739-'Controle de CT'!$P1739)</f>
        <v/>
      </c>
      <c r="V1739" s="1" t="s">
        <v>64</v>
      </c>
      <c r="W1739" s="2"/>
      <c r="X1739" s="2"/>
    </row>
    <row r="1740" spans="11:24" ht="15" hidden="1" customHeight="1">
      <c r="K1740" s="5">
        <v>46143</v>
      </c>
      <c r="L1740" s="8" t="s">
        <v>454</v>
      </c>
      <c r="M1740" s="22" t="str">
        <f>IF(Tabela1[[#This Row],[Motorista]]="","",IFERROR(_xlfn.XLOOKUP(Tabela1[[#This Row],[Motorista]],Base!A:A,Base!B:B),""))</f>
        <v/>
      </c>
      <c r="N1740" s="20" t="str">
        <f t="shared" si="87"/>
        <v>Aguardando Entrada</v>
      </c>
      <c r="O17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40" s="2">
        <v>0.28472222222222221</v>
      </c>
      <c r="R1740" s="16"/>
      <c r="S1740" s="16"/>
      <c r="T1740" s="14" t="str">
        <f>IF(OR(Tabela1[[#This Row],[Entrada]]="",Tabela1[[#This Row],[Saída]]=""), "", Tabela1[[#This Row],[Saída]]-Tabela1[[#This Row],[Entrada]])</f>
        <v/>
      </c>
      <c r="U1740" s="15" t="str">
        <f>IF(OR('Controle de CT'!$R1740= "", 'Controle de CT'!$P1740= ""), "", 'Controle de CT'!$R1740-'Controle de CT'!$P1740)</f>
        <v/>
      </c>
      <c r="V1740" s="1"/>
      <c r="W1740" s="2"/>
      <c r="X1740" s="2"/>
    </row>
    <row r="1741" spans="11:24" ht="15" hidden="1" customHeight="1">
      <c r="K1741" s="5">
        <v>46143</v>
      </c>
      <c r="L1741" s="8" t="s">
        <v>455</v>
      </c>
      <c r="M1741" s="22" t="str">
        <f>IF(Tabela1[[#This Row],[Motorista]]="","",IFERROR(_xlfn.XLOOKUP(Tabela1[[#This Row],[Motorista]],Base!A:A,Base!B:B),""))</f>
        <v/>
      </c>
      <c r="N1741" s="20" t="str">
        <f t="shared" si="87"/>
        <v/>
      </c>
      <c r="O17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1" s="16"/>
      <c r="S1741" s="16"/>
      <c r="T1741" s="14" t="str">
        <f>IF(OR(Tabela1[[#This Row],[Entrada]]="",Tabela1[[#This Row],[Saída]]=""), "", Tabela1[[#This Row],[Saída]]-Tabela1[[#This Row],[Entrada]])</f>
        <v/>
      </c>
      <c r="U1741" s="15" t="str">
        <f>IF(OR('Controle de CT'!$R1741= "", 'Controle de CT'!$P1741= ""), "", 'Controle de CT'!$R1741-'Controle de CT'!$P1741)</f>
        <v/>
      </c>
      <c r="V1741" s="1"/>
      <c r="W1741" s="2"/>
      <c r="X1741" s="2"/>
    </row>
    <row r="1742" spans="11:24" ht="15" hidden="1" customHeight="1">
      <c r="K1742" s="5">
        <v>46143</v>
      </c>
      <c r="L1742" s="8" t="s">
        <v>456</v>
      </c>
      <c r="M1742" s="22" t="str">
        <f>IF(Tabela1[[#This Row],[Motorista]]="","",IFERROR(_xlfn.XLOOKUP(Tabela1[[#This Row],[Motorista]],Base!A:A,Base!B:B),""))</f>
        <v/>
      </c>
      <c r="N1742" s="20" t="str">
        <f t="shared" si="87"/>
        <v/>
      </c>
      <c r="O17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42" s="16"/>
      <c r="S1742" s="16"/>
      <c r="T1742" s="14" t="str">
        <f>IF(OR(Tabela1[[#This Row],[Entrada]]="",Tabela1[[#This Row],[Saída]]=""), "", Tabela1[[#This Row],[Saída]]-Tabela1[[#This Row],[Entrada]])</f>
        <v/>
      </c>
      <c r="U1742" s="15" t="str">
        <f>IF(OR('Controle de CT'!$R1742= "", 'Controle de CT'!$P1742= ""), "", 'Controle de CT'!$R1742-'Controle de CT'!$P1742)</f>
        <v/>
      </c>
      <c r="V1742" s="1"/>
      <c r="W1742" s="2"/>
      <c r="X1742" s="2"/>
    </row>
    <row r="1743" spans="11:24" ht="15" hidden="1" customHeight="1">
      <c r="K1743" s="5">
        <v>46143</v>
      </c>
      <c r="L1743" s="8" t="s">
        <v>457</v>
      </c>
      <c r="M1743" s="22" t="str">
        <f>IF(Tabela1[[#This Row],[Motorista]]="","",IFERROR(_xlfn.XLOOKUP(Tabela1[[#This Row],[Motorista]],Base!A:A,Base!B:B),""))</f>
        <v/>
      </c>
      <c r="N1743" s="20" t="str">
        <f t="shared" si="87"/>
        <v/>
      </c>
      <c r="O17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3" s="16"/>
      <c r="S1743" s="16"/>
      <c r="T1743" s="14" t="str">
        <f>IF(OR(Tabela1[[#This Row],[Entrada]]="",Tabela1[[#This Row],[Saída]]=""), "", Tabela1[[#This Row],[Saída]]-Tabela1[[#This Row],[Entrada]])</f>
        <v/>
      </c>
      <c r="U1743" s="15" t="str">
        <f>IF(OR('Controle de CT'!$R1743= "", 'Controle de CT'!$P1743= ""), "", 'Controle de CT'!$R1743-'Controle de CT'!$P1743)</f>
        <v/>
      </c>
      <c r="V1743" s="1"/>
      <c r="W1743" s="2"/>
      <c r="X1743" s="2"/>
    </row>
    <row r="1744" spans="11:24" ht="15" hidden="1" customHeight="1">
      <c r="K1744" s="5">
        <v>46143</v>
      </c>
      <c r="L1744" s="8" t="s">
        <v>458</v>
      </c>
      <c r="M1744" s="22" t="str">
        <f>IF(Tabela1[[#This Row],[Motorista]]="","",IFERROR(_xlfn.XLOOKUP(Tabela1[[#This Row],[Motorista]],Base!A:A,Base!B:B),""))</f>
        <v/>
      </c>
      <c r="N1744" s="20" t="str">
        <f t="shared" si="87"/>
        <v/>
      </c>
      <c r="O17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4" s="16"/>
      <c r="S1744" s="16"/>
      <c r="T1744" s="14" t="str">
        <f>IF(OR(Tabela1[[#This Row],[Entrada]]="",Tabela1[[#This Row],[Saída]]=""), "", Tabela1[[#This Row],[Saída]]-Tabela1[[#This Row],[Entrada]])</f>
        <v/>
      </c>
      <c r="U1744" s="15" t="str">
        <f>IF(OR('Controle de CT'!$R1744= "", 'Controle de CT'!$P1744= ""), "", 'Controle de CT'!$R1744-'Controle de CT'!$P1744)</f>
        <v/>
      </c>
      <c r="V1744" s="1"/>
      <c r="W1744" s="2"/>
      <c r="X1744" s="2"/>
    </row>
    <row r="1745" spans="11:24" ht="15" hidden="1" customHeight="1">
      <c r="K1745" s="5">
        <v>46143</v>
      </c>
      <c r="L1745" s="8" t="s">
        <v>459</v>
      </c>
      <c r="M1745" s="22" t="str">
        <f>IF(Tabela1[[#This Row],[Motorista]]="","",IFERROR(_xlfn.XLOOKUP(Tabela1[[#This Row],[Motorista]],Base!A:A,Base!B:B),""))</f>
        <v/>
      </c>
      <c r="N1745" s="20" t="str">
        <f t="shared" si="87"/>
        <v/>
      </c>
      <c r="O17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5" s="16"/>
      <c r="S1745" s="16"/>
      <c r="T1745" s="14" t="str">
        <f>IF(OR(Tabela1[[#This Row],[Entrada]]="",Tabela1[[#This Row],[Saída]]=""), "", Tabela1[[#This Row],[Saída]]-Tabela1[[#This Row],[Entrada]])</f>
        <v/>
      </c>
      <c r="U1745" s="15" t="str">
        <f>IF(OR('Controle de CT'!$R1745= "", 'Controle de CT'!$P1745= ""), "", 'Controle de CT'!$R1745-'Controle de CT'!$P1745)</f>
        <v/>
      </c>
      <c r="V1745" s="1"/>
      <c r="W1745" s="2"/>
      <c r="X1745" s="2"/>
    </row>
    <row r="1746" spans="11:24" ht="15" hidden="1" customHeight="1">
      <c r="K1746" s="5">
        <v>46143</v>
      </c>
      <c r="L1746" s="8" t="s">
        <v>460</v>
      </c>
      <c r="M1746" s="9" t="str">
        <f>IF(Tabela1[[#This Row],[Motorista]]="","",IFERROR(_xlfn.XLOOKUP(Tabela1[[#This Row],[Motorista]],Base!A:A,Base!B:B),""))</f>
        <v/>
      </c>
      <c r="N1746" s="20" t="str">
        <f t="shared" ref="N1746:N1751" si="88">IF(R1746&lt;&gt;"","Finalizado", IF(Q1746&lt;&gt;"","Fila de Carregamento", IF(P1746&lt;&gt;"","Aguardando Entrada","")))</f>
        <v/>
      </c>
      <c r="O17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46" s="4"/>
      <c r="Q1746" s="4"/>
      <c r="R1746" s="23"/>
      <c r="S1746" s="16"/>
      <c r="T1746" s="14" t="str">
        <f>IF(OR(Tabela1[[#This Row],[Entrada]]="",Tabela1[[#This Row],[Saída]]=""), "", Tabela1[[#This Row],[Saída]]-Tabela1[[#This Row],[Entrada]])</f>
        <v/>
      </c>
      <c r="U1746" s="15" t="str">
        <f>IF(OR('Controle de CT'!$R1746= "", 'Controle de CT'!$P1746= ""), "", 'Controle de CT'!$R1746-'Controle de CT'!$P1746)</f>
        <v/>
      </c>
      <c r="V1746" s="1" t="s">
        <v>461</v>
      </c>
      <c r="W1746" s="2"/>
      <c r="X1746" s="2"/>
    </row>
    <row r="1747" spans="11:24" ht="15" hidden="1" customHeight="1">
      <c r="K1747" s="5">
        <v>46143</v>
      </c>
      <c r="L1747" s="8" t="s">
        <v>462</v>
      </c>
      <c r="M1747" s="22" t="str">
        <f>IF(Tabela1[[#This Row],[Motorista]]="","",IFERROR(_xlfn.XLOOKUP(Tabela1[[#This Row],[Motorista]],Base!A:A,Base!B:B),""))</f>
        <v/>
      </c>
      <c r="N1747" s="20" t="str">
        <f t="shared" si="88"/>
        <v/>
      </c>
      <c r="O17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7" s="16"/>
      <c r="S1747" s="16"/>
      <c r="T1747" s="14" t="str">
        <f>IF(OR(Tabela1[[#This Row],[Entrada]]="",Tabela1[[#This Row],[Saída]]=""), "", Tabela1[[#This Row],[Saída]]-Tabela1[[#This Row],[Entrada]])</f>
        <v/>
      </c>
      <c r="U1747" s="15" t="str">
        <f>IF(OR('Controle de CT'!$R1747= "", 'Controle de CT'!$P1747= ""), "", 'Controle de CT'!$R1747-'Controle de CT'!$P1747)</f>
        <v/>
      </c>
      <c r="V1747" s="1"/>
      <c r="W1747" s="2"/>
      <c r="X1747" s="2"/>
    </row>
    <row r="1748" spans="11:24" ht="15" hidden="1" customHeight="1">
      <c r="K1748" s="5">
        <v>46143</v>
      </c>
      <c r="L1748" s="8" t="s">
        <v>463</v>
      </c>
      <c r="M1748" s="22" t="str">
        <f>IF(Tabela1[[#This Row],[Motorista]]="","",IFERROR(_xlfn.XLOOKUP(Tabela1[[#This Row],[Motorista]],Base!A:A,Base!B:B),""))</f>
        <v/>
      </c>
      <c r="N1748" s="20" t="str">
        <f t="shared" si="88"/>
        <v/>
      </c>
      <c r="O17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48" s="16"/>
      <c r="S1748" s="16"/>
      <c r="T1748" s="14" t="str">
        <f>IF(OR(Tabela1[[#This Row],[Entrada]]="",Tabela1[[#This Row],[Saída]]=""), "", Tabela1[[#This Row],[Saída]]-Tabela1[[#This Row],[Entrada]])</f>
        <v/>
      </c>
      <c r="U1748" s="15" t="str">
        <f>IF(OR('Controle de CT'!$R1748= "", 'Controle de CT'!$P1748= ""), "", 'Controle de CT'!$R1748-'Controle de CT'!$P1748)</f>
        <v/>
      </c>
      <c r="V1748" s="1"/>
      <c r="W1748" s="2"/>
      <c r="X1748" s="2"/>
    </row>
    <row r="1749" spans="11:24" ht="15" hidden="1" customHeight="1">
      <c r="K1749" s="5">
        <v>46143</v>
      </c>
      <c r="L1749" s="8" t="s">
        <v>464</v>
      </c>
      <c r="M1749" s="22" t="str">
        <f>IF(Tabela1[[#This Row],[Motorista]]="","",IFERROR(_xlfn.XLOOKUP(Tabela1[[#This Row],[Motorista]],Base!A:A,Base!B:B),""))</f>
        <v/>
      </c>
      <c r="N1749" s="20" t="str">
        <f t="shared" si="88"/>
        <v/>
      </c>
      <c r="O17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49" s="16"/>
      <c r="S1749" s="16"/>
      <c r="T1749" s="14" t="str">
        <f>IF(OR(Tabela1[[#This Row],[Entrada]]="",Tabela1[[#This Row],[Saída]]=""), "", Tabela1[[#This Row],[Saída]]-Tabela1[[#This Row],[Entrada]])</f>
        <v/>
      </c>
      <c r="U1749" s="15" t="str">
        <f>IF(OR('Controle de CT'!$R1749= "", 'Controle de CT'!$P1749= ""), "", 'Controle de CT'!$R1749-'Controle de CT'!$P1749)</f>
        <v/>
      </c>
      <c r="V1749" s="1"/>
      <c r="W1749" s="2"/>
      <c r="X1749" s="2"/>
    </row>
    <row r="1750" spans="11:24" ht="15" hidden="1" customHeight="1">
      <c r="K1750" s="5">
        <v>46143</v>
      </c>
      <c r="L1750" s="8" t="s">
        <v>465</v>
      </c>
      <c r="M1750" s="22" t="str">
        <f>IF(Tabela1[[#This Row],[Motorista]]="","",IFERROR(_xlfn.XLOOKUP(Tabela1[[#This Row],[Motorista]],Base!A:A,Base!B:B),""))</f>
        <v/>
      </c>
      <c r="N1750" s="20" t="str">
        <f t="shared" si="88"/>
        <v/>
      </c>
      <c r="O17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50" s="16"/>
      <c r="S1750" s="16"/>
      <c r="T1750" s="14" t="str">
        <f>IF(OR(Tabela1[[#This Row],[Entrada]]="",Tabela1[[#This Row],[Saída]]=""), "", Tabela1[[#This Row],[Saída]]-Tabela1[[#This Row],[Entrada]])</f>
        <v/>
      </c>
      <c r="U1750" s="15" t="str">
        <f>IF(OR('Controle de CT'!$R1750= "", 'Controle de CT'!$P1750= ""), "", 'Controle de CT'!$R1750-'Controle de CT'!$P1750)</f>
        <v/>
      </c>
      <c r="V1750" s="1"/>
      <c r="W1750" s="2"/>
      <c r="X1750" s="2"/>
    </row>
    <row r="1751" spans="11:24" ht="15" hidden="1" customHeight="1">
      <c r="K1751" s="5">
        <v>46143</v>
      </c>
      <c r="L1751" s="8" t="s">
        <v>466</v>
      </c>
      <c r="M1751" s="22" t="str">
        <f>IF(Tabela1[[#This Row],[Motorista]]="","",IFERROR(_xlfn.XLOOKUP(Tabela1[[#This Row],[Motorista]],Base!A:A,Base!B:B),""))</f>
        <v/>
      </c>
      <c r="N1751" s="20" t="str">
        <f t="shared" si="88"/>
        <v>Aguardando Entrada</v>
      </c>
      <c r="O17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51" s="2" t="s">
        <v>226</v>
      </c>
      <c r="R1751" s="16"/>
      <c r="S1751" s="16"/>
      <c r="T1751" s="14" t="str">
        <f>IF(OR(Tabela1[[#This Row],[Entrada]]="",Tabela1[[#This Row],[Saída]]=""), "", Tabela1[[#This Row],[Saída]]-Tabela1[[#This Row],[Entrada]])</f>
        <v/>
      </c>
      <c r="U1751" s="15" t="str">
        <f>IF(OR('Controle de CT'!$R1751= "", 'Controle de CT'!$P1751= ""), "", 'Controle de CT'!$R1751-'Controle de CT'!$P1751)</f>
        <v/>
      </c>
      <c r="V1751" s="1"/>
      <c r="W1751" s="2"/>
      <c r="X1751" s="2"/>
    </row>
    <row r="1752" spans="11:24" ht="15" hidden="1" customHeight="1">
      <c r="K1752" s="5">
        <v>46143</v>
      </c>
      <c r="L1752" s="8" t="s">
        <v>467</v>
      </c>
      <c r="M1752" s="9" t="str">
        <f>IF(Tabela1[[#This Row],[Motorista]]="","",IFERROR(_xlfn.XLOOKUP(Tabela1[[#This Row],[Motorista]],Base!A:A,Base!B:B),""))</f>
        <v/>
      </c>
      <c r="N1752" s="20" t="str">
        <f>IF(R1752&lt;&gt;"","Finalizado", IF(Q1752&lt;&gt;"","Fila de Carregamento", IF(P1752&lt;&gt;"","Aguardando Entrada","")))</f>
        <v/>
      </c>
      <c r="O17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52" s="4"/>
      <c r="Q1752" s="4"/>
      <c r="R1752" s="23"/>
      <c r="S1752" s="16"/>
      <c r="T1752" s="14" t="str">
        <f>IF(OR(Tabela1[[#This Row],[Entrada]]="",Tabela1[[#This Row],[Saída]]=""), "", Tabela1[[#This Row],[Saída]]-Tabela1[[#This Row],[Entrada]])</f>
        <v/>
      </c>
      <c r="U1752" s="15" t="str">
        <f>IF(OR('Controle de CT'!$R1752= "", 'Controle de CT'!$P1752= ""), "", 'Controle de CT'!$R1752-'Controle de CT'!$P1752)</f>
        <v/>
      </c>
      <c r="V1752" s="1" t="s">
        <v>220</v>
      </c>
      <c r="W1752" s="2"/>
      <c r="X1752" s="2"/>
    </row>
    <row r="1753" spans="11:24" ht="15" hidden="1" customHeight="1">
      <c r="K1753" s="5">
        <v>46143</v>
      </c>
      <c r="L1753" s="99" t="s">
        <v>439</v>
      </c>
      <c r="M1753" s="9" t="str">
        <f>IF(Tabela1[[#This Row],[Motorista]]="","",IFERROR(_xlfn.XLOOKUP(Tabela1[[#This Row],[Motorista]],Base!A:A,Base!B:B),""))</f>
        <v/>
      </c>
      <c r="N1753" s="20" t="str">
        <f t="shared" ref="N1753:N1760" si="89">IF(R1753&lt;&gt;"","Finalizado", IF(Q1753&lt;&gt;"","Fila de Carregamento", IF(P1753&lt;&gt;"","Aguardando Entrada","")))</f>
        <v/>
      </c>
      <c r="O17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53" s="4"/>
      <c r="Q1753" s="4"/>
      <c r="R1753" s="23"/>
      <c r="S1753" s="16"/>
      <c r="T1753" s="14" t="str">
        <f>IF(OR(Tabela1[[#This Row],[Entrada]]="",Tabela1[[#This Row],[Saída]]=""), "", Tabela1[[#This Row],[Saída]]-Tabela1[[#This Row],[Entrada]])</f>
        <v/>
      </c>
      <c r="U1753" s="15" t="str">
        <f>IF(OR('Controle de CT'!$R1753= "", 'Controle de CT'!$P1753= ""), "", 'Controle de CT'!$R1753-'Controle de CT'!$P1753)</f>
        <v/>
      </c>
      <c r="V1753" s="1"/>
      <c r="W1753" s="2"/>
      <c r="X1753" s="2"/>
    </row>
    <row r="1754" spans="11:24" ht="15" hidden="1" customHeight="1">
      <c r="K1754" s="5">
        <v>46143</v>
      </c>
      <c r="L1754" s="8" t="s">
        <v>468</v>
      </c>
      <c r="M1754" s="22" t="str">
        <f>IF(Tabela1[[#This Row],[Motorista]]="","",IFERROR(_xlfn.XLOOKUP(Tabela1[[#This Row],[Motorista]],Base!A:A,Base!B:B),""))</f>
        <v/>
      </c>
      <c r="N1754" s="20" t="str">
        <f t="shared" si="89"/>
        <v/>
      </c>
      <c r="O17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54" s="16"/>
      <c r="S1754" s="16"/>
      <c r="T1754" s="14" t="str">
        <f>IF(OR(Tabela1[[#This Row],[Entrada]]="",Tabela1[[#This Row],[Saída]]=""), "", Tabela1[[#This Row],[Saída]]-Tabela1[[#This Row],[Entrada]])</f>
        <v/>
      </c>
      <c r="U1754" s="15" t="str">
        <f>IF(OR('Controle de CT'!$R1754= "", 'Controle de CT'!$P1754= ""), "", 'Controle de CT'!$R1754-'Controle de CT'!$P1754)</f>
        <v/>
      </c>
      <c r="V1754" s="1"/>
      <c r="W1754" s="2"/>
      <c r="X1754" s="2"/>
    </row>
    <row r="1755" spans="11:24" ht="15" hidden="1" customHeight="1">
      <c r="K1755" s="5">
        <v>46143</v>
      </c>
      <c r="L1755" s="8" t="s">
        <v>456</v>
      </c>
      <c r="M1755" s="22" t="str">
        <f>IF(Tabela1[[#This Row],[Motorista]]="","",IFERROR(_xlfn.XLOOKUP(Tabela1[[#This Row],[Motorista]],Base!A:A,Base!B:B),""))</f>
        <v/>
      </c>
      <c r="N1755" s="20" t="str">
        <f t="shared" si="89"/>
        <v/>
      </c>
      <c r="O17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55" s="16"/>
      <c r="S1755" s="16"/>
      <c r="T1755" s="14" t="str">
        <f>IF(OR(Tabela1[[#This Row],[Entrada]]="",Tabela1[[#This Row],[Saída]]=""), "", Tabela1[[#This Row],[Saída]]-Tabela1[[#This Row],[Entrada]])</f>
        <v/>
      </c>
      <c r="U1755" s="15" t="str">
        <f>IF(OR('Controle de CT'!$R1755= "", 'Controle de CT'!$P1755= ""), "", 'Controle de CT'!$R1755-'Controle de CT'!$P1755)</f>
        <v/>
      </c>
      <c r="V1755" s="1"/>
      <c r="W1755" s="2"/>
      <c r="X1755" s="2"/>
    </row>
    <row r="1756" spans="11:24" ht="15" hidden="1" customHeight="1">
      <c r="K1756" s="5">
        <v>46143</v>
      </c>
      <c r="L1756" s="8" t="s">
        <v>351</v>
      </c>
      <c r="M1756" s="22" t="str">
        <f>IF(Tabela1[[#This Row],[Motorista]]="","",IFERROR(_xlfn.XLOOKUP(Tabela1[[#This Row],[Motorista]],Base!A:A,Base!B:B),""))</f>
        <v/>
      </c>
      <c r="N1756" s="20" t="str">
        <f t="shared" si="89"/>
        <v/>
      </c>
      <c r="O17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56" s="16"/>
      <c r="S1756" s="16"/>
      <c r="T1756" s="14" t="str">
        <f>IF(OR(Tabela1[[#This Row],[Entrada]]="",Tabela1[[#This Row],[Saída]]=""), "", Tabela1[[#This Row],[Saída]]-Tabela1[[#This Row],[Entrada]])</f>
        <v/>
      </c>
      <c r="U1756" s="15" t="str">
        <f>IF(OR('Controle de CT'!$R1756= "", 'Controle de CT'!$P1756= ""), "", 'Controle de CT'!$R1756-'Controle de CT'!$P1756)</f>
        <v/>
      </c>
      <c r="V1756" s="1"/>
      <c r="W1756" s="2"/>
      <c r="X1756" s="2"/>
    </row>
    <row r="1757" spans="11:24" ht="15" hidden="1" customHeight="1">
      <c r="K1757" s="5">
        <v>46143</v>
      </c>
      <c r="L1757" s="8" t="s">
        <v>469</v>
      </c>
      <c r="M1757" s="22" t="str">
        <f>IF(Tabela1[[#This Row],[Motorista]]="","",IFERROR(_xlfn.XLOOKUP(Tabela1[[#This Row],[Motorista]],Base!A:A,Base!B:B),""))</f>
        <v/>
      </c>
      <c r="N1757" s="20" t="str">
        <f t="shared" si="89"/>
        <v/>
      </c>
      <c r="O17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57" s="16"/>
      <c r="S1757" s="16"/>
      <c r="T1757" s="14" t="str">
        <f>IF(OR(Tabela1[[#This Row],[Entrada]]="",Tabela1[[#This Row],[Saída]]=""), "", Tabela1[[#This Row],[Saída]]-Tabela1[[#This Row],[Entrada]])</f>
        <v/>
      </c>
      <c r="U1757" s="15" t="str">
        <f>IF(OR('Controle de CT'!$R1757= "", 'Controle de CT'!$P1757= ""), "", 'Controle de CT'!$R1757-'Controle de CT'!$P1757)</f>
        <v/>
      </c>
      <c r="V1757" s="1"/>
      <c r="W1757" s="2"/>
      <c r="X1757" s="2"/>
    </row>
    <row r="1758" spans="11:24" ht="15" hidden="1" customHeight="1">
      <c r="K1758" s="5">
        <v>46143</v>
      </c>
      <c r="L1758" s="8" t="s">
        <v>464</v>
      </c>
      <c r="M1758" s="22" t="str">
        <f>IF(Tabela1[[#This Row],[Motorista]]="","",IFERROR(_xlfn.XLOOKUP(Tabela1[[#This Row],[Motorista]],Base!A:A,Base!B:B),""))</f>
        <v/>
      </c>
      <c r="N1758" s="20" t="str">
        <f t="shared" si="89"/>
        <v/>
      </c>
      <c r="O17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1758" s="16"/>
      <c r="S1758" s="16"/>
      <c r="T1758" s="14" t="str">
        <f>IF(OR(Tabela1[[#This Row],[Entrada]]="",Tabela1[[#This Row],[Saída]]=""), "", Tabela1[[#This Row],[Saída]]-Tabela1[[#This Row],[Entrada]])</f>
        <v/>
      </c>
      <c r="U1758" s="15" t="str">
        <f>IF(OR('Controle de CT'!$R1758= "", 'Controle de CT'!$P1758= ""), "", 'Controle de CT'!$R1758-'Controle de CT'!$P1758)</f>
        <v/>
      </c>
      <c r="V1758" s="1"/>
      <c r="W1758" s="2"/>
      <c r="X1758" s="2"/>
    </row>
    <row r="1759" spans="11:24" ht="15" hidden="1" customHeight="1">
      <c r="K1759" s="5">
        <v>46143</v>
      </c>
      <c r="L1759" s="8" t="s">
        <v>470</v>
      </c>
      <c r="M1759" s="22" t="str">
        <f>IF(Tabela1[[#This Row],[Motorista]]="","",IFERROR(_xlfn.XLOOKUP(Tabela1[[#This Row],[Motorista]],Base!A:A,Base!B:B),""))</f>
        <v/>
      </c>
      <c r="N1759" s="20" t="str">
        <f t="shared" si="89"/>
        <v>Aguardando Entrada</v>
      </c>
      <c r="O17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59" s="2">
        <v>0.63402777777777775</v>
      </c>
      <c r="R1759" s="16"/>
      <c r="S1759" s="16"/>
      <c r="T1759" s="14" t="str">
        <f>IF(OR(Tabela1[[#This Row],[Entrada]]="",Tabela1[[#This Row],[Saída]]=""), "", Tabela1[[#This Row],[Saída]]-Tabela1[[#This Row],[Entrada]])</f>
        <v/>
      </c>
      <c r="U1759" s="15" t="str">
        <f>IF(OR('Controle de CT'!$R1759= "", 'Controle de CT'!$P1759= ""), "", 'Controle de CT'!$R1759-'Controle de CT'!$P1759)</f>
        <v/>
      </c>
      <c r="V1759" s="1"/>
      <c r="W1759" s="2"/>
      <c r="X1759" s="2"/>
    </row>
    <row r="1760" spans="11:24" ht="15" hidden="1" customHeight="1">
      <c r="K1760" s="5">
        <v>46143</v>
      </c>
      <c r="L1760" s="8" t="s">
        <v>471</v>
      </c>
      <c r="M1760" s="22" t="str">
        <f>IF(Tabela1[[#This Row],[Motorista]]="","",IFERROR(_xlfn.XLOOKUP(Tabela1[[#This Row],[Motorista]],Base!A:A,Base!B:B),""))</f>
        <v/>
      </c>
      <c r="N1760" s="20" t="str">
        <f t="shared" si="89"/>
        <v/>
      </c>
      <c r="O17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760" s="16"/>
      <c r="S1760" s="16"/>
      <c r="T1760" s="14" t="str">
        <f>IF(OR(Tabela1[[#This Row],[Entrada]]="",Tabela1[[#This Row],[Saída]]=""), "", Tabela1[[#This Row],[Saída]]-Tabela1[[#This Row],[Entrada]])</f>
        <v/>
      </c>
      <c r="U1760" s="15" t="str">
        <f>IF(OR('Controle de CT'!$R1760= "", 'Controle de CT'!$P1760= ""), "", 'Controle de CT'!$R1760-'Controle de CT'!$P1760)</f>
        <v/>
      </c>
      <c r="V1760" s="1"/>
      <c r="W1760" s="2"/>
      <c r="X1760" s="2"/>
    </row>
    <row r="1761" spans="11:24" ht="15" hidden="1" customHeight="1">
      <c r="K1761" s="5">
        <v>46146</v>
      </c>
      <c r="L1761" t="s">
        <v>105</v>
      </c>
      <c r="M1761" s="24" t="s">
        <v>64</v>
      </c>
      <c r="N1761" s="20" t="str">
        <f t="shared" ref="N1761:N1778" si="90">IF(R1761&lt;&gt;"","Finalizado", IF(Q1761&lt;&gt;"","Fila de Carregamento", IF(P1761&lt;&gt;"","Aguardando Entrada","")))</f>
        <v>Aguardando Entrada</v>
      </c>
      <c r="O17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1" s="2">
        <v>0</v>
      </c>
      <c r="R1761" s="16"/>
      <c r="S1761" s="16"/>
      <c r="T1761" s="71"/>
      <c r="U1761" s="15" t="str">
        <f>IF(OR('Controle de CT'!$R1762= "", 'Controle de CT'!$P1762= ""), "", 'Controle de CT'!$R1762-'Controle de CT'!$P1762)</f>
        <v/>
      </c>
      <c r="V1761" s="1"/>
      <c r="W1761" s="2"/>
      <c r="X1761" s="2"/>
    </row>
    <row r="1762" spans="11:24" ht="15" hidden="1" customHeight="1">
      <c r="K1762" s="5">
        <v>46146</v>
      </c>
      <c r="L1762" t="s">
        <v>292</v>
      </c>
      <c r="M1762" s="24" t="s">
        <v>64</v>
      </c>
      <c r="N1762" s="20" t="str">
        <f t="shared" si="90"/>
        <v>Fila de Carregamento</v>
      </c>
      <c r="O17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2" s="4">
        <v>0</v>
      </c>
      <c r="Q1762" s="4">
        <v>0.375</v>
      </c>
      <c r="R1762" s="23"/>
      <c r="S1762" s="16"/>
      <c r="T1762" s="1"/>
      <c r="U1762" s="15" t="str">
        <f>IF(OR('Controle de CT'!$R1763= "", 'Controle de CT'!$P1763= ""), "", 'Controle de CT'!$R1763-'Controle de CT'!$P1763)</f>
        <v/>
      </c>
      <c r="V1762" s="1" t="s">
        <v>226</v>
      </c>
      <c r="W1762" s="2"/>
      <c r="X1762" s="2"/>
    </row>
    <row r="1763" spans="11:24" ht="15" hidden="1" customHeight="1">
      <c r="K1763" s="5">
        <v>46146</v>
      </c>
      <c r="L1763" t="s">
        <v>114</v>
      </c>
      <c r="M1763" s="22" t="str">
        <f>IF(Tabela1[[#This Row],[Motorista]]="","",IFERROR(_xlfn.XLOOKUP(Tabela1[[#This Row],[Motorista]],Base!A:A,Base!B:B),""))</f>
        <v>FOB</v>
      </c>
      <c r="N1763" s="20" t="str">
        <f t="shared" si="90"/>
        <v>Fila de Carregamento</v>
      </c>
      <c r="O17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3" s="4">
        <v>1.0416666666666666E-2</v>
      </c>
      <c r="Q1763" s="4">
        <v>0.4375</v>
      </c>
      <c r="R1763" s="23"/>
      <c r="S1763" s="16"/>
      <c r="T1763" s="1"/>
      <c r="U1763" s="15">
        <f>IF(OR('Controle de CT'!$R1765= "", 'Controle de CT'!$P1765= ""), "", 'Controle de CT'!$R1765-'Controle de CT'!$P1765)</f>
        <v>0.20694444444444443</v>
      </c>
      <c r="V1763" s="1"/>
      <c r="W1763" s="2"/>
      <c r="X1763" s="2"/>
    </row>
    <row r="1764" spans="11:24" ht="15" hidden="1" customHeight="1">
      <c r="K1764" s="5">
        <v>46146</v>
      </c>
      <c r="L1764" t="s">
        <v>116</v>
      </c>
      <c r="M1764" s="24" t="s">
        <v>321</v>
      </c>
      <c r="N1764" s="20" t="str">
        <f t="shared" si="90"/>
        <v>Finalizado</v>
      </c>
      <c r="O17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4" s="4">
        <v>0.2013888888888889</v>
      </c>
      <c r="Q1764" s="4">
        <v>0.3</v>
      </c>
      <c r="R1764" s="23">
        <v>0.3659722222222222</v>
      </c>
      <c r="S1764" s="94" t="s">
        <v>254</v>
      </c>
      <c r="T1764" s="71"/>
      <c r="U1764" s="15">
        <f>IF(OR('Controle de CT'!$R1769= "", 'Controle de CT'!$P1769= ""), "", 'Controle de CT'!$R1769-'Controle de CT'!$P1769)</f>
        <v>0.20972222222222225</v>
      </c>
      <c r="V1764" s="1" t="s">
        <v>226</v>
      </c>
      <c r="W1764" s="2"/>
      <c r="X1764" s="2"/>
    </row>
    <row r="1765" spans="11:24" ht="15" hidden="1" customHeight="1">
      <c r="K1765" s="5">
        <v>46146</v>
      </c>
      <c r="L1765" s="7" t="s">
        <v>472</v>
      </c>
      <c r="M1765" s="9" t="s">
        <v>63</v>
      </c>
      <c r="N1765" s="20" t="str">
        <f t="shared" si="90"/>
        <v>Finalizado</v>
      </c>
      <c r="O17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5" s="4">
        <v>0.21944444444444444</v>
      </c>
      <c r="Q1765" s="4">
        <v>0.3125</v>
      </c>
      <c r="R1765" s="23">
        <v>0.42638888888888887</v>
      </c>
      <c r="S1765" s="16"/>
      <c r="T1765" s="1"/>
      <c r="U1765" s="15" t="str">
        <f>IF(OR('Controle de CT'!$R1776= "", 'Controle de CT'!$P1776= ""), "", 'Controle de CT'!$R1776-'Controle de CT'!$P1776)</f>
        <v/>
      </c>
      <c r="V1765" s="1" t="s">
        <v>226</v>
      </c>
      <c r="W1765" s="2"/>
      <c r="X1765" s="2"/>
    </row>
    <row r="1766" spans="11:24" ht="15" hidden="1" customHeight="1">
      <c r="K1766" s="5">
        <v>46146</v>
      </c>
      <c r="L1766" t="s">
        <v>128</v>
      </c>
      <c r="M1766" s="24" t="s">
        <v>64</v>
      </c>
      <c r="N1766" s="20" t="str">
        <f t="shared" si="90"/>
        <v>Fila de Carregamento</v>
      </c>
      <c r="O17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6" s="4">
        <v>0.23541666666666666</v>
      </c>
      <c r="Q1766" s="4">
        <v>0.3</v>
      </c>
      <c r="R1766" s="23"/>
      <c r="S1766" s="16"/>
      <c r="T1766" s="57" t="str">
        <f>IF(OR(Tabela1[[#This Row],[Entrada]]="",Tabela1[[#This Row],[Saída]]=""), "", Tabela1[[#This Row],[Saída]]-Tabela1[[#This Row],[Entrada]])</f>
        <v/>
      </c>
      <c r="U1766" s="15" t="str">
        <f>IF(OR('Controle de CT'!$R1761= "", 'Controle de CT'!$P1761= ""), "", 'Controle de CT'!$R1761-'Controle de CT'!$P1761)</f>
        <v/>
      </c>
      <c r="V1766" s="1"/>
      <c r="W1766" s="2"/>
      <c r="X1766" s="2"/>
    </row>
    <row r="1767" spans="11:24" ht="15" hidden="1" customHeight="1">
      <c r="K1767" s="5">
        <v>46146</v>
      </c>
      <c r="L1767" t="s">
        <v>55</v>
      </c>
      <c r="M1767" s="77" t="s">
        <v>62</v>
      </c>
      <c r="N1767" s="20" t="str">
        <f t="shared" si="90"/>
        <v>Finalizado</v>
      </c>
      <c r="O17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67" s="4">
        <v>0.25</v>
      </c>
      <c r="Q1767" s="4">
        <v>0.30208333333333331</v>
      </c>
      <c r="R1767" s="23">
        <v>0.35694444444444445</v>
      </c>
      <c r="S1767" s="94" t="s">
        <v>254</v>
      </c>
      <c r="T1767" s="1"/>
      <c r="U1767" s="15" t="str">
        <f>IF(OR('Controle de CT'!$R1766= "", 'Controle de CT'!$P1766= ""), "", 'Controle de CT'!$R1766-'Controle de CT'!$P1766)</f>
        <v/>
      </c>
      <c r="V1767" s="1"/>
      <c r="W1767" s="2"/>
      <c r="X1767" s="2"/>
    </row>
    <row r="1768" spans="11:24" ht="15" hidden="1" customHeight="1">
      <c r="K1768" s="5">
        <v>46146</v>
      </c>
      <c r="L1768" s="7" t="s">
        <v>473</v>
      </c>
      <c r="M1768" s="22" t="s">
        <v>63</v>
      </c>
      <c r="N1768" s="20" t="str">
        <f t="shared" si="90"/>
        <v>Finalizado</v>
      </c>
      <c r="O17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68" s="4">
        <v>0.25347222222222221</v>
      </c>
      <c r="Q1768" s="4">
        <v>0.32083333333333336</v>
      </c>
      <c r="R1768" s="23">
        <v>0.39305555555555555</v>
      </c>
      <c r="S1768" s="16"/>
      <c r="T1768" s="1"/>
      <c r="U1768" s="15" t="str">
        <f>IF(OR('Controle de CT'!$R1774= "", 'Controle de CT'!$P1774= ""), "", 'Controle de CT'!$R1774-'Controle de CT'!$P1774)</f>
        <v/>
      </c>
      <c r="V1768" s="1"/>
      <c r="W1768" s="2"/>
      <c r="X1768" s="2"/>
    </row>
    <row r="1769" spans="11:24" ht="15" hidden="1" customHeight="1">
      <c r="K1769" s="5">
        <v>46146</v>
      </c>
      <c r="L1769" t="s">
        <v>90</v>
      </c>
      <c r="M1769" s="24" t="s">
        <v>63</v>
      </c>
      <c r="N1769" s="20" t="str">
        <f t="shared" si="90"/>
        <v>Finalizado</v>
      </c>
      <c r="O17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69" s="4">
        <v>0.25555555555555554</v>
      </c>
      <c r="Q1769" s="4">
        <v>0.375</v>
      </c>
      <c r="R1769" s="23">
        <v>0.46527777777777779</v>
      </c>
      <c r="S1769" s="16"/>
      <c r="T1769" s="1"/>
      <c r="U1769" s="15">
        <f>IF(OR('Controle de CT'!$R1771= "", 'Controle de CT'!$P1771= ""), "", 'Controle de CT'!$R1771-'Controle de CT'!$P1771)</f>
        <v>5.9722222222222232E-2</v>
      </c>
      <c r="V1769" s="1"/>
      <c r="W1769" s="2"/>
      <c r="X1769" s="2"/>
    </row>
    <row r="1770" spans="11:24" ht="15" hidden="1" customHeight="1">
      <c r="K1770" s="5">
        <v>46146</v>
      </c>
      <c r="L1770" s="7" t="s">
        <v>474</v>
      </c>
      <c r="M1770" s="22" t="s">
        <v>63</v>
      </c>
      <c r="N1770" s="20" t="str">
        <f t="shared" si="90"/>
        <v>Finalizado</v>
      </c>
      <c r="O17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0" s="4">
        <v>0.2673611111111111</v>
      </c>
      <c r="Q1770" s="4">
        <v>0.32569444444444445</v>
      </c>
      <c r="R1770" s="23">
        <v>0.45277777777777778</v>
      </c>
      <c r="S1770" s="16"/>
      <c r="T1770" s="1"/>
      <c r="U1770" s="15" t="str">
        <f>IF(OR('Controle de CT'!$R1775= "", 'Controle de CT'!$P1775= ""), "", 'Controle de CT'!$R1775-'Controle de CT'!$P1775)</f>
        <v/>
      </c>
      <c r="V1770" s="1"/>
      <c r="W1770" s="2"/>
      <c r="X1770" s="2"/>
    </row>
    <row r="1771" spans="11:24" ht="15" hidden="1" customHeight="1">
      <c r="K1771" s="5">
        <v>46146</v>
      </c>
      <c r="L1771" t="s">
        <v>198</v>
      </c>
      <c r="M1771" s="22" t="str">
        <f>IF(Tabela1[[#This Row],[Motorista]]="","",IFERROR(_xlfn.XLOOKUP(Tabela1[[#This Row],[Motorista]],Base!A:A,Base!B:B),""))</f>
        <v>CIF</v>
      </c>
      <c r="N1771" s="20" t="str">
        <f t="shared" si="90"/>
        <v>Finalizado</v>
      </c>
      <c r="O17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71" s="4">
        <v>0.26874999999999999</v>
      </c>
      <c r="Q1771" s="4">
        <v>0.3</v>
      </c>
      <c r="R1771" s="23">
        <v>0.32847222222222222</v>
      </c>
      <c r="S1771" s="94" t="s">
        <v>254</v>
      </c>
      <c r="T1771" s="1"/>
      <c r="U1771" s="15">
        <f>IF(OR('Controle de CT'!$R1767= "", 'Controle de CT'!$P1767= ""), "", 'Controle de CT'!$R1767-'Controle de CT'!$P1767)</f>
        <v>0.10694444444444445</v>
      </c>
      <c r="V1771" s="1"/>
      <c r="W1771" s="2"/>
      <c r="X1771" s="2"/>
    </row>
    <row r="1772" spans="11:24" ht="15" hidden="1" customHeight="1">
      <c r="K1772" s="5">
        <v>46146</v>
      </c>
      <c r="L1772" t="s">
        <v>375</v>
      </c>
      <c r="M1772" s="24" t="s">
        <v>63</v>
      </c>
      <c r="N1772" s="20" t="str">
        <f t="shared" si="90"/>
        <v>Finalizado</v>
      </c>
      <c r="O17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2" s="4">
        <v>0.27361111111111114</v>
      </c>
      <c r="Q1772" s="4"/>
      <c r="R1772" s="23">
        <v>0.42083333333333334</v>
      </c>
      <c r="S1772" s="16"/>
      <c r="T1772" s="1"/>
      <c r="U1772" s="15">
        <f>IF(OR('Controle de CT'!$R1772= "", 'Controle de CT'!$P1772= ""), "", 'Controle de CT'!$R1772-'Controle de CT'!$P1772)</f>
        <v>0.1472222222222222</v>
      </c>
      <c r="V1772" s="1"/>
      <c r="W1772" s="2"/>
      <c r="X1772" s="2"/>
    </row>
    <row r="1773" spans="11:24" ht="15" hidden="1" customHeight="1">
      <c r="K1773" s="5">
        <v>46146</v>
      </c>
      <c r="L1773" s="76" t="s">
        <v>46</v>
      </c>
      <c r="M1773" s="77" t="s">
        <v>62</v>
      </c>
      <c r="N1773" s="20" t="str">
        <f t="shared" si="90"/>
        <v>Finalizado</v>
      </c>
      <c r="O17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3" s="4">
        <v>0.27430555555555558</v>
      </c>
      <c r="Q1773" s="4">
        <v>0.30625000000000002</v>
      </c>
      <c r="R1773" s="23">
        <v>0.24652777777777779</v>
      </c>
      <c r="S1773" s="94" t="s">
        <v>254</v>
      </c>
      <c r="T1773" s="1"/>
      <c r="U1773" s="15">
        <f>IF(OR('Controle de CT'!$R1768= "", 'Controle de CT'!$P1768= ""), "", 'Controle de CT'!$R1768-'Controle de CT'!$P1768)</f>
        <v>0.13958333333333334</v>
      </c>
      <c r="V1773" s="1" t="s">
        <v>475</v>
      </c>
      <c r="W1773" s="2"/>
      <c r="X1773" s="2"/>
    </row>
    <row r="1774" spans="11:24" ht="15" hidden="1" customHeight="1">
      <c r="K1774" s="5">
        <v>46146</v>
      </c>
      <c r="L1774" s="76" t="s">
        <v>126</v>
      </c>
      <c r="M1774" s="77" t="s">
        <v>64</v>
      </c>
      <c r="N1774" s="20" t="str">
        <f t="shared" si="90"/>
        <v>Aguardando Entrada</v>
      </c>
      <c r="O17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4" s="4">
        <v>0.27708333333333335</v>
      </c>
      <c r="Q1774" s="4"/>
      <c r="R1774" s="23"/>
      <c r="S1774" s="16"/>
      <c r="T1774" s="57" t="str">
        <f>IF(OR(Tabela1[[#This Row],[Entrada]]="",Tabela1[[#This Row],[Saída]]=""), "", Tabela1[[#This Row],[Saída]]-Tabela1[[#This Row],[Entrada]])</f>
        <v/>
      </c>
      <c r="U1774" s="15">
        <f>IF(OR('Controle de CT'!$R1764= "", 'Controle de CT'!$P1764= ""), "", 'Controle de CT'!$R1764-'Controle de CT'!$P1764)</f>
        <v>0.1645833333333333</v>
      </c>
      <c r="V1774" s="1"/>
      <c r="W1774" s="2"/>
      <c r="X1774" s="2"/>
    </row>
    <row r="1775" spans="11:24" ht="15" hidden="1" customHeight="1">
      <c r="K1775" s="5">
        <v>46146</v>
      </c>
      <c r="L1775" s="76" t="s">
        <v>181</v>
      </c>
      <c r="M1775" s="77" t="s">
        <v>63</v>
      </c>
      <c r="N1775" s="20" t="str">
        <f t="shared" si="90"/>
        <v>Aguardando Entrada</v>
      </c>
      <c r="O17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5" s="4">
        <v>0.28194444444444444</v>
      </c>
      <c r="Q1775" s="4"/>
      <c r="R1775" s="23"/>
      <c r="S1775" s="16"/>
      <c r="T1775" s="1"/>
      <c r="U1775" s="15">
        <f>IF(OR('Controle de CT'!$R1770= "", 'Controle de CT'!$P1770= ""), "", 'Controle de CT'!$R1770-'Controle de CT'!$P1770)</f>
        <v>0.18541666666666667</v>
      </c>
      <c r="V1775" s="1"/>
      <c r="W1775" s="2"/>
      <c r="X1775" s="2"/>
    </row>
    <row r="1776" spans="11:24" ht="15" hidden="1" customHeight="1">
      <c r="K1776" s="5">
        <v>46146</v>
      </c>
      <c r="L1776" s="8" t="s">
        <v>296</v>
      </c>
      <c r="M1776" s="9" t="s">
        <v>63</v>
      </c>
      <c r="N1776" s="20" t="str">
        <f t="shared" si="90"/>
        <v>Aguardando Entrada</v>
      </c>
      <c r="O17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76" s="4">
        <v>0.28611111111111109</v>
      </c>
      <c r="Q1776" s="4"/>
      <c r="R1776" s="23"/>
      <c r="S1776" s="16"/>
      <c r="T1776" s="1"/>
      <c r="U1776" s="15">
        <f>IF(OR('Controle de CT'!$R1773= "", 'Controle de CT'!$P1773= ""), "", 'Controle de CT'!$R1773-'Controle de CT'!$P1773)</f>
        <v>-2.777777777777779E-2</v>
      </c>
      <c r="V1776" s="1"/>
      <c r="W1776" s="2"/>
      <c r="X1776" s="2"/>
    </row>
    <row r="1777" spans="11:24" ht="15" hidden="1" customHeight="1">
      <c r="K1777" s="5">
        <v>46146</v>
      </c>
      <c r="L1777" s="8" t="s">
        <v>476</v>
      </c>
      <c r="M1777" s="9" t="s">
        <v>321</v>
      </c>
      <c r="N1777" s="20" t="str">
        <f t="shared" si="90"/>
        <v>Fila de Carregamento</v>
      </c>
      <c r="O17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7" s="4">
        <v>0.35416666666666669</v>
      </c>
      <c r="Q1777" s="4">
        <v>0.36736111111111114</v>
      </c>
      <c r="R1777" s="23"/>
      <c r="S1777" s="16"/>
      <c r="T1777" s="1"/>
      <c r="U1777" s="15" t="str">
        <f>IF(OR('Controle de CT'!$R1777= "", 'Controle de CT'!$P1777= ""), "", 'Controle de CT'!$R1777-'Controle de CT'!$P1777)</f>
        <v/>
      </c>
      <c r="V1777" s="1"/>
      <c r="W1777" s="2"/>
      <c r="X1777" s="2"/>
    </row>
    <row r="1778" spans="11:24" ht="15" hidden="1" customHeight="1">
      <c r="K1778" s="5">
        <v>46146</v>
      </c>
      <c r="L1778" s="8" t="s">
        <v>352</v>
      </c>
      <c r="M1778" s="9" t="str">
        <f>IF(Tabela1[[#This Row],[Motorista]]="","",IFERROR(_xlfn.XLOOKUP(Tabela1[[#This Row],[Motorista]],Base!A:A,Base!B:B),""))</f>
        <v/>
      </c>
      <c r="N1778" s="20" t="str">
        <f t="shared" si="90"/>
        <v>Fila de Carregamento</v>
      </c>
      <c r="O17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8" s="4"/>
      <c r="Q1778" s="4">
        <v>0.44305555555555554</v>
      </c>
      <c r="R1778" s="23"/>
      <c r="S1778" s="16"/>
      <c r="T1778" s="1"/>
      <c r="U1778" s="15" t="str">
        <f>IF(OR('Controle de CT'!$R1778= "", 'Controle de CT'!$P1778= ""), "", 'Controle de CT'!$R1778-'Controle de CT'!$P1778)</f>
        <v/>
      </c>
      <c r="V1778" s="1"/>
      <c r="W1778" s="2"/>
      <c r="X1778" s="2"/>
    </row>
    <row r="1779" spans="11:24" ht="15" hidden="1" customHeight="1">
      <c r="K1779" s="5">
        <v>46146</v>
      </c>
      <c r="L1779" s="8" t="s">
        <v>477</v>
      </c>
      <c r="M1779" s="22" t="str">
        <f>IF(Tabela1[[#This Row],[Motorista]]="","",IFERROR(_xlfn.XLOOKUP(Tabela1[[#This Row],[Motorista]],Base!A:A,Base!B:B),""))</f>
        <v/>
      </c>
      <c r="N1779" s="20" t="str">
        <f t="shared" ref="N1779:N1787" si="91">IF(R1779&lt;&gt;"","Finalizado", IF(Q1779&lt;&gt;"","Fila de Carregamento", IF(P1779&lt;&gt;"","Aguardando Entrada","")))</f>
        <v>Finalizado</v>
      </c>
      <c r="O17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79" s="2">
        <v>0.58333333333333337</v>
      </c>
      <c r="Q1779" s="2">
        <v>0.61875000000000002</v>
      </c>
      <c r="R1779" s="16">
        <v>0.68263888888888891</v>
      </c>
      <c r="S1779" s="94" t="s">
        <v>254</v>
      </c>
      <c r="T1779" s="14">
        <f>IF(OR(Tabela1[[#This Row],[Entrada]]="",Tabela1[[#This Row],[Saída]]=""), "", Tabela1[[#This Row],[Saída]]-Tabela1[[#This Row],[Entrada]])</f>
        <v>6.3888888888888884E-2</v>
      </c>
      <c r="U1779" s="15">
        <f>IF(OR('Controle de CT'!$R1779= "", 'Controle de CT'!$P1779= ""), "", 'Controle de CT'!$R1779-'Controle de CT'!$P1779)</f>
        <v>9.9305555555555536E-2</v>
      </c>
      <c r="V1779" s="1"/>
      <c r="W1779" s="2"/>
      <c r="X1779" s="2"/>
    </row>
    <row r="1780" spans="11:24" ht="15" hidden="1" customHeight="1">
      <c r="K1780" s="5">
        <v>46146</v>
      </c>
      <c r="L1780" s="8" t="s">
        <v>296</v>
      </c>
      <c r="M1780" s="22" t="str">
        <f>IF(Tabela1[[#This Row],[Motorista]]="","",IFERROR(_xlfn.XLOOKUP(Tabela1[[#This Row],[Motorista]],Base!A:A,Base!B:B),""))</f>
        <v/>
      </c>
      <c r="N1780" s="20" t="str">
        <f t="shared" si="91"/>
        <v>Finalizado</v>
      </c>
      <c r="O17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80" s="2">
        <v>0.61458333333333337</v>
      </c>
      <c r="Q1780" s="2">
        <v>0.65486111111111112</v>
      </c>
      <c r="R1780" s="16">
        <v>0.6875</v>
      </c>
      <c r="S1780" s="94" t="s">
        <v>254</v>
      </c>
      <c r="T1780" s="14">
        <f>IF(OR(Tabela1[[#This Row],[Entrada]]="",Tabela1[[#This Row],[Saída]]=""), "", Tabela1[[#This Row],[Saída]]-Tabela1[[#This Row],[Entrada]])</f>
        <v>3.2638888888888884E-2</v>
      </c>
      <c r="U1780" s="15">
        <f>IF(OR('Controle de CT'!$R1780= "", 'Controle de CT'!$P1780= ""), "", 'Controle de CT'!$R1780-'Controle de CT'!$P1780)</f>
        <v>7.291666666666663E-2</v>
      </c>
      <c r="V1780" s="1"/>
      <c r="W1780" s="2"/>
      <c r="X1780" s="2"/>
    </row>
    <row r="1781" spans="11:24" ht="15" hidden="1" customHeight="1">
      <c r="K1781" s="5">
        <v>46146</v>
      </c>
      <c r="L1781" s="8" t="s">
        <v>90</v>
      </c>
      <c r="M1781" s="22" t="str">
        <f>IF(Tabela1[[#This Row],[Motorista]]="","",IFERROR(_xlfn.XLOOKUP(Tabela1[[#This Row],[Motorista]],Base!A:A,Base!B:B),""))</f>
        <v>FOB</v>
      </c>
      <c r="N1781" s="20" t="str">
        <f t="shared" si="91"/>
        <v>Finalizado</v>
      </c>
      <c r="O17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81" s="2">
        <v>0.59444444444444444</v>
      </c>
      <c r="Q1781" s="2">
        <v>0.64583333333333337</v>
      </c>
      <c r="R1781" s="16">
        <v>0.68472222222222223</v>
      </c>
      <c r="S1781" s="94" t="s">
        <v>254</v>
      </c>
      <c r="T1781" s="14">
        <f>IF(OR(Tabela1[[#This Row],[Entrada]]="",Tabela1[[#This Row],[Saída]]=""), "", Tabela1[[#This Row],[Saída]]-Tabela1[[#This Row],[Entrada]])</f>
        <v>3.8888888888888862E-2</v>
      </c>
      <c r="U1781" s="15">
        <f>IF(OR('Controle de CT'!$R1781= "", 'Controle de CT'!$P1781= ""), "", 'Controle de CT'!$R1781-'Controle de CT'!$P1781)</f>
        <v>9.027777777777779E-2</v>
      </c>
      <c r="V1781" s="1"/>
      <c r="W1781" s="2"/>
      <c r="X1781" s="2"/>
    </row>
    <row r="1782" spans="11:24" ht="15" hidden="1" customHeight="1">
      <c r="K1782" s="5">
        <v>46146</v>
      </c>
      <c r="L1782" s="8" t="s">
        <v>478</v>
      </c>
      <c r="M1782" s="22" t="str">
        <f>IF(Tabela1[[#This Row],[Motorista]]="","",IFERROR(_xlfn.XLOOKUP(Tabela1[[#This Row],[Motorista]],Base!A:A,Base!B:B),""))</f>
        <v/>
      </c>
      <c r="N1782" s="20" t="str">
        <f t="shared" si="91"/>
        <v>Finalizado</v>
      </c>
      <c r="O17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2" s="2">
        <v>0.58680555555555558</v>
      </c>
      <c r="Q1782" s="2">
        <v>0.65694444444444444</v>
      </c>
      <c r="R1782" s="16">
        <v>0.6958333333333333</v>
      </c>
      <c r="S1782" s="94" t="s">
        <v>254</v>
      </c>
      <c r="T1782" s="14">
        <f>IF(OR(Tabela1[[#This Row],[Entrada]]="",Tabela1[[#This Row],[Saída]]=""), "", Tabela1[[#This Row],[Saída]]-Tabela1[[#This Row],[Entrada]])</f>
        <v>3.8888888888888862E-2</v>
      </c>
      <c r="U1782" s="15">
        <f>IF(OR('Controle de CT'!$R1782= "", 'Controle de CT'!$P1782= ""), "", 'Controle de CT'!$R1782-'Controle de CT'!$P1782)</f>
        <v>0.10902777777777772</v>
      </c>
      <c r="V1782" s="1"/>
      <c r="W1782" s="2"/>
      <c r="X1782" s="2"/>
    </row>
    <row r="1783" spans="11:24" ht="15" hidden="1" customHeight="1">
      <c r="K1783" s="5">
        <v>46146</v>
      </c>
      <c r="L1783" s="8" t="s">
        <v>479</v>
      </c>
      <c r="M1783" s="22" t="str">
        <f>IF(Tabela1[[#This Row],[Motorista]]="","",IFERROR(_xlfn.XLOOKUP(Tabela1[[#This Row],[Motorista]],Base!A:A,Base!B:B),""))</f>
        <v/>
      </c>
      <c r="N1783" s="20" t="str">
        <f t="shared" si="91"/>
        <v>Finalizado</v>
      </c>
      <c r="O17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3" s="2">
        <v>0.62013888888888891</v>
      </c>
      <c r="Q1783" s="2">
        <v>0.65833333333333333</v>
      </c>
      <c r="R1783" s="16">
        <v>0.7680555555555556</v>
      </c>
      <c r="S1783" s="94" t="s">
        <v>254</v>
      </c>
      <c r="T1783" s="14">
        <f>IF(OR(Tabela1[[#This Row],[Entrada]]="",Tabela1[[#This Row],[Saída]]=""), "", Tabela1[[#This Row],[Saída]]-Tabela1[[#This Row],[Entrada]])</f>
        <v>0.10972222222222228</v>
      </c>
      <c r="U1783" s="15">
        <f>IF(OR('Controle de CT'!$R1783= "", 'Controle de CT'!$P1783= ""), "", 'Controle de CT'!$R1783-'Controle de CT'!$P1783)</f>
        <v>0.1479166666666667</v>
      </c>
      <c r="V1783" s="1"/>
      <c r="W1783" s="2"/>
      <c r="X1783" s="2"/>
    </row>
    <row r="1784" spans="11:24" ht="15" hidden="1" customHeight="1">
      <c r="K1784" s="5">
        <v>46146</v>
      </c>
      <c r="L1784" s="8" t="s">
        <v>459</v>
      </c>
      <c r="M1784" s="22" t="str">
        <f>IF(Tabela1[[#This Row],[Motorista]]="","",IFERROR(_xlfn.XLOOKUP(Tabela1[[#This Row],[Motorista]],Base!A:A,Base!B:B),""))</f>
        <v/>
      </c>
      <c r="N1784" s="20" t="str">
        <f t="shared" si="91"/>
        <v>Finalizado</v>
      </c>
      <c r="O17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4" s="2">
        <v>0.56874999999999998</v>
      </c>
      <c r="Q1784" s="2">
        <v>0.62291666666666667</v>
      </c>
      <c r="R1784" s="16">
        <v>0.66180555555555554</v>
      </c>
      <c r="S1784" s="94" t="s">
        <v>254</v>
      </c>
      <c r="T1784" s="14">
        <f>IF(OR(Tabela1[[#This Row],[Entrada]]="",Tabela1[[#This Row],[Saída]]=""), "", Tabela1[[#This Row],[Saída]]-Tabela1[[#This Row],[Entrada]])</f>
        <v>3.8888888888888862E-2</v>
      </c>
      <c r="U1784" s="15">
        <f>IF(OR('Controle de CT'!$R1784= "", 'Controle de CT'!$P1784= ""), "", 'Controle de CT'!$R1784-'Controle de CT'!$P1784)</f>
        <v>9.3055555555555558E-2</v>
      </c>
      <c r="V1784" s="1"/>
      <c r="W1784" s="2"/>
      <c r="X1784" s="2"/>
    </row>
    <row r="1785" spans="11:24" ht="15" hidden="1" customHeight="1">
      <c r="K1785" s="5">
        <v>46146</v>
      </c>
      <c r="L1785" s="8" t="s">
        <v>198</v>
      </c>
      <c r="M1785" s="22" t="str">
        <f>IF(Tabela1[[#This Row],[Motorista]]="","",IFERROR(_xlfn.XLOOKUP(Tabela1[[#This Row],[Motorista]],Base!A:A,Base!B:B),""))</f>
        <v>CIF</v>
      </c>
      <c r="N1785" s="20" t="str">
        <f t="shared" si="91"/>
        <v>Finalizado</v>
      </c>
      <c r="O17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85" s="2">
        <v>0.51875000000000004</v>
      </c>
      <c r="Q1785" s="2">
        <v>0.57777777777777772</v>
      </c>
      <c r="R1785" s="16">
        <v>0.63680555555555551</v>
      </c>
      <c r="S1785" s="94" t="s">
        <v>254</v>
      </c>
      <c r="T1785" s="14">
        <f>IF(OR(Tabela1[[#This Row],[Entrada]]="",Tabela1[[#This Row],[Saída]]=""), "", Tabela1[[#This Row],[Saída]]-Tabela1[[#This Row],[Entrada]])</f>
        <v>5.902777777777779E-2</v>
      </c>
      <c r="U1785" s="15">
        <f>IF(OR('Controle de CT'!$R1785= "", 'Controle de CT'!$P1785= ""), "", 'Controle de CT'!$R1785-'Controle de CT'!$P1785)</f>
        <v>0.11805555555555547</v>
      </c>
      <c r="V1785" s="1"/>
      <c r="W1785" s="2"/>
      <c r="X1785" s="2"/>
    </row>
    <row r="1786" spans="11:24" ht="15" hidden="1" customHeight="1">
      <c r="K1786" s="5">
        <v>46146</v>
      </c>
      <c r="L1786" s="8" t="s">
        <v>480</v>
      </c>
      <c r="M1786" s="22" t="str">
        <f>IF(Tabela1[[#This Row],[Motorista]]="","",IFERROR(_xlfn.XLOOKUP(Tabela1[[#This Row],[Motorista]],Base!A:A,Base!B:B),""))</f>
        <v/>
      </c>
      <c r="N1786" s="20" t="str">
        <f t="shared" si="91"/>
        <v>Finalizado</v>
      </c>
      <c r="O17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6" s="2">
        <v>0.58333333333333337</v>
      </c>
      <c r="Q1786" s="2">
        <v>0.6</v>
      </c>
      <c r="R1786" s="16">
        <v>0.63749999999999996</v>
      </c>
      <c r="S1786" s="94" t="s">
        <v>254</v>
      </c>
      <c r="T1786" s="14">
        <f>IF(OR(Tabela1[[#This Row],[Entrada]]="",Tabela1[[#This Row],[Saída]]=""), "", Tabela1[[#This Row],[Saída]]-Tabela1[[#This Row],[Entrada]])</f>
        <v>3.7499999999999978E-2</v>
      </c>
      <c r="U1786" s="15">
        <f>IF(OR('Controle de CT'!$R1786= "", 'Controle de CT'!$P1786= ""), "", 'Controle de CT'!$R1786-'Controle de CT'!$P1786)</f>
        <v>5.4166666666666585E-2</v>
      </c>
      <c r="V1786" s="1"/>
      <c r="W1786" s="2"/>
      <c r="X1786" s="2"/>
    </row>
    <row r="1787" spans="11:24" ht="15" hidden="1" customHeight="1">
      <c r="K1787" s="5">
        <v>46146</v>
      </c>
      <c r="L1787" s="8" t="s">
        <v>473</v>
      </c>
      <c r="M1787" s="22" t="str">
        <f>IF(Tabela1[[#This Row],[Motorista]]="","",IFERROR(_xlfn.XLOOKUP(Tabela1[[#This Row],[Motorista]],Base!A:A,Base!B:B),""))</f>
        <v/>
      </c>
      <c r="N1787" s="20" t="str">
        <f t="shared" si="91"/>
        <v>Finalizado</v>
      </c>
      <c r="O17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87" s="2">
        <v>0.54166666666666663</v>
      </c>
      <c r="Q1787" s="2">
        <v>0.58472222222222225</v>
      </c>
      <c r="R1787" s="16">
        <v>0.64027777777777772</v>
      </c>
      <c r="S1787" s="94" t="s">
        <v>254</v>
      </c>
      <c r="T1787" s="14">
        <f>IF(OR(Tabela1[[#This Row],[Entrada]]="",Tabela1[[#This Row],[Saída]]=""), "", Tabela1[[#This Row],[Saída]]-Tabela1[[#This Row],[Entrada]])</f>
        <v>5.5555555555555469E-2</v>
      </c>
      <c r="U1787" s="15">
        <f>IF(OR('Controle de CT'!$R1787= "", 'Controle de CT'!$P1787= ""), "", 'Controle de CT'!$R1787-'Controle de CT'!$P1787)</f>
        <v>9.8611111111111094E-2</v>
      </c>
      <c r="V1787" s="1"/>
      <c r="W1787" s="2"/>
      <c r="X1787" s="2"/>
    </row>
    <row r="1788" spans="11:24" ht="15" hidden="1" customHeight="1">
      <c r="K1788" s="5">
        <v>46146</v>
      </c>
      <c r="L1788" s="8" t="s">
        <v>481</v>
      </c>
      <c r="M1788" s="9" t="str">
        <f>IF(Tabela1[[#This Row],[Motorista]]="","",IFERROR(_xlfn.XLOOKUP(Tabela1[[#This Row],[Motorista]],Base!A:A,Base!B:B),""))</f>
        <v/>
      </c>
      <c r="N1788" s="20" t="str">
        <f t="shared" ref="N1788:N1795" si="92">IF(R1788&lt;&gt;"","Finalizado", IF(Q1788&lt;&gt;"","Fila de Carregamento", IF(P1788&lt;&gt;"","Aguardando Entrada","")))</f>
        <v>Finalizado</v>
      </c>
      <c r="O17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8" s="4">
        <v>0.625</v>
      </c>
      <c r="Q1788" s="4">
        <v>0.66805555555555551</v>
      </c>
      <c r="R1788" s="23">
        <v>0.75138888888888888</v>
      </c>
      <c r="S1788" s="94" t="s">
        <v>254</v>
      </c>
      <c r="T1788" s="14">
        <f>IF(OR(Tabela1[[#This Row],[Entrada]]="",Tabela1[[#This Row],[Saída]]=""), "", Tabela1[[#This Row],[Saída]]-Tabela1[[#This Row],[Entrada]])</f>
        <v>8.333333333333337E-2</v>
      </c>
      <c r="U1788" s="15">
        <f>IF(OR('Controle de CT'!$R1788= "", 'Controle de CT'!$P1788= ""), "", 'Controle de CT'!$R1788-'Controle de CT'!$P1788)</f>
        <v>0.12638888888888888</v>
      </c>
      <c r="V1788" s="1" t="s">
        <v>482</v>
      </c>
      <c r="W1788" s="2"/>
      <c r="X1788" s="2"/>
    </row>
    <row r="1789" spans="11:24" ht="15" hidden="1" customHeight="1">
      <c r="K1789" s="5">
        <v>46147</v>
      </c>
      <c r="L1789" s="8" t="s">
        <v>116</v>
      </c>
      <c r="M1789" s="22" t="str">
        <f>IF(Tabela1[[#This Row],[Motorista]]="","",IFERROR(_xlfn.XLOOKUP(Tabela1[[#This Row],[Motorista]],Base!A:A,Base!B:B),""))</f>
        <v xml:space="preserve">CIF </v>
      </c>
      <c r="N1789" s="20" t="str">
        <f t="shared" si="92"/>
        <v>Finalizado</v>
      </c>
      <c r="O17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89" s="2">
        <v>0.21041666666666667</v>
      </c>
      <c r="Q1789" s="2">
        <v>0.26597222222222222</v>
      </c>
      <c r="R1789" s="16">
        <v>0.30972222222222223</v>
      </c>
      <c r="S1789" s="94" t="s">
        <v>254</v>
      </c>
      <c r="T1789" s="14">
        <f>IF(OR(Tabela1[[#This Row],[Entrada]]="",Tabela1[[#This Row],[Saída]]=""), "", Tabela1[[#This Row],[Saída]]-Tabela1[[#This Row],[Entrada]])</f>
        <v>4.3750000000000011E-2</v>
      </c>
      <c r="U1789" s="15">
        <f>IF(OR('Controle de CT'!$R1789= "", 'Controle de CT'!$P1789= ""), "", 'Controle de CT'!$R1789-'Controle de CT'!$P1789)</f>
        <v>9.9305555555555564E-2</v>
      </c>
      <c r="V1789" s="1"/>
      <c r="W1789" s="2"/>
      <c r="X1789" s="2"/>
    </row>
    <row r="1790" spans="11:24" ht="15" hidden="1" customHeight="1">
      <c r="K1790" s="5">
        <v>46147</v>
      </c>
      <c r="L1790" s="8" t="s">
        <v>483</v>
      </c>
      <c r="M1790" s="22" t="s">
        <v>62</v>
      </c>
      <c r="N1790" s="20" t="str">
        <f t="shared" si="92"/>
        <v>Finalizado</v>
      </c>
      <c r="O17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90" s="2">
        <v>0.23194444444444445</v>
      </c>
      <c r="Q1790" s="2">
        <v>0.26041666666666669</v>
      </c>
      <c r="R1790" s="16">
        <v>0.28819444444444442</v>
      </c>
      <c r="S1790" s="94" t="s">
        <v>254</v>
      </c>
      <c r="T1790" s="14">
        <f>IF(OR(Tabela1[[#This Row],[Entrada]]="",Tabela1[[#This Row],[Saída]]=""), "", Tabela1[[#This Row],[Saída]]-Tabela1[[#This Row],[Entrada]])</f>
        <v>2.7777777777777735E-2</v>
      </c>
      <c r="U1790" s="15">
        <f>IF(OR('Controle de CT'!$R1790= "", 'Controle de CT'!$P1790= ""), "", 'Controle de CT'!$R1790-'Controle de CT'!$P1790)</f>
        <v>5.6249999999999967E-2</v>
      </c>
      <c r="V1790" s="1"/>
      <c r="W1790" s="2"/>
      <c r="X1790" s="2"/>
    </row>
    <row r="1791" spans="11:24" ht="15" hidden="1" customHeight="1">
      <c r="K1791" s="5">
        <v>46147</v>
      </c>
      <c r="L1791" t="s">
        <v>52</v>
      </c>
      <c r="M1791" s="9" t="str">
        <f>IF(Tabela1[[#This Row],[Motorista]]="","",IFERROR(_xlfn.XLOOKUP(Tabela1[[#This Row],[Motorista]],Base!A:A,Base!B:B),""))</f>
        <v>CIF</v>
      </c>
      <c r="N1791" s="20" t="str">
        <f>IF(R1791&lt;&gt;"","Finalizado", IF(Q1791&lt;&gt;"","Fila de Carregamento", IF(P1791&lt;&gt;"","Aguardando Entrada","")))</f>
        <v>Fila de Carregamento</v>
      </c>
      <c r="O17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91" s="4">
        <v>0.25</v>
      </c>
      <c r="Q1791" s="4">
        <v>0.27291666666666664</v>
      </c>
      <c r="R1791" s="23"/>
      <c r="S1791" s="16"/>
      <c r="T1791" s="14" t="str">
        <f>IF(OR(Tabela1[[#This Row],[Entrada]]="",Tabela1[[#This Row],[Saída]]=""), "", Tabela1[[#This Row],[Saída]]-Tabela1[[#This Row],[Entrada]])</f>
        <v/>
      </c>
      <c r="U1791" s="15" t="str">
        <f>IF(OR('Controle de CT'!$R1791= "", 'Controle de CT'!$P1791= ""), "", 'Controle de CT'!$R1791-'Controle de CT'!$P1791)</f>
        <v/>
      </c>
      <c r="V1791" s="1" t="s">
        <v>484</v>
      </c>
      <c r="W1791" s="2"/>
      <c r="X1791" s="2"/>
    </row>
    <row r="1792" spans="11:24" ht="15" hidden="1" customHeight="1">
      <c r="K1792" s="5">
        <v>46147</v>
      </c>
      <c r="L1792" t="s">
        <v>58</v>
      </c>
      <c r="M1792" s="9" t="str">
        <f>IF(Tabela1[[#This Row],[Motorista]]="","",IFERROR(_xlfn.XLOOKUP(Tabela1[[#This Row],[Motorista]],Base!A:A,Base!B:B),""))</f>
        <v xml:space="preserve">CIF </v>
      </c>
      <c r="N1792" s="20" t="str">
        <f>IF(R1792&lt;&gt;"","Finalizado", IF(Q1792&lt;&gt;"","Fila de Carregamento", IF(P1792&lt;&gt;"","Aguardando Entrada","")))</f>
        <v>Finalizado</v>
      </c>
      <c r="O17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792" s="4">
        <v>0.25833333333333336</v>
      </c>
      <c r="Q1792" s="4">
        <v>0.27708333333333335</v>
      </c>
      <c r="R1792" s="23">
        <v>0.32083333333333336</v>
      </c>
      <c r="S1792" s="94" t="s">
        <v>254</v>
      </c>
      <c r="T1792" s="14">
        <f>IF(OR(Tabela1[[#This Row],[Entrada]]="",Tabela1[[#This Row],[Saída]]=""), "", Tabela1[[#This Row],[Saída]]-Tabela1[[#This Row],[Entrada]])</f>
        <v>4.3750000000000011E-2</v>
      </c>
      <c r="U1792" s="15">
        <f>IF(OR('Controle de CT'!$R1792= "", 'Controle de CT'!$P1792= ""), "", 'Controle de CT'!$R1792-'Controle de CT'!$P1792)</f>
        <v>6.25E-2</v>
      </c>
      <c r="V1792" s="1"/>
      <c r="W1792" s="2"/>
      <c r="X1792" s="2"/>
    </row>
    <row r="1793" spans="11:24" ht="15" hidden="1" customHeight="1">
      <c r="K1793" s="5">
        <v>46147</v>
      </c>
      <c r="L1793" t="s">
        <v>57</v>
      </c>
      <c r="M1793" s="9" t="str">
        <f>IF(Tabela1[[#This Row],[Motorista]]="","",IFERROR(_xlfn.XLOOKUP(Tabela1[[#This Row],[Motorista]],Base!A:A,Base!B:B),""))</f>
        <v>CIF</v>
      </c>
      <c r="N1793" s="20" t="str">
        <f>IF(R1793&lt;&gt;"","Finalizado", IF(Q1793&lt;&gt;"","Fila de Carregamento", IF(P1793&lt;&gt;"","Aguardando Entrada","")))</f>
        <v>Finalizado</v>
      </c>
      <c r="O17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93" s="4">
        <v>0.2673611111111111</v>
      </c>
      <c r="Q1793" s="4">
        <v>0.29930555555555555</v>
      </c>
      <c r="R1793" s="23">
        <v>0.35347222222222224</v>
      </c>
      <c r="S1793" s="94" t="s">
        <v>254</v>
      </c>
      <c r="T1793" s="14">
        <f>IF(OR(Tabela1[[#This Row],[Entrada]]="",Tabela1[[#This Row],[Saída]]=""), "", Tabela1[[#This Row],[Saída]]-Tabela1[[#This Row],[Entrada]])</f>
        <v>5.4166666666666696E-2</v>
      </c>
      <c r="U1793" s="15">
        <f>IF(OR('Controle de CT'!$R1793= "", 'Controle de CT'!$P1793= ""), "", 'Controle de CT'!$R1793-'Controle de CT'!$P1793)</f>
        <v>8.6111111111111138E-2</v>
      </c>
      <c r="V1793" s="1" t="s">
        <v>485</v>
      </c>
      <c r="W1793" s="2"/>
      <c r="X1793" s="2"/>
    </row>
    <row r="1794" spans="11:24" ht="15" hidden="1" customHeight="1">
      <c r="K1794" s="5">
        <v>46147</v>
      </c>
      <c r="L1794" t="s">
        <v>48</v>
      </c>
      <c r="M1794" s="9" t="str">
        <f>IF(Tabela1[[#This Row],[Motorista]]="","",IFERROR(_xlfn.XLOOKUP(Tabela1[[#This Row],[Motorista]],Base!A:A,Base!B:B),""))</f>
        <v>CIF</v>
      </c>
      <c r="N1794" s="20" t="str">
        <f>IF(R1794&lt;&gt;"","Finalizado", IF(Q1794&lt;&gt;"","Fila de Carregamento", IF(P1794&lt;&gt;"","Aguardando Entrada","")))</f>
        <v>Finalizado</v>
      </c>
      <c r="O17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94" s="4">
        <v>0.2673611111111111</v>
      </c>
      <c r="Q1794" s="4">
        <v>0.28125</v>
      </c>
      <c r="R1794" s="23">
        <v>0.31736111111111109</v>
      </c>
      <c r="S1794" s="94" t="s">
        <v>254</v>
      </c>
      <c r="T1794" s="14">
        <f>IF(OR(Tabela1[[#This Row],[Entrada]]="",Tabela1[[#This Row],[Saída]]=""), "", Tabela1[[#This Row],[Saída]]-Tabela1[[#This Row],[Entrada]])</f>
        <v>3.6111111111111094E-2</v>
      </c>
      <c r="U1794" s="15">
        <f>IF(OR('Controle de CT'!$R1794= "", 'Controle de CT'!$P1794= ""), "", 'Controle de CT'!$R1794-'Controle de CT'!$P1794)</f>
        <v>4.9999999999999989E-2</v>
      </c>
      <c r="V1794" s="1"/>
      <c r="W1794" s="2"/>
      <c r="X1794" s="2"/>
    </row>
    <row r="1795" spans="11:24" ht="15" hidden="1" customHeight="1">
      <c r="K1795" s="5">
        <v>46147</v>
      </c>
      <c r="L1795" t="s">
        <v>90</v>
      </c>
      <c r="M1795" s="24" t="s">
        <v>63</v>
      </c>
      <c r="N1795" s="20" t="str">
        <f t="shared" si="92"/>
        <v>Finalizado</v>
      </c>
      <c r="O17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95" s="2">
        <v>0.25416666666666665</v>
      </c>
      <c r="Q1795" s="2">
        <v>0.32708333333333334</v>
      </c>
      <c r="R1795" s="16">
        <v>0.36944444444444446</v>
      </c>
      <c r="S1795" s="16"/>
      <c r="T1795" s="14">
        <f>IF(OR(Tabela1[[#This Row],[Entrada]]="",Tabela1[[#This Row],[Saída]]=""), "", Tabela1[[#This Row],[Saída]]-Tabela1[[#This Row],[Entrada]])</f>
        <v>4.2361111111111127E-2</v>
      </c>
      <c r="U1795" s="15">
        <f>IF(OR('Controle de CT'!$R1795= "", 'Controle de CT'!$P1795= ""), "", 'Controle de CT'!$R1795-'Controle de CT'!$P1795)</f>
        <v>0.11527777777777781</v>
      </c>
      <c r="V1795" s="1"/>
      <c r="W1795" s="2"/>
      <c r="X1795" s="2"/>
    </row>
    <row r="1796" spans="11:24" ht="15" hidden="1" customHeight="1">
      <c r="K1796" s="5">
        <v>46147</v>
      </c>
      <c r="L1796" t="s">
        <v>89</v>
      </c>
      <c r="M1796" s="24" t="s">
        <v>63</v>
      </c>
      <c r="N1796" s="20" t="str">
        <f t="shared" ref="N1796:N1813" si="93">IF(R1796&lt;&gt;"","Finalizado", IF(Q1796&lt;&gt;"","Fila de Carregamento", IF(P1796&lt;&gt;"","Aguardando Entrada","")))</f>
        <v>Aguardando Entrada</v>
      </c>
      <c r="O17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96" s="4">
        <v>0.26319444444444445</v>
      </c>
      <c r="Q1796" s="4"/>
      <c r="R1796" s="23"/>
      <c r="S1796" s="16"/>
      <c r="T1796" s="1"/>
      <c r="U1796" s="15" t="str">
        <f>IF(OR('Controle de CT'!$R1796= "", 'Controle de CT'!$P1796= ""), "", 'Controle de CT'!$R1796-'Controle de CT'!$P1796)</f>
        <v/>
      </c>
      <c r="V1796" s="1"/>
      <c r="W1796" s="2"/>
      <c r="X1796" s="2"/>
    </row>
    <row r="1797" spans="11:24" ht="15" hidden="1" customHeight="1">
      <c r="K1797" s="5">
        <v>46147</v>
      </c>
      <c r="L1797" t="s">
        <v>87</v>
      </c>
      <c r="M1797" s="24" t="s">
        <v>63</v>
      </c>
      <c r="N1797" s="20" t="str">
        <f t="shared" si="93"/>
        <v>Finalizado</v>
      </c>
      <c r="O17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97" s="4">
        <v>0.29444444444444445</v>
      </c>
      <c r="Q1797" s="4">
        <v>0.33124999999999999</v>
      </c>
      <c r="R1797" s="23">
        <v>0.36805555555555558</v>
      </c>
      <c r="S1797" s="94" t="s">
        <v>254</v>
      </c>
      <c r="T1797" s="1"/>
      <c r="U1797" s="15">
        <f>IF(OR('Controle de CT'!$R1797= "", 'Controle de CT'!$P1797= ""), "", 'Controle de CT'!$R1797-'Controle de CT'!$P1797)</f>
        <v>7.3611111111111127E-2</v>
      </c>
      <c r="V1797" s="1"/>
      <c r="W1797" s="2"/>
      <c r="X1797" s="2"/>
    </row>
    <row r="1798" spans="11:24" ht="15" hidden="1" customHeight="1">
      <c r="K1798" s="5">
        <v>46147</v>
      </c>
      <c r="L1798" s="8" t="s">
        <v>486</v>
      </c>
      <c r="M1798" s="9" t="s">
        <v>63</v>
      </c>
      <c r="N1798" s="20" t="str">
        <f t="shared" si="93"/>
        <v>Finalizado</v>
      </c>
      <c r="O17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798" s="4">
        <v>0.33055555555555555</v>
      </c>
      <c r="Q1798" s="4">
        <v>0.35694444444444445</v>
      </c>
      <c r="R1798" s="23">
        <v>0.37916666666666665</v>
      </c>
      <c r="S1798" s="94" t="s">
        <v>254</v>
      </c>
      <c r="T1798" s="1"/>
      <c r="U1798" s="15">
        <f>IF(OR('Controle de CT'!$R1798= "", 'Controle de CT'!$P1798= ""), "", 'Controle de CT'!$R1798-'Controle de CT'!$P1798)</f>
        <v>4.8611111111111105E-2</v>
      </c>
      <c r="V1798" s="1"/>
      <c r="W1798" s="2"/>
      <c r="X1798" s="2"/>
    </row>
    <row r="1799" spans="11:24" ht="15" hidden="1" customHeight="1">
      <c r="K1799" s="5">
        <v>46147</v>
      </c>
      <c r="L1799" s="8" t="s">
        <v>296</v>
      </c>
      <c r="M1799" s="9" t="s">
        <v>63</v>
      </c>
      <c r="N1799" s="20" t="str">
        <f t="shared" si="93"/>
        <v>Fila de Carregamento</v>
      </c>
      <c r="O17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799" s="4">
        <v>0.34861111111111109</v>
      </c>
      <c r="Q1799" s="4">
        <v>0.37847222222222221</v>
      </c>
      <c r="R1799" s="23"/>
      <c r="S1799" s="16"/>
      <c r="T1799" s="1"/>
      <c r="U1799" s="15" t="str">
        <f>IF(OR('Controle de CT'!$R1799= "", 'Controle de CT'!$P1799= ""), "", 'Controle de CT'!$R1799-'Controle de CT'!$P1799)</f>
        <v/>
      </c>
      <c r="V1799" s="1"/>
      <c r="W1799" s="2"/>
      <c r="X1799" s="2"/>
    </row>
    <row r="1800" spans="11:24" ht="15" hidden="1" customHeight="1">
      <c r="K1800" s="5">
        <v>46147</v>
      </c>
      <c r="L1800" s="8" t="s">
        <v>487</v>
      </c>
      <c r="M1800" s="9" t="s">
        <v>62</v>
      </c>
      <c r="N1800" s="20" t="str">
        <f t="shared" si="93"/>
        <v>Finalizado</v>
      </c>
      <c r="O18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00" s="4">
        <v>0.37222222222222223</v>
      </c>
      <c r="Q1800" s="4">
        <v>0.38472222222222224</v>
      </c>
      <c r="R1800" s="23">
        <v>0.44791666666666669</v>
      </c>
      <c r="S1800" s="16"/>
      <c r="T1800" s="1"/>
      <c r="U1800" s="15">
        <f>IF(OR('Controle de CT'!$R1800= "", 'Controle de CT'!$P1800= ""), "", 'Controle de CT'!$R1800-'Controle de CT'!$P1800)</f>
        <v>7.5694444444444453E-2</v>
      </c>
      <c r="V1800" s="1"/>
      <c r="W1800" s="2"/>
      <c r="X1800" s="2"/>
    </row>
    <row r="1801" spans="11:24" ht="15" hidden="1" customHeight="1">
      <c r="K1801" s="5">
        <v>46147</v>
      </c>
      <c r="L1801" s="8" t="s">
        <v>49</v>
      </c>
      <c r="M1801" s="9" t="str">
        <f>IF(Tabela1[[#This Row],[Motorista]]="","",IFERROR(_xlfn.XLOOKUP(Tabela1[[#This Row],[Motorista]],Base!A:A,Base!B:B),""))</f>
        <v>CIF</v>
      </c>
      <c r="N1801" s="20" t="str">
        <f t="shared" si="93"/>
        <v>Aguardando Entrada</v>
      </c>
      <c r="O18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01" s="4">
        <v>0.36736111111111114</v>
      </c>
      <c r="Q1801" s="4"/>
      <c r="R1801" s="23"/>
      <c r="S1801" s="16"/>
      <c r="T1801" s="1"/>
      <c r="U1801" s="15" t="str">
        <f>IF(OR('Controle de CT'!$R1801= "", 'Controle de CT'!$P1801= ""), "", 'Controle de CT'!$R1801-'Controle de CT'!$P1801)</f>
        <v/>
      </c>
      <c r="V1801" s="1"/>
      <c r="W1801" s="2"/>
      <c r="X1801" s="2"/>
    </row>
    <row r="1802" spans="11:24" ht="15" hidden="1" customHeight="1">
      <c r="K1802" s="5">
        <v>46147</v>
      </c>
      <c r="L1802" t="s">
        <v>278</v>
      </c>
      <c r="M1802" s="24" t="s">
        <v>63</v>
      </c>
      <c r="N1802" s="20" t="str">
        <f t="shared" si="93"/>
        <v>Fila de Carregamento</v>
      </c>
      <c r="O18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02" s="4">
        <v>0.37291666666666667</v>
      </c>
      <c r="Q1802" s="4">
        <v>0.39861111111111114</v>
      </c>
      <c r="R1802" s="23"/>
      <c r="S1802" s="16"/>
      <c r="T1802" s="1"/>
      <c r="U1802" s="15" t="str">
        <f>IF(OR('Controle de CT'!$R1802= "", 'Controle de CT'!$P1802= ""), "", 'Controle de CT'!$R1802-'Controle de CT'!$P1802)</f>
        <v/>
      </c>
      <c r="V1802" s="1"/>
      <c r="W1802" s="2"/>
      <c r="X1802" s="2"/>
    </row>
    <row r="1803" spans="11:24" ht="15" hidden="1" customHeight="1">
      <c r="K1803" s="5">
        <v>46147</v>
      </c>
      <c r="L1803" s="8" t="s">
        <v>48</v>
      </c>
      <c r="M1803" s="9" t="str">
        <f>IF(Tabela1[[#This Row],[Motorista]]="","",IFERROR(_xlfn.XLOOKUP(Tabela1[[#This Row],[Motorista]],Base!A:A,Base!B:B),""))</f>
        <v>CIF</v>
      </c>
      <c r="N1803" s="20" t="str">
        <f t="shared" si="93"/>
        <v>Aguardando Entrada</v>
      </c>
      <c r="O18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03" s="4">
        <v>0.41041666666666665</v>
      </c>
      <c r="Q1803" s="4"/>
      <c r="R1803" s="23"/>
      <c r="S1803" s="16"/>
      <c r="T1803" s="1"/>
      <c r="U1803" s="15" t="str">
        <f>IF(OR('Controle de CT'!$R1803= "", 'Controle de CT'!$P1803= ""), "", 'Controle de CT'!$R1803-'Controle de CT'!$P1803)</f>
        <v/>
      </c>
      <c r="V1803" s="1"/>
      <c r="W1803" s="2"/>
      <c r="X1803" s="2"/>
    </row>
    <row r="1804" spans="11:24" ht="15" hidden="1" customHeight="1">
      <c r="K1804" s="5">
        <v>46147</v>
      </c>
      <c r="L1804" s="8" t="s">
        <v>90</v>
      </c>
      <c r="M1804" s="9" t="str">
        <f>IF(Tabela1[[#This Row],[Motorista]]="","",IFERROR(_xlfn.XLOOKUP(Tabela1[[#This Row],[Motorista]],Base!A:A,Base!B:B),""))</f>
        <v>FOB</v>
      </c>
      <c r="N1804" s="20" t="str">
        <f t="shared" si="93"/>
        <v>Fila de Carregamento</v>
      </c>
      <c r="O18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04" s="4"/>
      <c r="Q1804" s="4">
        <v>0.5</v>
      </c>
      <c r="R1804" s="23"/>
      <c r="S1804" s="16"/>
      <c r="T1804" s="1"/>
      <c r="U1804" s="15" t="str">
        <f>IF(OR('Controle de CT'!$R1804= "", 'Controle de CT'!$P1804= ""), "", 'Controle de CT'!$R1804-'Controle de CT'!$P1804)</f>
        <v/>
      </c>
      <c r="V1804" s="1"/>
      <c r="W1804" s="2"/>
      <c r="X1804" s="2"/>
    </row>
    <row r="1805" spans="11:24" ht="15" hidden="1" customHeight="1">
      <c r="K1805" s="5">
        <v>46147</v>
      </c>
      <c r="L1805" s="8" t="s">
        <v>44</v>
      </c>
      <c r="M1805" s="9" t="str">
        <f>IF(Tabela1[[#This Row],[Motorista]]="","",IFERROR(_xlfn.XLOOKUP(Tabela1[[#This Row],[Motorista]],Base!A:A,Base!B:B),""))</f>
        <v>CIF</v>
      </c>
      <c r="N1805" s="20" t="str">
        <f t="shared" si="93"/>
        <v/>
      </c>
      <c r="O18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05" s="4"/>
      <c r="Q1805" s="4"/>
      <c r="R1805" s="23"/>
      <c r="S1805" s="16"/>
      <c r="T1805" s="1"/>
      <c r="U1805" s="15" t="str">
        <f>IF(OR('Controle de CT'!$R1805= "", 'Controle de CT'!$P1805= ""), "", 'Controle de CT'!$R1805-'Controle de CT'!$P1805)</f>
        <v/>
      </c>
      <c r="V1805" s="1"/>
      <c r="W1805" s="2"/>
      <c r="X1805" s="2"/>
    </row>
    <row r="1806" spans="11:24" ht="15" hidden="1" customHeight="1">
      <c r="K1806" s="5">
        <v>46147</v>
      </c>
      <c r="L1806" s="8" t="s">
        <v>488</v>
      </c>
      <c r="M1806" s="9" t="str">
        <f>IF(Tabela1[[#This Row],[Motorista]]="","",IFERROR(_xlfn.XLOOKUP(Tabela1[[#This Row],[Motorista]],Base!A:A,Base!B:B),""))</f>
        <v/>
      </c>
      <c r="N1806" s="20" t="str">
        <f t="shared" si="93"/>
        <v/>
      </c>
      <c r="O18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06" s="4"/>
      <c r="Q1806" s="4"/>
      <c r="R1806" s="23"/>
      <c r="S1806" s="16"/>
      <c r="T1806" s="1"/>
      <c r="U1806" s="15" t="str">
        <f>IF(OR('Controle de CT'!$R1806= "", 'Controle de CT'!$P1806= ""), "", 'Controle de CT'!$R1806-'Controle de CT'!$P1806)</f>
        <v/>
      </c>
      <c r="V1806" s="1"/>
      <c r="W1806" s="2"/>
      <c r="X1806" s="2"/>
    </row>
    <row r="1807" spans="11:24" ht="15" hidden="1" customHeight="1">
      <c r="K1807" s="5">
        <v>46147</v>
      </c>
      <c r="L1807" s="8" t="s">
        <v>489</v>
      </c>
      <c r="M1807" s="9" t="str">
        <f>IF(Tabela1[[#This Row],[Motorista]]="","",IFERROR(_xlfn.XLOOKUP(Tabela1[[#This Row],[Motorista]],Base!A:A,Base!B:B),""))</f>
        <v/>
      </c>
      <c r="N1807" s="20" t="str">
        <f t="shared" si="93"/>
        <v>Aguardando Entrada</v>
      </c>
      <c r="O18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07" s="4">
        <v>0.4861111111111111</v>
      </c>
      <c r="Q1807" s="4"/>
      <c r="R1807" s="23"/>
      <c r="S1807" s="16"/>
      <c r="T1807" s="1"/>
      <c r="U1807" s="15" t="str">
        <f>IF(OR('Controle de CT'!$R1807= "", 'Controle de CT'!$P1807= ""), "", 'Controle de CT'!$R1807-'Controle de CT'!$P1807)</f>
        <v/>
      </c>
      <c r="V1807" s="1"/>
      <c r="W1807" s="2"/>
      <c r="X1807" s="2"/>
    </row>
    <row r="1808" spans="11:24" ht="15" hidden="1" customHeight="1">
      <c r="K1808" s="5">
        <v>46147</v>
      </c>
      <c r="L1808" s="8" t="s">
        <v>58</v>
      </c>
      <c r="M1808" s="9" t="str">
        <f>IF(Tabela1[[#This Row],[Motorista]]="","",IFERROR(_xlfn.XLOOKUP(Tabela1[[#This Row],[Motorista]],Base!A:A,Base!B:B),""))</f>
        <v xml:space="preserve">CIF </v>
      </c>
      <c r="N1808" s="20" t="str">
        <f t="shared" si="93"/>
        <v/>
      </c>
      <c r="O18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808" s="4"/>
      <c r="Q1808" s="4"/>
      <c r="R1808" s="23"/>
      <c r="S1808" s="16"/>
      <c r="T1808" s="1"/>
      <c r="U1808" s="15" t="str">
        <f>IF(OR('Controle de CT'!$R1808= "", 'Controle de CT'!$P1808= ""), "", 'Controle de CT'!$R1808-'Controle de CT'!$P1808)</f>
        <v/>
      </c>
      <c r="V1808" s="1"/>
      <c r="W1808" s="2"/>
      <c r="X1808" s="2"/>
    </row>
    <row r="1809" spans="11:24" ht="15" hidden="1" customHeight="1">
      <c r="K1809" s="5">
        <v>46147</v>
      </c>
      <c r="L1809" s="8" t="s">
        <v>296</v>
      </c>
      <c r="M1809" s="9" t="str">
        <f>IF(Tabela1[[#This Row],[Motorista]]="","",IFERROR(_xlfn.XLOOKUP(Tabela1[[#This Row],[Motorista]],Base!A:A,Base!B:B),""))</f>
        <v/>
      </c>
      <c r="N1809" s="20" t="str">
        <f t="shared" si="93"/>
        <v/>
      </c>
      <c r="O18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09" s="4"/>
      <c r="Q1809" s="4"/>
      <c r="R1809" s="23"/>
      <c r="S1809" s="16"/>
      <c r="T1809" s="1"/>
      <c r="U1809" s="15" t="str">
        <f>IF(OR('Controle de CT'!$R1809= "", 'Controle de CT'!$P1809= ""), "", 'Controle de CT'!$R1809-'Controle de CT'!$P1809)</f>
        <v/>
      </c>
      <c r="V1809" s="1"/>
      <c r="W1809" s="2"/>
      <c r="X1809" s="2"/>
    </row>
    <row r="1810" spans="11:24" ht="15" hidden="1" customHeight="1">
      <c r="K1810" s="5">
        <v>46147</v>
      </c>
      <c r="L1810" s="8" t="s">
        <v>426</v>
      </c>
      <c r="M1810" s="9" t="str">
        <f>IF(Tabela1[[#This Row],[Motorista]]="","",IFERROR(_xlfn.XLOOKUP(Tabela1[[#This Row],[Motorista]],Base!A:A,Base!B:B),""))</f>
        <v/>
      </c>
      <c r="N1810" s="20" t="str">
        <f t="shared" si="93"/>
        <v>Finalizado</v>
      </c>
      <c r="O18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0" s="4">
        <v>0.5</v>
      </c>
      <c r="Q1810" s="4">
        <v>0.64513888888888893</v>
      </c>
      <c r="R1810" s="23">
        <v>0.68958333333333333</v>
      </c>
      <c r="S1810" s="94" t="s">
        <v>254</v>
      </c>
      <c r="T1810" s="1"/>
      <c r="U1810" s="15">
        <f>IF(OR('Controle de CT'!$R1810= "", 'Controle de CT'!$P1810= ""), "", 'Controle de CT'!$R1810-'Controle de CT'!$P1810)</f>
        <v>0.18958333333333333</v>
      </c>
      <c r="V1810" s="1" t="s">
        <v>490</v>
      </c>
      <c r="W1810" s="2"/>
      <c r="X1810" s="2"/>
    </row>
    <row r="1811" spans="11:24" ht="15" hidden="1" customHeight="1">
      <c r="K1811" s="5">
        <v>46147</v>
      </c>
      <c r="L1811" s="8" t="s">
        <v>58</v>
      </c>
      <c r="M1811" s="9" t="str">
        <f>IF(Tabela1[[#This Row],[Motorista]]="","",IFERROR(_xlfn.XLOOKUP(Tabela1[[#This Row],[Motorista]],Base!A:A,Base!B:B),""))</f>
        <v xml:space="preserve">CIF </v>
      </c>
      <c r="N1811" s="20" t="str">
        <f t="shared" si="93"/>
        <v>Finalizado</v>
      </c>
      <c r="O18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1811" s="4">
        <v>0.49791666666666667</v>
      </c>
      <c r="Q1811" s="4">
        <v>0.55069444444444449</v>
      </c>
      <c r="R1811" s="23">
        <v>0.59513888888888888</v>
      </c>
      <c r="S1811" s="94" t="s">
        <v>254</v>
      </c>
      <c r="T1811" s="1"/>
      <c r="U1811" s="15">
        <f>IF(OR('Controle de CT'!$R1811= "", 'Controle de CT'!$P1811= ""), "", 'Controle de CT'!$R1811-'Controle de CT'!$P1811)</f>
        <v>9.722222222222221E-2</v>
      </c>
      <c r="V1811" s="1"/>
      <c r="W1811" s="2"/>
      <c r="X1811" s="2"/>
    </row>
    <row r="1812" spans="11:24" ht="15" hidden="1" customHeight="1">
      <c r="K1812" s="5">
        <v>46147</v>
      </c>
      <c r="L1812" s="8" t="s">
        <v>57</v>
      </c>
      <c r="M1812" s="9" t="str">
        <f>IF(Tabela1[[#This Row],[Motorista]]="","",IFERROR(_xlfn.XLOOKUP(Tabela1[[#This Row],[Motorista]],Base!A:A,Base!B:B),""))</f>
        <v>CIF</v>
      </c>
      <c r="N1812" s="20" t="str">
        <f t="shared" si="93"/>
        <v>Finalizado</v>
      </c>
      <c r="O18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12" s="4">
        <v>0.47916666666666669</v>
      </c>
      <c r="Q1812" s="4">
        <v>0.52986111111111112</v>
      </c>
      <c r="R1812" s="23">
        <v>0.58263888888888893</v>
      </c>
      <c r="S1812" s="94" t="s">
        <v>254</v>
      </c>
      <c r="T1812" s="1"/>
      <c r="U1812" s="15">
        <f>IF(OR('Controle de CT'!$R1812= "", 'Controle de CT'!$P1812= ""), "", 'Controle de CT'!$R1812-'Controle de CT'!$P1812)</f>
        <v>0.10347222222222224</v>
      </c>
      <c r="V1812" s="1"/>
      <c r="W1812" s="2"/>
      <c r="X1812" s="2"/>
    </row>
    <row r="1813" spans="11:24" ht="15" hidden="1" customHeight="1">
      <c r="K1813" s="5">
        <v>46147</v>
      </c>
      <c r="L1813" s="8" t="s">
        <v>49</v>
      </c>
      <c r="M1813" s="9" t="str">
        <f>IF(Tabela1[[#This Row],[Motorista]]="","",IFERROR(_xlfn.XLOOKUP(Tabela1[[#This Row],[Motorista]],Base!A:A,Base!B:B),""))</f>
        <v>CIF</v>
      </c>
      <c r="N1813" s="20" t="str">
        <f t="shared" si="93"/>
        <v>Finalizado</v>
      </c>
      <c r="O18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13" s="4">
        <v>0.61875000000000002</v>
      </c>
      <c r="Q1813" s="4">
        <v>0.63124999999999998</v>
      </c>
      <c r="R1813" s="23">
        <v>0.65902777777777777</v>
      </c>
      <c r="S1813" s="94" t="s">
        <v>254</v>
      </c>
      <c r="T1813" s="1"/>
      <c r="U1813" s="15">
        <f>IF(OR('Controle de CT'!$R1813= "", 'Controle de CT'!$P1813= ""), "", 'Controle de CT'!$R1813-'Controle de CT'!$P1813)</f>
        <v>4.0277777777777746E-2</v>
      </c>
      <c r="V1813" s="1"/>
      <c r="W1813" s="2"/>
      <c r="X1813" s="2"/>
    </row>
    <row r="1814" spans="11:24" ht="15" hidden="1" customHeight="1">
      <c r="K1814" s="5">
        <v>46147</v>
      </c>
      <c r="L1814" s="8" t="s">
        <v>487</v>
      </c>
      <c r="M1814" s="9" t="str">
        <f>IF(Tabela1[[#This Row],[Motorista]]="","",IFERROR(_xlfn.XLOOKUP(Tabela1[[#This Row],[Motorista]],Base!A:A,Base!B:B),""))</f>
        <v/>
      </c>
      <c r="N1814" s="20" t="str">
        <f t="shared" ref="N1814:N1820" si="94">IF(R1814&lt;&gt;"","Finalizado", IF(Q1814&lt;&gt;"","Fila de Carregamento", IF(P1814&lt;&gt;"","Aguardando Entrada","")))</f>
        <v>Finalizado</v>
      </c>
      <c r="O18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14" s="4">
        <v>0.625</v>
      </c>
      <c r="Q1814" s="4">
        <v>0.64583333333333337</v>
      </c>
      <c r="R1814" s="23">
        <v>0.69930555555555551</v>
      </c>
      <c r="S1814" s="94" t="s">
        <v>254</v>
      </c>
      <c r="T1814" s="14">
        <f>IF(OR(Tabela1[[#This Row],[Entrada]]="",Tabela1[[#This Row],[Saída]]=""), "", Tabela1[[#This Row],[Saída]]-Tabela1[[#This Row],[Entrada]])</f>
        <v>5.3472222222222143E-2</v>
      </c>
      <c r="U1814" s="15">
        <f>IF(OR('Controle de CT'!$R1814= "", 'Controle de CT'!$P1814= ""), "", 'Controle de CT'!$R1814-'Controle de CT'!$P1814)</f>
        <v>7.4305555555555514E-2</v>
      </c>
      <c r="V1814" s="1"/>
      <c r="W1814" s="2"/>
      <c r="X1814" s="2"/>
    </row>
    <row r="1815" spans="11:24" ht="15" hidden="1" customHeight="1">
      <c r="K1815" s="5">
        <v>46147</v>
      </c>
      <c r="L1815" s="8" t="s">
        <v>491</v>
      </c>
      <c r="M1815" s="22" t="str">
        <f>IF(Tabela1[[#This Row],[Motorista]]="","",IFERROR(_xlfn.XLOOKUP(Tabela1[[#This Row],[Motorista]],Base!A:A,Base!B:B),""))</f>
        <v>Transferência</v>
      </c>
      <c r="N1815" s="20" t="str">
        <f t="shared" si="94"/>
        <v>Finalizado</v>
      </c>
      <c r="O18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5" s="2">
        <v>0.48333333333333334</v>
      </c>
      <c r="Q1815" s="2">
        <v>0.59583333333333333</v>
      </c>
      <c r="R1815" s="16">
        <v>0.65625</v>
      </c>
      <c r="S1815" s="94" t="s">
        <v>254</v>
      </c>
      <c r="T1815" s="14">
        <f>IF(OR(Tabela1[[#This Row],[Entrada]]="",Tabela1[[#This Row],[Saída]]=""), "", Tabela1[[#This Row],[Saída]]-Tabela1[[#This Row],[Entrada]])</f>
        <v>6.0416666666666674E-2</v>
      </c>
      <c r="U1815" s="15">
        <f>IF(OR('Controle de CT'!$R1815= "", 'Controle de CT'!$P1815= ""), "", 'Controle de CT'!$R1815-'Controle de CT'!$P1815)</f>
        <v>0.17291666666666666</v>
      </c>
      <c r="V1815" s="1" t="s">
        <v>490</v>
      </c>
      <c r="W1815" s="2"/>
      <c r="X1815" s="2"/>
    </row>
    <row r="1816" spans="11:24" ht="15" hidden="1" customHeight="1">
      <c r="K1816" s="5">
        <v>46147</v>
      </c>
      <c r="L1816" s="8" t="s">
        <v>492</v>
      </c>
      <c r="M1816" s="22" t="str">
        <f>IF(Tabela1[[#This Row],[Motorista]]="","",IFERROR(_xlfn.XLOOKUP(Tabela1[[#This Row],[Motorista]],Base!A:A,Base!B:B),""))</f>
        <v/>
      </c>
      <c r="N1816" s="20" t="str">
        <f t="shared" si="94"/>
        <v>Fila de Carregamento</v>
      </c>
      <c r="O18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6" s="2">
        <v>0.64583333333333337</v>
      </c>
      <c r="Q1816" s="2">
        <v>0.61597222222222225</v>
      </c>
      <c r="R1816" s="16"/>
      <c r="S1816" s="94" t="s">
        <v>254</v>
      </c>
      <c r="T1816" s="14" t="str">
        <f>IF(OR(Tabela1[[#This Row],[Entrada]]="",Tabela1[[#This Row],[Saída]]=""), "", Tabela1[[#This Row],[Saída]]-Tabela1[[#This Row],[Entrada]])</f>
        <v/>
      </c>
      <c r="U1816" s="15" t="str">
        <f>IF(OR('Controle de CT'!$R1816= "", 'Controle de CT'!$P1816= ""), "", 'Controle de CT'!$R1816-'Controle de CT'!$P1816)</f>
        <v/>
      </c>
      <c r="V1816" s="1"/>
      <c r="W1816" s="2"/>
      <c r="X1816" s="2"/>
    </row>
    <row r="1817" spans="11:24" ht="15" hidden="1" customHeight="1">
      <c r="K1817" s="5">
        <v>46147</v>
      </c>
      <c r="L1817" s="8" t="s">
        <v>89</v>
      </c>
      <c r="M1817" s="22" t="str">
        <f>IF(Tabela1[[#This Row],[Motorista]]="","",IFERROR(_xlfn.XLOOKUP(Tabela1[[#This Row],[Motorista]],Base!A:A,Base!B:B),""))</f>
        <v>FOB</v>
      </c>
      <c r="N1817" s="20" t="str">
        <f t="shared" si="94"/>
        <v>Fila de Carregamento</v>
      </c>
      <c r="O18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17" s="2">
        <v>0.65347222222222223</v>
      </c>
      <c r="Q1817" s="2">
        <v>0.7</v>
      </c>
      <c r="R1817" s="16"/>
      <c r="S1817" s="94" t="s">
        <v>254</v>
      </c>
      <c r="T1817" s="14" t="str">
        <f>IF(OR(Tabela1[[#This Row],[Entrada]]="",Tabela1[[#This Row],[Saída]]=""), "", Tabela1[[#This Row],[Saída]]-Tabela1[[#This Row],[Entrada]])</f>
        <v/>
      </c>
      <c r="U1817" s="15" t="str">
        <f>IF(OR('Controle de CT'!$R1817= "", 'Controle de CT'!$P1817= ""), "", 'Controle de CT'!$R1817-'Controle de CT'!$P1817)</f>
        <v/>
      </c>
      <c r="V1817" s="1"/>
      <c r="W1817" s="2"/>
      <c r="X1817" s="2"/>
    </row>
    <row r="1818" spans="11:24" ht="15" hidden="1" customHeight="1">
      <c r="K1818" s="5">
        <v>46148</v>
      </c>
      <c r="L1818" s="8" t="s">
        <v>493</v>
      </c>
      <c r="M1818" s="22" t="s">
        <v>63</v>
      </c>
      <c r="N1818" s="20" t="str">
        <f t="shared" si="94"/>
        <v>Finalizado</v>
      </c>
      <c r="O18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8" s="2">
        <v>0</v>
      </c>
      <c r="Q1818" s="2">
        <v>0.45277777777777778</v>
      </c>
      <c r="R1818" s="16">
        <v>0.56666666666666665</v>
      </c>
      <c r="S1818" s="94" t="s">
        <v>254</v>
      </c>
      <c r="T1818" s="14">
        <f>IF(OR(Tabela1[[#This Row],[Entrada]]="",Tabela1[[#This Row],[Saída]]=""), "", Tabela1[[#This Row],[Saída]]-Tabela1[[#This Row],[Entrada]])</f>
        <v>0.11388888888888887</v>
      </c>
      <c r="U1818" s="15">
        <f>IF(OR('Controle de CT'!$R1818= "", 'Controle de CT'!$P1818= ""), "", 'Controle de CT'!$R1818-'Controle de CT'!$P1818)</f>
        <v>0.56666666666666665</v>
      </c>
      <c r="V1818" s="1" t="s">
        <v>494</v>
      </c>
      <c r="W1818" s="2"/>
      <c r="X1818" s="2"/>
    </row>
    <row r="1819" spans="11:24" ht="15" hidden="1" customHeight="1">
      <c r="K1819" s="5">
        <v>46148</v>
      </c>
      <c r="L1819" t="s">
        <v>96</v>
      </c>
      <c r="M1819" s="9" t="str">
        <f>IF(Tabela1[[#This Row],[Motorista]]="","",IFERROR(_xlfn.XLOOKUP(Tabela1[[#This Row],[Motorista]],Base!A:A,Base!B:B),""))</f>
        <v>Transferência</v>
      </c>
      <c r="N1819" s="20" t="str">
        <f>IF(R1819&lt;&gt;"","Finalizado", IF(Q1819&lt;&gt;"","Fila de Carregamento", IF(P1819&lt;&gt;"","Aguardando Entrada","")))</f>
        <v>Finalizado</v>
      </c>
      <c r="O18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19" s="4">
        <v>0.60416666666666663</v>
      </c>
      <c r="Q1819" s="4">
        <v>0.62430555555555556</v>
      </c>
      <c r="R1819" s="23">
        <v>0.74305555555555558</v>
      </c>
      <c r="S1819" s="94" t="s">
        <v>254</v>
      </c>
      <c r="T1819" s="14">
        <f>IF(OR(Tabela1[[#This Row],[Entrada]]="",Tabela1[[#This Row],[Saída]]=""), "", Tabela1[[#This Row],[Saída]]-Tabela1[[#This Row],[Entrada]])</f>
        <v>0.11875000000000002</v>
      </c>
      <c r="U1819" s="15">
        <f>IF(OR('Controle de CT'!$R1819= "", 'Controle de CT'!$P1819= ""), "", 'Controle de CT'!$R1819-'Controle de CT'!$P1819)</f>
        <v>0.13888888888888895</v>
      </c>
      <c r="V1819" s="1"/>
      <c r="W1819" s="2"/>
      <c r="X1819" s="2"/>
    </row>
    <row r="1820" spans="11:24" ht="15" hidden="1" customHeight="1">
      <c r="K1820" s="5">
        <v>46148</v>
      </c>
      <c r="L1820" s="8" t="s">
        <v>483</v>
      </c>
      <c r="M1820" s="22" t="s">
        <v>62</v>
      </c>
      <c r="N1820" s="20" t="str">
        <f t="shared" si="94"/>
        <v>Finalizado</v>
      </c>
      <c r="O18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0" s="2">
        <v>0.24166666666666667</v>
      </c>
      <c r="Q1820" s="2">
        <v>0.27916666666666667</v>
      </c>
      <c r="R1820" s="16">
        <v>0.31597222222222221</v>
      </c>
      <c r="S1820" s="94" t="s">
        <v>254</v>
      </c>
      <c r="T1820" s="14">
        <f>IF(OR(Tabela1[[#This Row],[Entrada]]="",Tabela1[[#This Row],[Saída]]=""), "", Tabela1[[#This Row],[Saída]]-Tabela1[[#This Row],[Entrada]])</f>
        <v>3.6805555555555536E-2</v>
      </c>
      <c r="U1820" s="15">
        <f>IF(OR('Controle de CT'!$R1820= "", 'Controle de CT'!$P1820= ""), "", 'Controle de CT'!$R1820-'Controle de CT'!$P1820)</f>
        <v>7.4305555555555541E-2</v>
      </c>
      <c r="V1820" s="1"/>
      <c r="W1820" s="2"/>
      <c r="X1820" s="2"/>
    </row>
    <row r="1821" spans="11:24" ht="15" hidden="1" customHeight="1">
      <c r="K1821" s="5">
        <v>46148</v>
      </c>
      <c r="L1821" s="8" t="s">
        <v>116</v>
      </c>
      <c r="M1821" s="9" t="str">
        <f>IF(Tabela1[[#This Row],[Motorista]]="","",IFERROR(_xlfn.XLOOKUP(Tabela1[[#This Row],[Motorista]],Base!A:A,Base!B:B),""))</f>
        <v xml:space="preserve">CIF </v>
      </c>
      <c r="N1821" s="20" t="str">
        <f t="shared" ref="N1821:N1842" si="95">IF(R1821&lt;&gt;"","Finalizado", IF(Q1821&lt;&gt;"","Fila de Carregamento", IF(P1821&lt;&gt;"","Aguardando Entrada","")))</f>
        <v>Finalizado</v>
      </c>
      <c r="O18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1" s="4">
        <v>0.25</v>
      </c>
      <c r="Q1821" s="4">
        <v>0.26458333333333334</v>
      </c>
      <c r="R1821" s="23">
        <v>0.37152777777777779</v>
      </c>
      <c r="S1821" s="94" t="s">
        <v>254</v>
      </c>
      <c r="T1821" s="1"/>
      <c r="U1821" s="15">
        <f>IF(OR('Controle de CT'!$R1821= "", 'Controle de CT'!$P1821= ""), "", 'Controle de CT'!$R1821-'Controle de CT'!$P1821)</f>
        <v>0.12152777777777779</v>
      </c>
      <c r="V1821" s="1" t="s">
        <v>226</v>
      </c>
      <c r="W1821" s="2"/>
      <c r="X1821" s="2"/>
    </row>
    <row r="1822" spans="11:24" ht="15" hidden="1" customHeight="1">
      <c r="K1822" s="5">
        <v>46148</v>
      </c>
      <c r="L1822" t="s">
        <v>52</v>
      </c>
      <c r="M1822" s="24" t="s">
        <v>62</v>
      </c>
      <c r="N1822" s="20" t="str">
        <f t="shared" si="95"/>
        <v>Finalizado</v>
      </c>
      <c r="O18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22" s="4">
        <v>0.25069444444444444</v>
      </c>
      <c r="Q1822" s="4">
        <v>0.28333333333333333</v>
      </c>
      <c r="R1822" s="23">
        <v>0.39583333333333331</v>
      </c>
      <c r="S1822" s="94" t="s">
        <v>254</v>
      </c>
      <c r="T1822" s="1"/>
      <c r="U1822" s="15">
        <f>IF(OR('Controle de CT'!$R1822= "", 'Controle de CT'!$P1822= ""), "", 'Controle de CT'!$R1822-'Controle de CT'!$P1822)</f>
        <v>0.14513888888888887</v>
      </c>
      <c r="V1822" s="1" t="s">
        <v>226</v>
      </c>
      <c r="W1822" s="2"/>
      <c r="X1822" s="2"/>
    </row>
    <row r="1823" spans="11:24" ht="15" hidden="1" customHeight="1">
      <c r="K1823" s="5">
        <v>46148</v>
      </c>
      <c r="L1823" t="s">
        <v>48</v>
      </c>
      <c r="M1823" s="24" t="s">
        <v>62</v>
      </c>
      <c r="N1823" s="20" t="str">
        <f t="shared" si="95"/>
        <v>Finalizado</v>
      </c>
      <c r="O18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23" s="4">
        <v>0.26041666666666669</v>
      </c>
      <c r="Q1823" s="4">
        <v>0.28472222222222221</v>
      </c>
      <c r="R1823" s="23">
        <v>0.36319444444444443</v>
      </c>
      <c r="S1823" s="94" t="s">
        <v>254</v>
      </c>
      <c r="T1823" s="1"/>
      <c r="U1823" s="15">
        <f>IF(OR('Controle de CT'!$R1823= "", 'Controle de CT'!$P1823= ""), "", 'Controle de CT'!$R1823-'Controle de CT'!$P1823)</f>
        <v>0.10277777777777775</v>
      </c>
      <c r="V1823" s="1" t="s">
        <v>226</v>
      </c>
      <c r="W1823" s="2"/>
      <c r="X1823" s="2"/>
    </row>
    <row r="1824" spans="11:24" ht="15" hidden="1" customHeight="1">
      <c r="K1824" s="5">
        <v>46148</v>
      </c>
      <c r="L1824" t="s">
        <v>57</v>
      </c>
      <c r="M1824" s="24" t="s">
        <v>62</v>
      </c>
      <c r="N1824" s="20" t="str">
        <f t="shared" si="95"/>
        <v>Finalizado</v>
      </c>
      <c r="O18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24" s="4">
        <v>0.26111111111111113</v>
      </c>
      <c r="Q1824" s="4">
        <v>0.2951388888888889</v>
      </c>
      <c r="R1824" s="23">
        <v>0.41666666666666669</v>
      </c>
      <c r="S1824" s="94" t="s">
        <v>254</v>
      </c>
      <c r="T1824" s="1"/>
      <c r="U1824" s="15">
        <f>IF(OR('Controle de CT'!$R1824= "", 'Controle de CT'!$P1824= ""), "", 'Controle de CT'!$R1824-'Controle de CT'!$P1824)</f>
        <v>0.15555555555555556</v>
      </c>
      <c r="V1824" s="1" t="s">
        <v>226</v>
      </c>
      <c r="W1824" s="2"/>
      <c r="X1824" s="2"/>
    </row>
    <row r="1825" spans="11:24" ht="15" hidden="1" customHeight="1">
      <c r="K1825" s="5">
        <v>46148</v>
      </c>
      <c r="L1825" s="8" t="s">
        <v>49</v>
      </c>
      <c r="M1825" s="9" t="str">
        <f>IF(Tabela1[[#This Row],[Motorista]]="","",IFERROR(_xlfn.XLOOKUP(Tabela1[[#This Row],[Motorista]],Base!A:A,Base!B:B),""))</f>
        <v>CIF</v>
      </c>
      <c r="N1825" s="20" t="str">
        <f t="shared" si="95"/>
        <v>Finalizado</v>
      </c>
      <c r="O18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5" s="4">
        <v>0.26319444444444445</v>
      </c>
      <c r="Q1825" s="4">
        <v>0.42291666666666666</v>
      </c>
      <c r="R1825" s="23">
        <v>0.4861111111111111</v>
      </c>
      <c r="S1825" s="94" t="s">
        <v>254</v>
      </c>
      <c r="T1825" s="1"/>
      <c r="U1825" s="15">
        <f>IF(OR('Controle de CT'!$R1825= "", 'Controle de CT'!$P1825= ""), "", 'Controle de CT'!$R1825-'Controle de CT'!$P1825)</f>
        <v>0.22291666666666665</v>
      </c>
      <c r="V1825" s="1" t="s">
        <v>495</v>
      </c>
      <c r="W1825" s="2"/>
      <c r="X1825" s="2"/>
    </row>
    <row r="1826" spans="11:24" ht="15" hidden="1" customHeight="1">
      <c r="K1826" s="5">
        <v>46148</v>
      </c>
      <c r="L1826" s="8" t="s">
        <v>496</v>
      </c>
      <c r="M1826" s="9" t="s">
        <v>62</v>
      </c>
      <c r="N1826" s="20" t="str">
        <f t="shared" si="95"/>
        <v>Finalizado</v>
      </c>
      <c r="O18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6" s="4">
        <v>0.26319444444444445</v>
      </c>
      <c r="Q1826" s="4">
        <v>0.38333333333333336</v>
      </c>
      <c r="R1826" s="23">
        <v>0.51249999999999996</v>
      </c>
      <c r="S1826" s="94" t="s">
        <v>254</v>
      </c>
      <c r="T1826" s="1"/>
      <c r="U1826" s="15">
        <f>IF(OR('Controle de CT'!$R1826= "", 'Controle de CT'!$P1826= ""), "", 'Controle de CT'!$R1826-'Controle de CT'!$P1826)</f>
        <v>0.2493055555555555</v>
      </c>
      <c r="V1826" s="1" t="s">
        <v>226</v>
      </c>
      <c r="W1826" s="2"/>
      <c r="X1826" s="2"/>
    </row>
    <row r="1827" spans="11:24" ht="15" hidden="1" customHeight="1">
      <c r="K1827" s="5">
        <v>46148</v>
      </c>
      <c r="L1827" s="8" t="s">
        <v>473</v>
      </c>
      <c r="M1827" s="9" t="s">
        <v>63</v>
      </c>
      <c r="N1827" s="20" t="str">
        <f t="shared" si="95"/>
        <v>Finalizado</v>
      </c>
      <c r="O18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27" s="4">
        <v>0.28333333333333333</v>
      </c>
      <c r="Q1827" s="4">
        <v>0.41249999999999998</v>
      </c>
      <c r="R1827" s="23">
        <v>0.44722222222222224</v>
      </c>
      <c r="S1827" s="94" t="s">
        <v>254</v>
      </c>
      <c r="T1827" s="1"/>
      <c r="U1827" s="15">
        <f>IF(OR('Controle de CT'!$R1827= "", 'Controle de CT'!$P1827= ""), "", 'Controle de CT'!$R1827-'Controle de CT'!$P1827)</f>
        <v>0.16388888888888892</v>
      </c>
      <c r="V1827" s="1" t="s">
        <v>170</v>
      </c>
      <c r="W1827" s="2"/>
      <c r="X1827" s="2"/>
    </row>
    <row r="1828" spans="11:24" ht="15" hidden="1" customHeight="1">
      <c r="K1828" s="5">
        <v>46148</v>
      </c>
      <c r="L1828" t="s">
        <v>375</v>
      </c>
      <c r="M1828" s="24" t="s">
        <v>63</v>
      </c>
      <c r="N1828" s="20" t="str">
        <f t="shared" si="95"/>
        <v>Finalizado</v>
      </c>
      <c r="O18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28" s="4">
        <v>0.27291666666666664</v>
      </c>
      <c r="Q1828" s="4">
        <v>0.31805555555555554</v>
      </c>
      <c r="R1828" s="23">
        <v>0.46250000000000002</v>
      </c>
      <c r="S1828" s="94" t="s">
        <v>254</v>
      </c>
      <c r="T1828" s="1"/>
      <c r="U1828" s="15">
        <f>IF(OR('Controle de CT'!$R1828= "", 'Controle de CT'!$P1828= ""), "", 'Controle de CT'!$R1828-'Controle de CT'!$P1828)</f>
        <v>0.18958333333333338</v>
      </c>
      <c r="V1828" s="1" t="s">
        <v>226</v>
      </c>
      <c r="W1828" s="2"/>
      <c r="X1828" s="2"/>
    </row>
    <row r="1829" spans="11:24" ht="15" hidden="1" customHeight="1">
      <c r="K1829" s="5">
        <v>46148</v>
      </c>
      <c r="L1829" s="8" t="s">
        <v>497</v>
      </c>
      <c r="M1829" s="9" t="s">
        <v>63</v>
      </c>
      <c r="N1829" s="20" t="str">
        <f t="shared" si="95"/>
        <v>Finalizado</v>
      </c>
      <c r="O18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29" s="4">
        <v>0.30138888888888887</v>
      </c>
      <c r="Q1829" s="4">
        <v>0.37986111111111109</v>
      </c>
      <c r="R1829" s="23">
        <v>0.48333333333333334</v>
      </c>
      <c r="S1829" s="94" t="s">
        <v>254</v>
      </c>
      <c r="T1829" s="1"/>
      <c r="U1829" s="15">
        <f>IF(OR('Controle de CT'!$R1829= "", 'Controle de CT'!$P1829= ""), "", 'Controle de CT'!$R1829-'Controle de CT'!$P1829)</f>
        <v>0.18194444444444446</v>
      </c>
      <c r="V1829" s="1" t="s">
        <v>226</v>
      </c>
      <c r="W1829" s="2"/>
      <c r="X1829" s="2"/>
    </row>
    <row r="1830" spans="11:24" ht="15" hidden="1" customHeight="1">
      <c r="K1830" s="5">
        <v>46148</v>
      </c>
      <c r="L1830" s="8" t="s">
        <v>498</v>
      </c>
      <c r="M1830" s="9" t="s">
        <v>63</v>
      </c>
      <c r="N1830" s="20" t="str">
        <f>IF(R1830&lt;&gt;"","Finalizado", IF(Q1830&lt;&gt;"","Fila de Carregamento", IF(P1830&lt;&gt;"","Aguardando Entrada","")))</f>
        <v>Finalizado</v>
      </c>
      <c r="O18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0" s="4">
        <v>0.32500000000000001</v>
      </c>
      <c r="Q1830" s="4">
        <v>0.43333333333333335</v>
      </c>
      <c r="R1830" s="23">
        <v>0.52500000000000002</v>
      </c>
      <c r="S1830" s="94" t="s">
        <v>254</v>
      </c>
      <c r="T1830" s="14">
        <f>IF(OR(Tabela1[[#This Row],[Entrada]]="",Tabela1[[#This Row],[Saída]]=""), "", Tabela1[[#This Row],[Saída]]-Tabela1[[#This Row],[Entrada]])</f>
        <v>9.1666666666666674E-2</v>
      </c>
      <c r="U1830" s="15">
        <f>IF(OR('Controle de CT'!$R1830= "", 'Controle de CT'!$P1830= ""), "", 'Controle de CT'!$R1830-'Controle de CT'!$P1830)</f>
        <v>0.2</v>
      </c>
      <c r="V1830" s="1" t="s">
        <v>170</v>
      </c>
      <c r="W1830" s="2"/>
      <c r="X1830" s="2"/>
    </row>
    <row r="1831" spans="11:24" ht="15" hidden="1" customHeight="1">
      <c r="K1831" s="5">
        <v>46148</v>
      </c>
      <c r="L1831" s="8" t="s">
        <v>487</v>
      </c>
      <c r="M1831" s="9" t="s">
        <v>62</v>
      </c>
      <c r="N1831" s="20" t="str">
        <f t="shared" si="95"/>
        <v>Finalizado</v>
      </c>
      <c r="O18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1" s="4">
        <v>0.32777777777777778</v>
      </c>
      <c r="Q1831" s="4">
        <v>0.52638888888888891</v>
      </c>
      <c r="R1831" s="23">
        <v>0.58333333333333337</v>
      </c>
      <c r="S1831" s="94" t="s">
        <v>254</v>
      </c>
      <c r="T1831" s="1"/>
      <c r="U1831" s="15">
        <f>IF(OR('Controle de CT'!$R1831= "", 'Controle de CT'!$P1831= ""), "", 'Controle de CT'!$R1831-'Controle de CT'!$P1831)</f>
        <v>0.25555555555555559</v>
      </c>
      <c r="V1831" s="1" t="s">
        <v>339</v>
      </c>
      <c r="W1831" s="2"/>
      <c r="X1831" s="2"/>
    </row>
    <row r="1832" spans="11:24" ht="15" hidden="1" customHeight="1">
      <c r="K1832" s="5">
        <v>46148</v>
      </c>
      <c r="L1832" s="8" t="s">
        <v>296</v>
      </c>
      <c r="M1832" s="9" t="s">
        <v>63</v>
      </c>
      <c r="N1832" s="20" t="str">
        <f t="shared" si="95"/>
        <v>Finalizado</v>
      </c>
      <c r="O18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2" s="4">
        <v>0.34513888888888888</v>
      </c>
      <c r="Q1832" s="4">
        <v>0.39166666666666666</v>
      </c>
      <c r="R1832" s="23">
        <v>0.49166666666666664</v>
      </c>
      <c r="S1832" s="94" t="s">
        <v>254</v>
      </c>
      <c r="T1832" s="1"/>
      <c r="U1832" s="15">
        <f>IF(OR('Controle de CT'!$R1832= "", 'Controle de CT'!$P1832= ""), "", 'Controle de CT'!$R1832-'Controle de CT'!$P1832)</f>
        <v>0.14652777777777776</v>
      </c>
      <c r="V1832" s="1" t="s">
        <v>226</v>
      </c>
      <c r="W1832" s="2"/>
      <c r="X1832" s="2"/>
    </row>
    <row r="1833" spans="11:24" ht="15" hidden="1" customHeight="1">
      <c r="K1833" s="5">
        <v>46148</v>
      </c>
      <c r="L1833" t="s">
        <v>278</v>
      </c>
      <c r="M1833" s="24" t="s">
        <v>63</v>
      </c>
      <c r="N1833" s="20" t="str">
        <f t="shared" si="95"/>
        <v>Finalizado</v>
      </c>
      <c r="O18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33" s="4">
        <v>0.34652777777777777</v>
      </c>
      <c r="Q1833" s="4">
        <v>0.41736111111111113</v>
      </c>
      <c r="R1833" s="23">
        <v>0.47430555555555554</v>
      </c>
      <c r="S1833" s="94" t="s">
        <v>254</v>
      </c>
      <c r="T1833" s="1"/>
      <c r="U1833" s="15">
        <f>IF(OR('Controle de CT'!$R1833= "", 'Controle de CT'!$P1833= ""), "", 'Controle de CT'!$R1833-'Controle de CT'!$P1833)</f>
        <v>0.12777777777777777</v>
      </c>
      <c r="V1833" s="1"/>
      <c r="W1833" s="2"/>
      <c r="X1833" s="2"/>
    </row>
    <row r="1834" spans="11:24" ht="15" hidden="1" customHeight="1">
      <c r="K1834" s="5">
        <v>46148</v>
      </c>
      <c r="L1834" s="8" t="s">
        <v>499</v>
      </c>
      <c r="M1834" s="9" t="s">
        <v>63</v>
      </c>
      <c r="N1834" s="20" t="str">
        <f t="shared" si="95"/>
        <v>Finalizado</v>
      </c>
      <c r="O18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4" s="4">
        <v>0.40555555555555556</v>
      </c>
      <c r="Q1834" s="4">
        <v>0.47499999999999998</v>
      </c>
      <c r="R1834" s="23">
        <v>0.52569444444444446</v>
      </c>
      <c r="S1834" s="94" t="s">
        <v>254</v>
      </c>
      <c r="T1834" s="1"/>
      <c r="U1834" s="15">
        <f>IF(OR('Controle de CT'!$R1834= "", 'Controle de CT'!$P1834= ""), "", 'Controle de CT'!$R1834-'Controle de CT'!$P1834)</f>
        <v>0.12013888888888891</v>
      </c>
      <c r="V1834" s="1"/>
      <c r="W1834" s="2"/>
      <c r="X1834" s="2"/>
    </row>
    <row r="1835" spans="11:24" ht="15" hidden="1" customHeight="1">
      <c r="K1835" s="5">
        <v>46148</v>
      </c>
      <c r="L1835" s="8" t="s">
        <v>500</v>
      </c>
      <c r="M1835" s="9" t="s">
        <v>63</v>
      </c>
      <c r="N1835" s="20" t="str">
        <f t="shared" si="95"/>
        <v>Finalizado</v>
      </c>
      <c r="O18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5" s="4">
        <v>0.44861111111111113</v>
      </c>
      <c r="Q1835" s="4">
        <v>0.56805555555555554</v>
      </c>
      <c r="R1835" s="23">
        <v>0.64722222222222225</v>
      </c>
      <c r="S1835" s="94" t="s">
        <v>254</v>
      </c>
      <c r="T1835" s="1"/>
      <c r="U1835" s="15">
        <f>IF(OR('Controle de CT'!$R1835= "", 'Controle de CT'!$P1835= ""), "", 'Controle de CT'!$R1835-'Controle de CT'!$P1835)</f>
        <v>0.19861111111111113</v>
      </c>
      <c r="V1835" s="1" t="s">
        <v>170</v>
      </c>
      <c r="W1835" s="2"/>
      <c r="X1835" s="2"/>
    </row>
    <row r="1836" spans="11:24" ht="15" hidden="1" customHeight="1">
      <c r="K1836" s="5">
        <v>46148</v>
      </c>
      <c r="L1836" s="8" t="s">
        <v>57</v>
      </c>
      <c r="M1836" s="9" t="str">
        <f>IF(Tabela1[[#This Row],[Motorista]]="","",IFERROR(_xlfn.XLOOKUP(Tabela1[[#This Row],[Motorista]],Base!A:A,Base!B:B),""))</f>
        <v>CIF</v>
      </c>
      <c r="N1836" s="20" t="str">
        <f t="shared" si="95"/>
        <v>Finalizado</v>
      </c>
      <c r="O18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36" s="4">
        <v>0.50208333333333333</v>
      </c>
      <c r="Q1836" s="4">
        <v>0.54583333333333328</v>
      </c>
      <c r="R1836" s="23">
        <v>0.59861111111111109</v>
      </c>
      <c r="S1836" s="94" t="s">
        <v>254</v>
      </c>
      <c r="T1836" s="1"/>
      <c r="U1836" s="15">
        <f>IF(OR('Controle de CT'!$R1836= "", 'Controle de CT'!$P1836= ""), "", 'Controle de CT'!$R1836-'Controle de CT'!$P1836)</f>
        <v>9.6527777777777768E-2</v>
      </c>
      <c r="V1836" s="1" t="s">
        <v>501</v>
      </c>
      <c r="W1836" s="2"/>
      <c r="X1836" s="2"/>
    </row>
    <row r="1837" spans="11:24" ht="15" hidden="1" customHeight="1">
      <c r="K1837" s="5">
        <v>46148</v>
      </c>
      <c r="L1837" s="8" t="s">
        <v>48</v>
      </c>
      <c r="M1837" s="9" t="str">
        <f>IF(Tabela1[[#This Row],[Motorista]]="","",IFERROR(_xlfn.XLOOKUP(Tabela1[[#This Row],[Motorista]],Base!A:A,Base!B:B),""))</f>
        <v>CIF</v>
      </c>
      <c r="N1837" s="20" t="str">
        <f t="shared" si="95"/>
        <v>Finalizado</v>
      </c>
      <c r="O18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37" s="4">
        <v>0.53819444444444442</v>
      </c>
      <c r="Q1837" s="4">
        <v>0.55625000000000002</v>
      </c>
      <c r="R1837" s="23">
        <v>0.59930555555555554</v>
      </c>
      <c r="S1837" s="94" t="s">
        <v>254</v>
      </c>
      <c r="T1837" s="1"/>
      <c r="U1837" s="15">
        <f>IF(OR('Controle de CT'!$R1837= "", 'Controle de CT'!$P1837= ""), "", 'Controle de CT'!$R1837-'Controle de CT'!$P1837)</f>
        <v>6.1111111111111116E-2</v>
      </c>
      <c r="V1837" s="1"/>
      <c r="W1837" s="2"/>
      <c r="X1837" s="2"/>
    </row>
    <row r="1838" spans="11:24" ht="15" hidden="1" customHeight="1">
      <c r="K1838" s="5">
        <v>46148</v>
      </c>
      <c r="L1838" s="8" t="s">
        <v>52</v>
      </c>
      <c r="M1838" s="9" t="str">
        <f>IF(Tabela1[[#This Row],[Motorista]]="","",IFERROR(_xlfn.XLOOKUP(Tabela1[[#This Row],[Motorista]],Base!A:A,Base!B:B),""))</f>
        <v>CIF</v>
      </c>
      <c r="N1838" s="20" t="str">
        <f t="shared" si="95"/>
        <v>Finalizado</v>
      </c>
      <c r="O18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38" s="4">
        <v>0.54652777777777772</v>
      </c>
      <c r="Q1838" s="4">
        <v>0.55625000000000002</v>
      </c>
      <c r="R1838" s="23">
        <v>0.60763888888888884</v>
      </c>
      <c r="S1838" s="94" t="s">
        <v>254</v>
      </c>
      <c r="T1838" s="1"/>
      <c r="U1838" s="15">
        <f>IF(OR('Controle de CT'!$R1838= "", 'Controle de CT'!$P1838= ""), "", 'Controle de CT'!$R1838-'Controle de CT'!$P1838)</f>
        <v>6.1111111111111116E-2</v>
      </c>
      <c r="V1838" s="1"/>
      <c r="W1838" s="2"/>
      <c r="X1838" s="2"/>
    </row>
    <row r="1839" spans="11:24" ht="15" hidden="1" customHeight="1">
      <c r="K1839" s="5">
        <v>46148</v>
      </c>
      <c r="L1839" s="8" t="s">
        <v>502</v>
      </c>
      <c r="M1839" s="9" t="s">
        <v>62</v>
      </c>
      <c r="N1839" s="20" t="str">
        <f t="shared" si="95"/>
        <v>Finalizado</v>
      </c>
      <c r="O18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39" s="4">
        <v>0.54791666666666672</v>
      </c>
      <c r="Q1839" s="4">
        <v>0.56666666666666665</v>
      </c>
      <c r="R1839" s="23">
        <v>0.62013888888888891</v>
      </c>
      <c r="S1839" s="94" t="s">
        <v>254</v>
      </c>
      <c r="T1839" s="1"/>
      <c r="U1839" s="15">
        <f>IF(OR('Controle de CT'!$R1839= "", 'Controle de CT'!$P1839= ""), "", 'Controle de CT'!$R1839-'Controle de CT'!$P1839)</f>
        <v>7.2222222222222188E-2</v>
      </c>
      <c r="V1839" s="1"/>
      <c r="W1839" s="2"/>
      <c r="X1839" s="2"/>
    </row>
    <row r="1840" spans="11:24" ht="15" hidden="1" customHeight="1">
      <c r="K1840" s="5">
        <v>46148</v>
      </c>
      <c r="L1840" s="8" t="s">
        <v>459</v>
      </c>
      <c r="M1840" s="9" t="str">
        <f>IF(Tabela1[[#This Row],[Motorista]]="","",IFERROR(_xlfn.XLOOKUP(Tabela1[[#This Row],[Motorista]],Base!A:A,Base!B:B),""))</f>
        <v/>
      </c>
      <c r="N1840" s="20" t="str">
        <f t="shared" si="95"/>
        <v>Finalizado</v>
      </c>
      <c r="O18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0" s="4">
        <v>0.52638888888888891</v>
      </c>
      <c r="Q1840" s="4">
        <v>0.59722222222222221</v>
      </c>
      <c r="R1840" s="23">
        <v>0.68472222222222223</v>
      </c>
      <c r="S1840" s="94" t="s">
        <v>254</v>
      </c>
      <c r="T1840" s="1"/>
      <c r="U1840" s="15">
        <f>IF(OR('Controle de CT'!$R1840= "", 'Controle de CT'!$P1840= ""), "", 'Controle de CT'!$R1840-'Controle de CT'!$P1840)</f>
        <v>0.15833333333333333</v>
      </c>
      <c r="V1840" s="1" t="s">
        <v>390</v>
      </c>
      <c r="W1840" s="2"/>
      <c r="X1840" s="2"/>
    </row>
    <row r="1841" spans="11:24" ht="15" hidden="1" customHeight="1">
      <c r="K1841" s="5">
        <v>46148</v>
      </c>
      <c r="L1841" s="8" t="s">
        <v>503</v>
      </c>
      <c r="M1841" s="9" t="str">
        <f>IF(Tabela1[[#This Row],[Motorista]]="","",IFERROR(_xlfn.XLOOKUP(Tabela1[[#This Row],[Motorista]],Base!A:A,Base!B:B),""))</f>
        <v/>
      </c>
      <c r="N1841" s="20" t="str">
        <f t="shared" si="95"/>
        <v>Finalizado</v>
      </c>
      <c r="O18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1" s="4">
        <v>0.5395833333333333</v>
      </c>
      <c r="Q1841" s="4">
        <v>0.63888888888888884</v>
      </c>
      <c r="R1841" s="23">
        <v>0.68055555555555558</v>
      </c>
      <c r="S1841" s="94" t="s">
        <v>254</v>
      </c>
      <c r="T1841" s="1"/>
      <c r="U1841" s="15">
        <f>IF(OR('Controle de CT'!$R1841= "", 'Controle de CT'!$P1841= ""), "", 'Controle de CT'!$R1841-'Controle de CT'!$P1841)</f>
        <v>0.14097222222222228</v>
      </c>
      <c r="V1841" s="1" t="s">
        <v>504</v>
      </c>
      <c r="W1841" s="2"/>
      <c r="X1841" s="2"/>
    </row>
    <row r="1842" spans="11:24" ht="15" hidden="1" customHeight="1">
      <c r="K1842" s="5">
        <v>46148</v>
      </c>
      <c r="L1842" s="8" t="s">
        <v>505</v>
      </c>
      <c r="M1842" s="9" t="str">
        <f>IF(Tabela1[[#This Row],[Motorista]]="","",IFERROR(_xlfn.XLOOKUP(Tabela1[[#This Row],[Motorista]],Base!A:A,Base!B:B),""))</f>
        <v/>
      </c>
      <c r="N1842" s="20" t="str">
        <f t="shared" si="95"/>
        <v>Finalizado</v>
      </c>
      <c r="O18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2" s="4">
        <v>0.58472222222222225</v>
      </c>
      <c r="Q1842" s="4">
        <v>0.59513888888888888</v>
      </c>
      <c r="R1842" s="23">
        <v>0.65902777777777777</v>
      </c>
      <c r="S1842" s="94" t="s">
        <v>254</v>
      </c>
      <c r="T1842" s="1"/>
      <c r="U1842" s="15">
        <f>IF(OR('Controle de CT'!$R1842= "", 'Controle de CT'!$P1842= ""), "", 'Controle de CT'!$R1842-'Controle de CT'!$P1842)</f>
        <v>7.4305555555555514E-2</v>
      </c>
      <c r="V1842" s="1" t="s">
        <v>226</v>
      </c>
      <c r="W1842" s="2"/>
      <c r="X1842" s="2"/>
    </row>
    <row r="1843" spans="11:24" ht="15" hidden="1" customHeight="1">
      <c r="K1843" s="5">
        <v>46148</v>
      </c>
      <c r="L1843" s="8" t="s">
        <v>506</v>
      </c>
      <c r="M1843" s="9" t="str">
        <f>IF(Tabela1[[#This Row],[Motorista]]="","",IFERROR(_xlfn.XLOOKUP(Tabela1[[#This Row],[Motorista]],Base!A:A,Base!B:B),""))</f>
        <v/>
      </c>
      <c r="N1843" s="20" t="str">
        <f t="shared" ref="N1843:N1880" si="96">IF(R1843&lt;&gt;"","Finalizado", IF(Q1843&lt;&gt;"","Fila de Carregamento", IF(P1843&lt;&gt;"","Aguardando Entrada","")))</f>
        <v>Fila de Carregamento</v>
      </c>
      <c r="O18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3" s="4">
        <v>0.61527777777777781</v>
      </c>
      <c r="Q1843" s="4">
        <v>0.63124999999999998</v>
      </c>
      <c r="R1843" s="23"/>
      <c r="S1843" s="94" t="s">
        <v>254</v>
      </c>
      <c r="T1843" s="1"/>
      <c r="U1843" s="15" t="str">
        <f>IF(OR('Controle de CT'!$R1843= "", 'Controle de CT'!$P1843= ""), "", 'Controle de CT'!$R1843-'Controle de CT'!$P1843)</f>
        <v/>
      </c>
      <c r="V1843" s="1" t="s">
        <v>226</v>
      </c>
      <c r="W1843" s="2"/>
      <c r="X1843" s="2"/>
    </row>
    <row r="1844" spans="11:24" ht="15" hidden="1" customHeight="1">
      <c r="K1844" s="5">
        <v>46148</v>
      </c>
      <c r="L1844" s="8" t="s">
        <v>497</v>
      </c>
      <c r="M1844" s="9" t="str">
        <f>IF(Tabela1[[#This Row],[Motorista]]="","",IFERROR(_xlfn.XLOOKUP(Tabela1[[#This Row],[Motorista]],Base!A:A,Base!B:B),""))</f>
        <v/>
      </c>
      <c r="N1844" s="20" t="str">
        <f t="shared" si="96"/>
        <v>Fila de Carregamento</v>
      </c>
      <c r="O18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44" s="4">
        <v>0.59861111111111109</v>
      </c>
      <c r="Q1844" s="4">
        <v>0.64166666666666672</v>
      </c>
      <c r="R1844" s="23"/>
      <c r="S1844" s="94" t="s">
        <v>254</v>
      </c>
      <c r="T1844" s="1"/>
      <c r="U1844" s="15" t="str">
        <f>IF(OR('Controle de CT'!$R1844= "", 'Controle de CT'!$P1844= ""), "", 'Controle de CT'!$R1844-'Controle de CT'!$P1844)</f>
        <v/>
      </c>
      <c r="V1844" s="1" t="s">
        <v>226</v>
      </c>
      <c r="W1844" s="2"/>
      <c r="X1844" s="2"/>
    </row>
    <row r="1845" spans="11:24" ht="15" hidden="1" customHeight="1">
      <c r="K1845" s="5">
        <v>46148</v>
      </c>
      <c r="L1845" s="8" t="s">
        <v>278</v>
      </c>
      <c r="M1845" s="9" t="str">
        <f>IF(Tabela1[[#This Row],[Motorista]]="","",IFERROR(_xlfn.XLOOKUP(Tabela1[[#This Row],[Motorista]],Base!A:A,Base!B:B),""))</f>
        <v>FOB</v>
      </c>
      <c r="N1845" s="20" t="str">
        <f t="shared" si="96"/>
        <v>Finalizado</v>
      </c>
      <c r="O18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45" s="4">
        <v>0.60277777777777775</v>
      </c>
      <c r="Q1845" s="4">
        <v>0.63541666666666663</v>
      </c>
      <c r="R1845" s="23">
        <v>0.68680555555555556</v>
      </c>
      <c r="S1845" s="94" t="s">
        <v>254</v>
      </c>
      <c r="T1845" s="1"/>
      <c r="U1845" s="15">
        <f>IF(OR('Controle de CT'!$R1845= "", 'Controle de CT'!$P1845= ""), "", 'Controle de CT'!$R1845-'Controle de CT'!$P1845)</f>
        <v>8.4027777777777812E-2</v>
      </c>
      <c r="V1845" s="1"/>
      <c r="W1845" s="2"/>
      <c r="X1845" s="2"/>
    </row>
    <row r="1846" spans="11:24" ht="15" hidden="1" customHeight="1">
      <c r="K1846" s="5">
        <v>46148</v>
      </c>
      <c r="L1846" s="8" t="s">
        <v>375</v>
      </c>
      <c r="M1846" s="9" t="str">
        <f>IF(Tabela1[[#This Row],[Motorista]]="","",IFERROR(_xlfn.XLOOKUP(Tabela1[[#This Row],[Motorista]],Base!A:A,Base!B:B),""))</f>
        <v>FOB</v>
      </c>
      <c r="N1846" s="20" t="str">
        <f t="shared" si="96"/>
        <v>Finalizado</v>
      </c>
      <c r="O18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46" s="4">
        <v>0.63124999999999998</v>
      </c>
      <c r="Q1846" s="4">
        <v>0.63472222222222219</v>
      </c>
      <c r="R1846" s="23">
        <v>0.68333333333333335</v>
      </c>
      <c r="S1846" s="94" t="s">
        <v>254</v>
      </c>
      <c r="T1846" s="1"/>
      <c r="U1846" s="15">
        <f>IF(OR('Controle de CT'!$R1846= "", 'Controle de CT'!$P1846= ""), "", 'Controle de CT'!$R1846-'Controle de CT'!$P1846)</f>
        <v>5.208333333333337E-2</v>
      </c>
      <c r="V1846" s="1"/>
      <c r="W1846" s="2"/>
      <c r="X1846" s="2"/>
    </row>
    <row r="1847" spans="11:24" ht="15" hidden="1" customHeight="1">
      <c r="K1847" s="5">
        <v>46148</v>
      </c>
      <c r="L1847" s="8" t="s">
        <v>507</v>
      </c>
      <c r="M1847" s="9" t="str">
        <f>IF(Tabela1[[#This Row],[Motorista]]="","",IFERROR(_xlfn.XLOOKUP(Tabela1[[#This Row],[Motorista]],Base!A:A,Base!B:B),""))</f>
        <v/>
      </c>
      <c r="N1847" s="20" t="str">
        <f t="shared" si="96"/>
        <v>Aguardando Entrada</v>
      </c>
      <c r="O18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7" s="4">
        <v>0.75</v>
      </c>
      <c r="Q1847" s="4"/>
      <c r="R1847" s="23"/>
      <c r="S1847" s="94" t="s">
        <v>254</v>
      </c>
      <c r="T1847" s="1"/>
      <c r="U1847" s="15" t="str">
        <f>IF(OR('Controle de CT'!$R1847= "", 'Controle de CT'!$P1847= ""), "", 'Controle de CT'!$R1847-'Controle de CT'!$P1847)</f>
        <v/>
      </c>
      <c r="V1847" s="1" t="s">
        <v>226</v>
      </c>
      <c r="W1847" s="2"/>
      <c r="X1847" s="2"/>
    </row>
    <row r="1848" spans="11:24" ht="15" hidden="1" customHeight="1">
      <c r="K1848" s="5">
        <v>46149</v>
      </c>
      <c r="L1848" s="8" t="s">
        <v>116</v>
      </c>
      <c r="M1848" s="9" t="str">
        <f>IF(Tabela1[[#This Row],[Motorista]]="","",IFERROR(_xlfn.XLOOKUP(Tabela1[[#This Row],[Motorista]],Base!A:A,Base!B:B),""))</f>
        <v xml:space="preserve">CIF </v>
      </c>
      <c r="N1848" s="20" t="str">
        <f t="shared" si="96"/>
        <v>Finalizado</v>
      </c>
      <c r="O18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48" s="4">
        <v>0.2013888888888889</v>
      </c>
      <c r="Q1848" s="4" t="s">
        <v>508</v>
      </c>
      <c r="R1848" s="23">
        <v>0.3</v>
      </c>
      <c r="S1848" s="94" t="s">
        <v>254</v>
      </c>
      <c r="T1848" s="1"/>
      <c r="U1848" s="15">
        <f>IF(OR('Controle de CT'!$R1848= "", 'Controle de CT'!$P1848= ""), "", 'Controle de CT'!$R1848-'Controle de CT'!$P1848)</f>
        <v>9.8611111111111094E-2</v>
      </c>
      <c r="V1848" s="1"/>
      <c r="W1848" s="2"/>
      <c r="X1848" s="2"/>
    </row>
    <row r="1849" spans="11:24" ht="15" hidden="1" customHeight="1">
      <c r="K1849" s="5">
        <v>46149</v>
      </c>
      <c r="L1849" s="8" t="s">
        <v>509</v>
      </c>
      <c r="M1849" s="9" t="s">
        <v>63</v>
      </c>
      <c r="N1849" s="20" t="str">
        <f t="shared" si="96"/>
        <v>Finalizado</v>
      </c>
      <c r="O18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49" s="4">
        <v>0.22430555555555556</v>
      </c>
      <c r="Q1849" s="4">
        <v>0.32916666666666666</v>
      </c>
      <c r="R1849" s="23">
        <v>0.39444444444444443</v>
      </c>
      <c r="S1849" s="94" t="s">
        <v>254</v>
      </c>
      <c r="T1849" s="1"/>
      <c r="U1849" s="15">
        <f>IF(OR('Controle de CT'!$R1849= "", 'Controle de CT'!$P1849= ""), "", 'Controle de CT'!$R1849-'Controle de CT'!$P1849)</f>
        <v>0.17013888888888887</v>
      </c>
      <c r="V1849" s="1"/>
      <c r="W1849" s="2"/>
      <c r="X1849" s="2"/>
    </row>
    <row r="1850" spans="11:24" ht="15" hidden="1" customHeight="1">
      <c r="K1850" s="5">
        <v>46149</v>
      </c>
      <c r="L1850" t="s">
        <v>52</v>
      </c>
      <c r="M1850" s="24" t="s">
        <v>62</v>
      </c>
      <c r="N1850" s="20" t="str">
        <f t="shared" si="96"/>
        <v>Finalizado</v>
      </c>
      <c r="O18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0" s="4">
        <v>0.25277777777777777</v>
      </c>
      <c r="Q1850" s="4">
        <v>0.33680555555555558</v>
      </c>
      <c r="R1850" s="23">
        <v>0.41458333333333336</v>
      </c>
      <c r="S1850" s="94" t="s">
        <v>254</v>
      </c>
      <c r="T1850" s="1"/>
      <c r="U1850" s="15">
        <f>IF(OR('Controle de CT'!$R1850= "", 'Controle de CT'!$P1850= ""), "", 'Controle de CT'!$R1850-'Controle de CT'!$P1850)</f>
        <v>0.16180555555555559</v>
      </c>
      <c r="V1850" s="1" t="s">
        <v>510</v>
      </c>
      <c r="W1850" s="2"/>
      <c r="X1850" s="2"/>
    </row>
    <row r="1851" spans="11:24" ht="15" hidden="1" customHeight="1">
      <c r="K1851" s="5">
        <v>46149</v>
      </c>
      <c r="L1851" t="s">
        <v>57</v>
      </c>
      <c r="M1851" s="24" t="s">
        <v>62</v>
      </c>
      <c r="N1851" s="20" t="str">
        <f t="shared" si="96"/>
        <v>Finalizado</v>
      </c>
      <c r="O18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1" s="4">
        <v>0.25624999999999998</v>
      </c>
      <c r="Q1851" s="4">
        <v>0.32361111111111113</v>
      </c>
      <c r="R1851" s="23">
        <v>0.47083333333333333</v>
      </c>
      <c r="S1851" s="94" t="s">
        <v>254</v>
      </c>
      <c r="T1851" s="1"/>
      <c r="U1851" s="15">
        <f>IF(OR('Controle de CT'!$R1851= "", 'Controle de CT'!$P1851= ""), "", 'Controle de CT'!$R1851-'Controle de CT'!$P1851)</f>
        <v>0.21458333333333335</v>
      </c>
      <c r="V1851" s="1" t="s">
        <v>511</v>
      </c>
      <c r="W1851" s="2"/>
      <c r="X1851" s="2"/>
    </row>
    <row r="1852" spans="11:24" ht="15" hidden="1" customHeight="1">
      <c r="K1852" s="5">
        <v>46149</v>
      </c>
      <c r="L1852" s="8" t="s">
        <v>49</v>
      </c>
      <c r="M1852" s="9" t="str">
        <f>IF(Tabela1[[#This Row],[Motorista]]="","",IFERROR(_xlfn.XLOOKUP(Tabela1[[#This Row],[Motorista]],Base!A:A,Base!B:B),""))</f>
        <v>CIF</v>
      </c>
      <c r="N1852" s="20" t="str">
        <f t="shared" si="96"/>
        <v>Finalizado</v>
      </c>
      <c r="O18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2" s="4">
        <v>0.25763888888888886</v>
      </c>
      <c r="Q1852" s="4">
        <v>0.3347222222222222</v>
      </c>
      <c r="R1852" s="23">
        <v>0.48125000000000001</v>
      </c>
      <c r="S1852" s="94" t="s">
        <v>254</v>
      </c>
      <c r="T1852" s="1"/>
      <c r="U1852" s="15">
        <f>IF(OR('Controle de CT'!$R1852= "", 'Controle de CT'!$P1852= ""), "", 'Controle de CT'!$R1852-'Controle de CT'!$P1852)</f>
        <v>0.22361111111111115</v>
      </c>
      <c r="V1852" s="1" t="s">
        <v>511</v>
      </c>
      <c r="W1852" s="2"/>
      <c r="X1852" s="2"/>
    </row>
    <row r="1853" spans="11:24" ht="15" hidden="1" customHeight="1">
      <c r="K1853" s="5">
        <v>46149</v>
      </c>
      <c r="L1853" t="s">
        <v>58</v>
      </c>
      <c r="M1853" s="24" t="s">
        <v>321</v>
      </c>
      <c r="N1853" s="20" t="str">
        <f t="shared" si="96"/>
        <v>Finalizado</v>
      </c>
      <c r="O18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53" s="4">
        <v>0.26041666666666669</v>
      </c>
      <c r="Q1853" s="4">
        <v>0.33680555555555558</v>
      </c>
      <c r="R1853" s="23">
        <v>0.40625</v>
      </c>
      <c r="S1853" s="94" t="s">
        <v>254</v>
      </c>
      <c r="T1853" s="1"/>
      <c r="U1853" s="15">
        <f>IF(OR('Controle de CT'!$R1853= "", 'Controle de CT'!$P1853= ""), "", 'Controle de CT'!$R1853-'Controle de CT'!$P1853)</f>
        <v>0.14583333333333331</v>
      </c>
      <c r="V1853" s="1" t="s">
        <v>511</v>
      </c>
      <c r="W1853" s="2"/>
      <c r="X1853" s="2"/>
    </row>
    <row r="1854" spans="11:24" ht="15" hidden="1" customHeight="1">
      <c r="K1854" s="5">
        <v>46149</v>
      </c>
      <c r="L1854" t="s">
        <v>46</v>
      </c>
      <c r="M1854" s="9" t="str">
        <f>IF(Tabela1[[#This Row],[Motorista]]="","",IFERROR(_xlfn.XLOOKUP(Tabela1[[#This Row],[Motorista]],Base!A:A,Base!B:B),""))</f>
        <v>CIF</v>
      </c>
      <c r="N1854" s="20" t="str">
        <f t="shared" si="96"/>
        <v>Finalizado</v>
      </c>
      <c r="O18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54" s="4">
        <v>0.26805555555555555</v>
      </c>
      <c r="Q1854" s="4">
        <v>0.28194444444444444</v>
      </c>
      <c r="R1854" s="23">
        <v>0.38750000000000001</v>
      </c>
      <c r="S1854" s="94" t="s">
        <v>254</v>
      </c>
      <c r="T1854" s="1"/>
      <c r="U1854" s="15">
        <f>IF(OR('Controle de CT'!$R1854= "", 'Controle de CT'!$P1854= ""), "", 'Controle de CT'!$R1854-'Controle de CT'!$P1854)</f>
        <v>0.11944444444444446</v>
      </c>
      <c r="V1854" s="1" t="s">
        <v>226</v>
      </c>
      <c r="W1854" s="2"/>
      <c r="X1854" s="2"/>
    </row>
    <row r="1855" spans="11:24" ht="15" hidden="1" customHeight="1">
      <c r="K1855" s="5">
        <v>46149</v>
      </c>
      <c r="L1855" t="s">
        <v>53</v>
      </c>
      <c r="M1855" s="24" t="s">
        <v>62</v>
      </c>
      <c r="N1855" s="20" t="str">
        <f t="shared" si="96"/>
        <v>Finalizado</v>
      </c>
      <c r="O18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5" s="4">
        <v>0.27152777777777776</v>
      </c>
      <c r="Q1855" s="4">
        <v>0.33055555555555555</v>
      </c>
      <c r="R1855" s="23">
        <v>0.3972222222222222</v>
      </c>
      <c r="S1855" s="94" t="s">
        <v>254</v>
      </c>
      <c r="T1855" s="1"/>
      <c r="U1855" s="15">
        <f>IF(OR('Controle de CT'!$R1855= "", 'Controle de CT'!$P1855= ""), "", 'Controle de CT'!$R1855-'Controle de CT'!$P1855)</f>
        <v>0.12569444444444444</v>
      </c>
      <c r="V1855" s="1" t="s">
        <v>512</v>
      </c>
      <c r="W1855" s="2"/>
      <c r="X1855" s="2"/>
    </row>
    <row r="1856" spans="11:24" ht="15" hidden="1" customHeight="1">
      <c r="K1856" s="5">
        <v>46149</v>
      </c>
      <c r="L1856" s="8" t="s">
        <v>513</v>
      </c>
      <c r="M1856" s="9" t="s">
        <v>63</v>
      </c>
      <c r="N1856" s="20" t="str">
        <f t="shared" si="96"/>
        <v>Finalizado</v>
      </c>
      <c r="O18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6" s="4">
        <v>0.27152777777777776</v>
      </c>
      <c r="Q1856" s="4">
        <v>0.3298611111111111</v>
      </c>
      <c r="R1856" s="23">
        <v>0.49583333333333335</v>
      </c>
      <c r="S1856" s="94" t="s">
        <v>254</v>
      </c>
      <c r="T1856" s="1"/>
      <c r="U1856" s="15">
        <f>IF(OR('Controle de CT'!$R1856= "", 'Controle de CT'!$P1856= ""), "", 'Controle de CT'!$R1856-'Controle de CT'!$P1856)</f>
        <v>0.22430555555555559</v>
      </c>
      <c r="V1856" s="1" t="s">
        <v>226</v>
      </c>
      <c r="W1856" s="2"/>
      <c r="X1856" s="2"/>
    </row>
    <row r="1857" spans="11:24" ht="15" hidden="1" customHeight="1">
      <c r="K1857" s="5">
        <v>46149</v>
      </c>
      <c r="L1857" s="8" t="s">
        <v>324</v>
      </c>
      <c r="M1857" s="9" t="s">
        <v>63</v>
      </c>
      <c r="N1857" s="20" t="str">
        <f t="shared" si="96"/>
        <v>Finalizado</v>
      </c>
      <c r="O18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7" s="4">
        <v>0.29583333333333334</v>
      </c>
      <c r="Q1857" s="4">
        <v>0.45</v>
      </c>
      <c r="R1857" s="23">
        <v>0.49652777777777779</v>
      </c>
      <c r="S1857" s="94" t="s">
        <v>254</v>
      </c>
      <c r="T1857" s="1"/>
      <c r="U1857" s="15">
        <f>IF(OR('Controle de CT'!$R1857= "", 'Controle de CT'!$P1857= ""), "", 'Controle de CT'!$R1857-'Controle de CT'!$P1857)</f>
        <v>0.20069444444444445</v>
      </c>
      <c r="V1857" s="1" t="s">
        <v>170</v>
      </c>
      <c r="W1857" s="2"/>
      <c r="X1857" s="2"/>
    </row>
    <row r="1858" spans="11:24" ht="15" hidden="1" customHeight="1">
      <c r="K1858" s="5">
        <v>46149</v>
      </c>
      <c r="L1858" t="s">
        <v>92</v>
      </c>
      <c r="M1858" s="24" t="s">
        <v>63</v>
      </c>
      <c r="N1858" s="20" t="str">
        <f t="shared" si="96"/>
        <v>Finalizado</v>
      </c>
      <c r="O18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58" s="4">
        <v>0.29791666666666666</v>
      </c>
      <c r="Q1858" s="4">
        <v>0.34375</v>
      </c>
      <c r="R1858" s="23">
        <v>0.39097222222222222</v>
      </c>
      <c r="S1858" s="94" t="s">
        <v>254</v>
      </c>
      <c r="T1858" s="1"/>
      <c r="U1858" s="15">
        <f>IF(OR('Controle de CT'!$R1858= "", 'Controle de CT'!$P1858= ""), "", 'Controle de CT'!$R1858-'Controle de CT'!$P1858)</f>
        <v>9.3055555555555558E-2</v>
      </c>
      <c r="V1858" s="1"/>
      <c r="W1858" s="2"/>
      <c r="X1858" s="2"/>
    </row>
    <row r="1859" spans="11:24" ht="15" hidden="1" customHeight="1">
      <c r="K1859" s="5">
        <v>46149</v>
      </c>
      <c r="L1859" t="s">
        <v>90</v>
      </c>
      <c r="M1859" s="24" t="s">
        <v>63</v>
      </c>
      <c r="N1859" s="20" t="str">
        <f t="shared" si="96"/>
        <v>Finalizado</v>
      </c>
      <c r="O18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59" s="4">
        <v>0.30208333333333331</v>
      </c>
      <c r="Q1859" s="4">
        <v>0.34791666666666665</v>
      </c>
      <c r="R1859" s="23">
        <v>0.39583333333333331</v>
      </c>
      <c r="S1859" s="94" t="s">
        <v>254</v>
      </c>
      <c r="T1859" s="1"/>
      <c r="U1859" s="15">
        <f>IF(OR('Controle de CT'!$R1859= "", 'Controle de CT'!$P1859= ""), "", 'Controle de CT'!$R1859-'Controle de CT'!$P1859)</f>
        <v>9.375E-2</v>
      </c>
      <c r="V1859" s="1"/>
      <c r="W1859" s="2"/>
      <c r="X1859" s="2"/>
    </row>
    <row r="1860" spans="11:24" ht="15" hidden="1" customHeight="1">
      <c r="K1860" s="5">
        <v>46149</v>
      </c>
      <c r="L1860" t="s">
        <v>181</v>
      </c>
      <c r="M1860" s="24" t="s">
        <v>63</v>
      </c>
      <c r="N1860" s="20" t="str">
        <f t="shared" si="96"/>
        <v>Fila de Carregamento</v>
      </c>
      <c r="O18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0" s="4">
        <v>0.33611111111111114</v>
      </c>
      <c r="Q1860" s="4">
        <v>0.41319444444444442</v>
      </c>
      <c r="R1860" s="23"/>
      <c r="S1860" s="94" t="s">
        <v>254</v>
      </c>
      <c r="T1860" s="1"/>
      <c r="U1860" s="15" t="str">
        <f>IF(OR('Controle de CT'!$R1860= "", 'Controle de CT'!$P1860= ""), "", 'Controle de CT'!$R1860-'Controle de CT'!$P1860)</f>
        <v/>
      </c>
      <c r="V1860" s="1" t="s">
        <v>368</v>
      </c>
      <c r="W1860" s="2"/>
      <c r="X1860" s="2"/>
    </row>
    <row r="1861" spans="11:24" ht="15" hidden="1" customHeight="1">
      <c r="K1861" s="5">
        <v>46149</v>
      </c>
      <c r="L1861" t="s">
        <v>115</v>
      </c>
      <c r="M1861" s="9" t="str">
        <f>IF(Tabela1[[#This Row],[Motorista]]="","",IFERROR(_xlfn.XLOOKUP(Tabela1[[#This Row],[Motorista]],Base!A:A,Base!B:B),""))</f>
        <v>CIF</v>
      </c>
      <c r="N1861" s="20" t="str">
        <f t="shared" si="96"/>
        <v>Finalizado</v>
      </c>
      <c r="O18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1" s="4">
        <v>0.41249999999999998</v>
      </c>
      <c r="Q1861" s="4">
        <v>0.4201388888888889</v>
      </c>
      <c r="R1861" s="23">
        <v>0.46944444444444444</v>
      </c>
      <c r="S1861" s="94" t="s">
        <v>254</v>
      </c>
      <c r="T1861" s="1"/>
      <c r="U1861" s="15">
        <f>IF(OR('Controle de CT'!$R1861= "", 'Controle de CT'!$Q1861= ""), "", 'Controle de CT'!$R1861-'Controle de CT'!$Q1861)</f>
        <v>4.9305555555555547E-2</v>
      </c>
      <c r="V1861" s="1"/>
      <c r="W1861" s="2"/>
      <c r="X1861" s="2"/>
    </row>
    <row r="1862" spans="11:24" ht="15" hidden="1" customHeight="1">
      <c r="K1862" s="5">
        <v>46149</v>
      </c>
      <c r="L1862" s="8" t="s">
        <v>415</v>
      </c>
      <c r="M1862" s="9" t="s">
        <v>63</v>
      </c>
      <c r="N1862" s="20" t="str">
        <f t="shared" si="96"/>
        <v>Aguardando Entrada</v>
      </c>
      <c r="O18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2" s="4">
        <v>0.3923611111111111</v>
      </c>
      <c r="Q1862" s="4"/>
      <c r="R1862" s="23"/>
      <c r="S1862" s="16"/>
      <c r="T1862" s="1"/>
      <c r="U1862" s="15" t="str">
        <f>IF(OR('Controle de CT'!$R1862= "", 'Controle de CT'!$P1862= ""), "", 'Controle de CT'!$R1862-'Controle de CT'!$P1862)</f>
        <v/>
      </c>
      <c r="V1862" s="1" t="s">
        <v>170</v>
      </c>
      <c r="W1862" s="2"/>
      <c r="X1862" s="2"/>
    </row>
    <row r="1863" spans="11:24" ht="15" hidden="1" customHeight="1">
      <c r="K1863" s="5">
        <v>46149</v>
      </c>
      <c r="L1863" s="8" t="s">
        <v>298</v>
      </c>
      <c r="M1863" s="9" t="s">
        <v>63</v>
      </c>
      <c r="N1863" s="20" t="str">
        <f t="shared" si="96"/>
        <v>Fila de Carregamento</v>
      </c>
      <c r="O18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3" s="4">
        <v>0.38819444444444445</v>
      </c>
      <c r="Q1863" s="4">
        <v>0.43263888888888891</v>
      </c>
      <c r="R1863" s="23"/>
      <c r="S1863" s="94" t="s">
        <v>254</v>
      </c>
      <c r="T1863" s="14" t="str">
        <f>IF(OR(Tabela1[[#This Row],[Entrada]]="",Tabela1[[#This Row],[Saída]]=""), "", Tabela1[[#This Row],[Saída]]-Tabela1[[#This Row],[Entrada]])</f>
        <v/>
      </c>
      <c r="U1863" s="15" t="str">
        <f>IF(OR('Controle de CT'!$R1863= "", 'Controle de CT'!$P1863= ""), "", 'Controle de CT'!$R1863-'Controle de CT'!$P1863)</f>
        <v/>
      </c>
      <c r="V1863" s="1" t="s">
        <v>461</v>
      </c>
      <c r="W1863" s="2"/>
      <c r="X1863" s="2"/>
    </row>
    <row r="1864" spans="11:24" ht="15" hidden="1" customHeight="1">
      <c r="K1864" s="5">
        <v>46149</v>
      </c>
      <c r="L1864" s="8" t="s">
        <v>157</v>
      </c>
      <c r="M1864" s="9" t="str">
        <f>IF(Tabela1[[#This Row],[Motorista]]="","",IFERROR(_xlfn.XLOOKUP(Tabela1[[#This Row],[Motorista]],Base!A:A,Base!B:B),""))</f>
        <v>FOB</v>
      </c>
      <c r="N1864" s="20" t="str">
        <f t="shared" si="96"/>
        <v>Fila de Carregamento</v>
      </c>
      <c r="O18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4" s="4">
        <v>0.43055555555555558</v>
      </c>
      <c r="Q1864" s="4">
        <v>0.45277777777777778</v>
      </c>
      <c r="R1864" s="23"/>
      <c r="S1864" s="94" t="s">
        <v>254</v>
      </c>
      <c r="T1864" s="1"/>
      <c r="U1864" s="15" t="str">
        <f>IF(OR('Controle de CT'!$R1864= "", 'Controle de CT'!$P1864= ""), "", 'Controle de CT'!$R1864-'Controle de CT'!$P1864)</f>
        <v/>
      </c>
      <c r="V1864" s="1" t="s">
        <v>226</v>
      </c>
      <c r="W1864" s="2"/>
      <c r="X1864" s="2"/>
    </row>
    <row r="1865" spans="11:24" ht="15" hidden="1" customHeight="1">
      <c r="K1865" s="5">
        <v>46149</v>
      </c>
      <c r="L1865" s="8" t="s">
        <v>107</v>
      </c>
      <c r="M1865" s="9" t="str">
        <f>IF(Tabela1[[#This Row],[Motorista]]="","",IFERROR(_xlfn.XLOOKUP(Tabela1[[#This Row],[Motorista]],Base!A:A,Base!B:B),""))</f>
        <v>FOB</v>
      </c>
      <c r="N1865" s="20" t="str">
        <f t="shared" si="96"/>
        <v>Fila de Carregamento</v>
      </c>
      <c r="O18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5" s="4">
        <v>0.4513888888888889</v>
      </c>
      <c r="Q1865" s="4">
        <v>0.51597222222222228</v>
      </c>
      <c r="R1865" s="23"/>
      <c r="S1865" s="94" t="s">
        <v>254</v>
      </c>
      <c r="T1865" s="1"/>
      <c r="U1865" s="15" t="str">
        <f>IF(OR('Controle de CT'!$R1865= "", 'Controle de CT'!$P1865= ""), "", 'Controle de CT'!$R1865-'Controle de CT'!$P1865)</f>
        <v/>
      </c>
      <c r="V1865" s="1"/>
      <c r="W1865" s="2"/>
      <c r="X1865" s="2"/>
    </row>
    <row r="1866" spans="11:24" ht="15" hidden="1" customHeight="1">
      <c r="K1866" s="5">
        <v>46149</v>
      </c>
      <c r="L1866" s="8" t="s">
        <v>116</v>
      </c>
      <c r="M1866" s="9" t="str">
        <f>IF(Tabela1[[#This Row],[Motorista]]="","",IFERROR(_xlfn.XLOOKUP(Tabela1[[#This Row],[Motorista]],Base!A:A,Base!B:B),""))</f>
        <v xml:space="preserve">CIF </v>
      </c>
      <c r="N1866" s="20" t="str">
        <f t="shared" si="96"/>
        <v>Finalizado</v>
      </c>
      <c r="O18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66" s="4">
        <v>0.45</v>
      </c>
      <c r="Q1866" s="4">
        <v>0.45416666666666666</v>
      </c>
      <c r="R1866" s="23">
        <v>0.50208333333333333</v>
      </c>
      <c r="S1866" s="94" t="s">
        <v>254</v>
      </c>
      <c r="T1866" s="1"/>
      <c r="U1866" s="15">
        <f>IF(OR('Controle de CT'!$R1866= "", 'Controle de CT'!$P1866= ""), "", 'Controle de CT'!$R1866-'Controle de CT'!$P1866)</f>
        <v>5.2083333333333315E-2</v>
      </c>
      <c r="V1866" s="1"/>
      <c r="W1866" s="2"/>
      <c r="X1866" s="2"/>
    </row>
    <row r="1867" spans="11:24" ht="15" hidden="1" customHeight="1">
      <c r="K1867" s="5">
        <v>46149</v>
      </c>
      <c r="L1867" s="8" t="s">
        <v>514</v>
      </c>
      <c r="M1867" s="9" t="s">
        <v>515</v>
      </c>
      <c r="N1867" s="20" t="str">
        <f t="shared" si="96"/>
        <v>Fila de Carregamento</v>
      </c>
      <c r="O18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7" s="4">
        <v>0.45833333333333331</v>
      </c>
      <c r="Q1867" s="4">
        <v>0.54583333333333328</v>
      </c>
      <c r="R1867" s="23"/>
      <c r="S1867" s="16"/>
      <c r="T1867" s="1"/>
      <c r="U1867" s="15" t="str">
        <f>IF(OR('Controle de CT'!$R1867= "", 'Controle de CT'!$P1867= ""), "", 'Controle de CT'!$R1867-'Controle de CT'!$P1867)</f>
        <v/>
      </c>
      <c r="V1867" s="1" t="s">
        <v>226</v>
      </c>
      <c r="W1867" s="2"/>
      <c r="X1867" s="2"/>
    </row>
    <row r="1868" spans="11:24" ht="15" hidden="1" customHeight="1">
      <c r="K1868" s="5">
        <v>46149</v>
      </c>
      <c r="L1868" s="8" t="s">
        <v>516</v>
      </c>
      <c r="M1868" s="9" t="str">
        <f>IF(Tabela1[[#This Row],[Motorista]]="","",IFERROR(_xlfn.XLOOKUP(Tabela1[[#This Row],[Motorista]],Base!A:A,Base!B:B),""))</f>
        <v/>
      </c>
      <c r="N1868" s="20" t="str">
        <f t="shared" si="96"/>
        <v>Finalizado</v>
      </c>
      <c r="O18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8" s="4">
        <v>0.49722222222222223</v>
      </c>
      <c r="Q1868" s="4">
        <v>0.50416666666666665</v>
      </c>
      <c r="R1868" s="23">
        <v>0.61736111111111114</v>
      </c>
      <c r="S1868" s="94" t="s">
        <v>254</v>
      </c>
      <c r="T1868" s="1"/>
      <c r="U1868" s="15">
        <f>IF(OR('Controle de CT'!$R1868= "", 'Controle de CT'!$P1868= ""), "", 'Controle de CT'!$R1868-'Controle de CT'!$P1868)</f>
        <v>0.12013888888888891</v>
      </c>
      <c r="V1868" s="1" t="s">
        <v>226</v>
      </c>
      <c r="W1868" s="2"/>
      <c r="X1868" s="2"/>
    </row>
    <row r="1869" spans="11:24" ht="15" hidden="1" customHeight="1">
      <c r="K1869" s="5">
        <v>46149</v>
      </c>
      <c r="L1869" s="8" t="s">
        <v>517</v>
      </c>
      <c r="M1869" s="9" t="str">
        <f>IF(Tabela1[[#This Row],[Motorista]]="","",IFERROR(_xlfn.XLOOKUP(Tabela1[[#This Row],[Motorista]],Base!A:A,Base!B:B),""))</f>
        <v/>
      </c>
      <c r="N1869" s="20" t="str">
        <f t="shared" si="96"/>
        <v>Finalizado</v>
      </c>
      <c r="O18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69" s="4">
        <v>0.49722222222222223</v>
      </c>
      <c r="Q1869" s="4">
        <v>0.51041666666666663</v>
      </c>
      <c r="R1869" s="23">
        <v>0.64236111111111116</v>
      </c>
      <c r="S1869" s="94" t="s">
        <v>254</v>
      </c>
      <c r="T1869" s="1"/>
      <c r="U1869" s="15">
        <f>IF(OR('Controle de CT'!$R1869= "", 'Controle de CT'!$P1869= ""), "", 'Controle de CT'!$R1869-'Controle de CT'!$P1869)</f>
        <v>0.14513888888888893</v>
      </c>
      <c r="V1869" s="1" t="s">
        <v>226</v>
      </c>
      <c r="W1869" s="2"/>
      <c r="X1869" s="2"/>
    </row>
    <row r="1870" spans="11:24" ht="15" hidden="1" customHeight="1">
      <c r="K1870" s="5">
        <v>46149</v>
      </c>
      <c r="L1870" s="8" t="s">
        <v>92</v>
      </c>
      <c r="M1870" s="9" t="str">
        <f>IF(Tabela1[[#This Row],[Motorista]]="","",IFERROR(_xlfn.XLOOKUP(Tabela1[[#This Row],[Motorista]],Base!A:A,Base!B:B),""))</f>
        <v>FOB</v>
      </c>
      <c r="N1870" s="20" t="str">
        <f t="shared" si="96"/>
        <v>Finalizado</v>
      </c>
      <c r="O18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70" s="4">
        <v>0.48055555555555557</v>
      </c>
      <c r="Q1870" s="4">
        <v>0.5131944444444444</v>
      </c>
      <c r="R1870" s="23">
        <v>0.64583333333333337</v>
      </c>
      <c r="S1870" s="94" t="s">
        <v>254</v>
      </c>
      <c r="T1870" s="1"/>
      <c r="U1870" s="15">
        <f>IF(OR('Controle de CT'!$R1870= "", 'Controle de CT'!$P1870= ""), "", 'Controle de CT'!$R1870-'Controle de CT'!$P1870)</f>
        <v>0.1652777777777778</v>
      </c>
      <c r="V1870" s="1" t="s">
        <v>484</v>
      </c>
      <c r="W1870" s="2"/>
      <c r="X1870" s="2"/>
    </row>
    <row r="1871" spans="11:24" ht="15" hidden="1" customHeight="1">
      <c r="K1871" s="5">
        <v>46149</v>
      </c>
      <c r="L1871" s="8" t="s">
        <v>518</v>
      </c>
      <c r="M1871" s="9" t="str">
        <f>IF(Tabela1[[#This Row],[Motorista]]="","",IFERROR(_xlfn.XLOOKUP(Tabela1[[#This Row],[Motorista]],Base!A:A,Base!B:B),""))</f>
        <v/>
      </c>
      <c r="N1871" s="20" t="str">
        <f t="shared" si="96"/>
        <v>Finalizado</v>
      </c>
      <c r="O18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1" s="4">
        <v>0.50208333333333333</v>
      </c>
      <c r="Q1871" s="4">
        <v>0.53888888888888886</v>
      </c>
      <c r="R1871" s="23">
        <v>0.6430555555555556</v>
      </c>
      <c r="S1871" s="16"/>
      <c r="T1871" s="1"/>
      <c r="U1871" s="15">
        <f>IF(OR('Controle de CT'!$R1871= "", 'Controle de CT'!$P1871= ""), "", 'Controle de CT'!$R1871-'Controle de CT'!$P1871)</f>
        <v>0.14097222222222228</v>
      </c>
      <c r="V1871" s="1" t="s">
        <v>226</v>
      </c>
      <c r="W1871" s="2"/>
      <c r="X1871" s="2"/>
    </row>
    <row r="1872" spans="11:24" ht="15" hidden="1" customHeight="1">
      <c r="K1872" s="5">
        <v>46149</v>
      </c>
      <c r="L1872" s="8" t="s">
        <v>519</v>
      </c>
      <c r="M1872" s="9" t="s">
        <v>63</v>
      </c>
      <c r="N1872" s="20" t="str">
        <f t="shared" si="96"/>
        <v>Finalizado</v>
      </c>
      <c r="O18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2" s="4">
        <v>0.5</v>
      </c>
      <c r="Q1872" s="4">
        <v>0.53472222222222221</v>
      </c>
      <c r="R1872" s="23">
        <v>0.65</v>
      </c>
      <c r="S1872" s="94" t="s">
        <v>254</v>
      </c>
      <c r="T1872" s="1"/>
      <c r="U1872" s="15">
        <f>IF(OR('Controle de CT'!$R1872= "", 'Controle de CT'!$P1872= ""), "", 'Controle de CT'!$R1872-'Controle de CT'!$P1872)</f>
        <v>0.15000000000000002</v>
      </c>
      <c r="V1872" s="1" t="s">
        <v>226</v>
      </c>
      <c r="W1872" s="2"/>
      <c r="X1872" s="2"/>
    </row>
    <row r="1873" spans="11:24" ht="15" hidden="1" customHeight="1">
      <c r="K1873" s="5">
        <v>46149</v>
      </c>
      <c r="L1873" s="8" t="s">
        <v>95</v>
      </c>
      <c r="M1873" s="9" t="s">
        <v>321</v>
      </c>
      <c r="N1873" s="20" t="str">
        <f t="shared" si="96"/>
        <v>Finalizado</v>
      </c>
      <c r="O18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3" s="4">
        <v>0.55555555555555558</v>
      </c>
      <c r="Q1873" s="4">
        <v>0.56527777777777777</v>
      </c>
      <c r="R1873" s="4">
        <v>0.56527777777777777</v>
      </c>
      <c r="S1873" s="94" t="s">
        <v>254</v>
      </c>
      <c r="T1873" s="1"/>
      <c r="U1873" s="15">
        <f>IF(OR('Controle de CT'!$R1873= "", 'Controle de CT'!$P1873= ""), "", 'Controle de CT'!$R1873-'Controle de CT'!$P1873)</f>
        <v>9.7222222222221877E-3</v>
      </c>
      <c r="V1873" s="1" t="s">
        <v>520</v>
      </c>
      <c r="W1873" s="2"/>
      <c r="X1873" s="2"/>
    </row>
    <row r="1874" spans="11:24" ht="15" hidden="1" customHeight="1">
      <c r="K1874" s="5">
        <v>46149</v>
      </c>
      <c r="L1874" s="8" t="s">
        <v>58</v>
      </c>
      <c r="M1874" s="9" t="str">
        <f>IF(Tabela1[[#This Row],[Motorista]]="","",IFERROR(_xlfn.XLOOKUP(Tabela1[[#This Row],[Motorista]],Base!A:A,Base!B:B),""))</f>
        <v xml:space="preserve">CIF </v>
      </c>
      <c r="N1874" s="20" t="str">
        <f t="shared" si="96"/>
        <v>Finalizado</v>
      </c>
      <c r="O18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74" s="4">
        <v>0.49722222222222223</v>
      </c>
      <c r="Q1874" s="4">
        <v>0.54374999999999996</v>
      </c>
      <c r="R1874" s="23">
        <v>0.74652777777777779</v>
      </c>
      <c r="S1874" s="94" t="s">
        <v>254</v>
      </c>
      <c r="T1874" s="1"/>
      <c r="U1874" s="15">
        <f>IF(OR('Controle de CT'!$R1874= "", 'Controle de CT'!$P1874= ""), "", 'Controle de CT'!$R1874-'Controle de CT'!$P1874)</f>
        <v>0.24930555555555556</v>
      </c>
      <c r="V1874" s="1" t="s">
        <v>461</v>
      </c>
      <c r="W1874" s="2"/>
      <c r="X1874" s="2"/>
    </row>
    <row r="1875" spans="11:24" ht="15" hidden="1" customHeight="1">
      <c r="K1875" s="5">
        <v>46149</v>
      </c>
      <c r="L1875" s="8" t="s">
        <v>521</v>
      </c>
      <c r="M1875" s="9" t="s">
        <v>63</v>
      </c>
      <c r="N1875" s="20" t="str">
        <f t="shared" si="96"/>
        <v>Fila de Carregamento</v>
      </c>
      <c r="O18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5" s="4">
        <v>0.54513888888888884</v>
      </c>
      <c r="Q1875" s="4">
        <v>0.58472222222222225</v>
      </c>
      <c r="R1875" s="23"/>
      <c r="S1875" s="94" t="s">
        <v>254</v>
      </c>
      <c r="T1875" s="14" t="str">
        <f>IF(OR(Tabela1[[#This Row],[Entrada]]="",Tabela1[[#This Row],[Saída]]=""), "", Tabela1[[#This Row],[Saída]]-Tabela1[[#This Row],[Entrada]])</f>
        <v/>
      </c>
      <c r="U1875" s="15" t="str">
        <f>IF(OR('Controle de CT'!$R1875= "", 'Controle de CT'!$P1875= ""), "", 'Controle de CT'!$R1875-'Controle de CT'!$P1875)</f>
        <v/>
      </c>
      <c r="V1875" s="1" t="s">
        <v>522</v>
      </c>
      <c r="W1875" s="2"/>
      <c r="X1875" s="2"/>
    </row>
    <row r="1876" spans="11:24" ht="15" hidden="1" customHeight="1">
      <c r="K1876" s="5">
        <v>46149</v>
      </c>
      <c r="L1876" s="8" t="s">
        <v>46</v>
      </c>
      <c r="M1876" s="9" t="str">
        <f>IF(Tabela1[[#This Row],[Motorista]]="","",IFERROR(_xlfn.XLOOKUP(Tabela1[[#This Row],[Motorista]],Base!A:A,Base!B:B),""))</f>
        <v>CIF</v>
      </c>
      <c r="N1876" s="20" t="str">
        <f t="shared" si="96"/>
        <v>Fila de Carregamento</v>
      </c>
      <c r="O18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76" s="4">
        <v>0.58750000000000002</v>
      </c>
      <c r="Q1876" s="4">
        <v>0.60833333333333328</v>
      </c>
      <c r="R1876" s="23"/>
      <c r="S1876" s="94" t="s">
        <v>254</v>
      </c>
      <c r="T1876" s="1"/>
      <c r="U1876" s="15" t="str">
        <f>IF(OR('Controle de CT'!$R1876= "", 'Controle de CT'!$P1876= ""), "", 'Controle de CT'!$R1876-'Controle de CT'!$P1876)</f>
        <v/>
      </c>
      <c r="V1876" s="1"/>
      <c r="W1876" s="2"/>
      <c r="X1876" s="2"/>
    </row>
    <row r="1877" spans="11:24" ht="15" hidden="1" customHeight="1">
      <c r="K1877" s="5">
        <v>46149</v>
      </c>
      <c r="L1877" s="8" t="s">
        <v>474</v>
      </c>
      <c r="M1877" s="9" t="s">
        <v>63</v>
      </c>
      <c r="N1877" s="20" t="str">
        <f t="shared" si="96"/>
        <v>Fila de Carregamento</v>
      </c>
      <c r="O18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7" s="4">
        <v>0.57013888888888886</v>
      </c>
      <c r="Q1877" s="4">
        <v>0.58333333333333337</v>
      </c>
      <c r="R1877" s="23"/>
      <c r="S1877" s="94" t="s">
        <v>254</v>
      </c>
      <c r="T1877" s="1"/>
      <c r="U1877" s="15" t="str">
        <f>IF(OR('Controle de CT'!$R1877= "", 'Controle de CT'!$P1877= ""), "", 'Controle de CT'!$R1877-'Controle de CT'!$P1877)</f>
        <v/>
      </c>
      <c r="V1877" s="1" t="s">
        <v>523</v>
      </c>
      <c r="W1877" s="2"/>
      <c r="X1877" s="2"/>
    </row>
    <row r="1878" spans="11:24" ht="15" hidden="1" customHeight="1">
      <c r="K1878" s="5">
        <v>46150</v>
      </c>
      <c r="L1878" s="8" t="s">
        <v>116</v>
      </c>
      <c r="M1878" s="9" t="str">
        <f>IF(Tabela1[[#This Row],[Motorista]]="","",IFERROR(_xlfn.XLOOKUP(Tabela1[[#This Row],[Motorista]],Base!A:A,Base!B:B),""))</f>
        <v xml:space="preserve">CIF </v>
      </c>
      <c r="N1878" s="20" t="str">
        <f t="shared" si="96"/>
        <v>Finalizado</v>
      </c>
      <c r="O18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8" s="4">
        <v>0.20069444444444445</v>
      </c>
      <c r="Q1878" s="4">
        <v>0.26527777777777778</v>
      </c>
      <c r="R1878" s="23">
        <v>0.2986111111111111</v>
      </c>
      <c r="S1878" s="94" t="s">
        <v>254</v>
      </c>
      <c r="T1878" s="1"/>
      <c r="U1878" s="15">
        <f>IF(OR('Controle de CT'!$R1878= "", 'Controle de CT'!$P1878= ""), "", 'Controle de CT'!$R1878-'Controle de CT'!$P1878)</f>
        <v>9.7916666666666652E-2</v>
      </c>
      <c r="V1878" s="1"/>
      <c r="W1878" s="2"/>
      <c r="X1878" s="2"/>
    </row>
    <row r="1879" spans="11:24" ht="15" hidden="1" customHeight="1">
      <c r="K1879" s="5">
        <v>46150</v>
      </c>
      <c r="L1879" s="8" t="s">
        <v>524</v>
      </c>
      <c r="M1879" s="9" t="s">
        <v>62</v>
      </c>
      <c r="N1879" s="20" t="str">
        <f t="shared" si="96"/>
        <v>Finalizado</v>
      </c>
      <c r="O18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79" s="4">
        <v>0.21805555555555556</v>
      </c>
      <c r="Q1879" s="4">
        <v>0.26805555555555555</v>
      </c>
      <c r="R1879" s="23">
        <v>0.31041666666666667</v>
      </c>
      <c r="S1879" s="94" t="s">
        <v>254</v>
      </c>
      <c r="T1879" s="1"/>
      <c r="U1879" s="15">
        <f>IF(OR('Controle de CT'!$R1879= "", 'Controle de CT'!$P1879= ""), "", 'Controle de CT'!$R1879-'Controle de CT'!$P1879)</f>
        <v>9.2361111111111116E-2</v>
      </c>
      <c r="V1879" s="1"/>
      <c r="W1879" s="2"/>
      <c r="X1879" s="2"/>
    </row>
    <row r="1880" spans="11:24" ht="15" hidden="1" customHeight="1">
      <c r="K1880" s="5">
        <v>46150</v>
      </c>
      <c r="L1880" s="8" t="s">
        <v>487</v>
      </c>
      <c r="M1880" s="9" t="s">
        <v>62</v>
      </c>
      <c r="N1880" s="20" t="str">
        <f t="shared" si="96"/>
        <v>Fila de Carregamento</v>
      </c>
      <c r="O18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0" s="4">
        <v>0.22569444444444445</v>
      </c>
      <c r="Q1880" s="4">
        <v>0.27569444444444446</v>
      </c>
      <c r="R1880" s="23"/>
      <c r="S1880" s="94" t="s">
        <v>254</v>
      </c>
      <c r="T1880" s="1"/>
      <c r="U1880" s="15" t="str">
        <f>IF(OR('Controle de CT'!$R1880= "", 'Controle de CT'!$P1880= ""), "", 'Controle de CT'!$R1880-'Controle de CT'!$P1880)</f>
        <v/>
      </c>
      <c r="V1880" s="1"/>
      <c r="W1880" s="2"/>
      <c r="X1880" s="2"/>
    </row>
    <row r="1881" spans="11:24" ht="15" hidden="1" customHeight="1">
      <c r="K1881" s="5">
        <v>46150</v>
      </c>
      <c r="L1881" s="8" t="s">
        <v>525</v>
      </c>
      <c r="M1881" s="9" t="s">
        <v>62</v>
      </c>
      <c r="N1881" s="20" t="str">
        <f t="shared" ref="N1881:N1884" si="97">IF(R1881&lt;&gt;"","Finalizado", IF(Q1881&lt;&gt;"","Fila de Carregamento", IF(P1881&lt;&gt;"","Aguardando Entrada","")))</f>
        <v>Aguardando Entrada</v>
      </c>
      <c r="O18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1" s="4">
        <v>0.2361111111111111</v>
      </c>
      <c r="Q1881" s="4"/>
      <c r="R1881" s="23"/>
      <c r="S1881" s="16"/>
      <c r="T1881" s="14" t="str">
        <f>IF(OR(Tabela1[[#This Row],[Entrada]]="",Tabela1[[#This Row],[Saída]]=""), "", Tabela1[[#This Row],[Saída]]-Tabela1[[#This Row],[Entrada]])</f>
        <v/>
      </c>
      <c r="U1881" s="15" t="str">
        <f>IF(OR('Controle de CT'!$R1881= "", 'Controle de CT'!$P1881= ""), "", 'Controle de CT'!$R1881-'Controle de CT'!$P1881)</f>
        <v/>
      </c>
      <c r="V1881" s="1"/>
      <c r="W1881" s="2"/>
      <c r="X1881" s="2"/>
    </row>
    <row r="1882" spans="11:24" ht="15" hidden="1" customHeight="1">
      <c r="K1882" s="5">
        <v>46150</v>
      </c>
      <c r="L1882" t="s">
        <v>87</v>
      </c>
      <c r="M1882" s="24" t="s">
        <v>63</v>
      </c>
      <c r="N1882" s="20" t="str">
        <f t="shared" si="97"/>
        <v>Finalizado</v>
      </c>
      <c r="O18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2" s="4">
        <v>0.24930555555555556</v>
      </c>
      <c r="Q1882" s="4">
        <v>0.32847222222222222</v>
      </c>
      <c r="R1882" s="23">
        <v>0.39027777777777778</v>
      </c>
      <c r="S1882" s="16"/>
      <c r="T1882" s="14">
        <f>IF(OR(Tabela1[[#This Row],[Entrada]]="",Tabela1[[#This Row],[Saída]]=""), "", Tabela1[[#This Row],[Saída]]-Tabela1[[#This Row],[Entrada]])</f>
        <v>6.1805555555555558E-2</v>
      </c>
      <c r="U1882" s="15">
        <f>IF(OR('Controle de CT'!$R1882= "", 'Controle de CT'!$P1882= ""), "", 'Controle de CT'!$R1882-'Controle de CT'!$P1882)</f>
        <v>0.14097222222222222</v>
      </c>
      <c r="V1882" s="1" t="s">
        <v>170</v>
      </c>
      <c r="W1882" s="2"/>
      <c r="X1882" s="2"/>
    </row>
    <row r="1883" spans="11:24" ht="15" hidden="1" customHeight="1">
      <c r="K1883" s="5">
        <v>46150</v>
      </c>
      <c r="L1883" t="s">
        <v>114</v>
      </c>
      <c r="M1883" s="24" t="s">
        <v>63</v>
      </c>
      <c r="N1883" s="20" t="str">
        <f t="shared" si="97"/>
        <v>Finalizado</v>
      </c>
      <c r="O18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3" s="4">
        <v>0.25069444444444444</v>
      </c>
      <c r="Q1883" s="4">
        <v>0.37916666666666665</v>
      </c>
      <c r="R1883" s="23">
        <v>0.46597222222222223</v>
      </c>
      <c r="S1883" s="16"/>
      <c r="T1883" s="14">
        <f>IF(OR(Tabela1[[#This Row],[Entrada]]="",Tabela1[[#This Row],[Saída]]=""), "", Tabela1[[#This Row],[Saída]]-Tabela1[[#This Row],[Entrada]])</f>
        <v>8.680555555555558E-2</v>
      </c>
      <c r="U1883" s="15">
        <f>IF(OR('Controle de CT'!$R1883= "", 'Controle de CT'!$P1883= ""), "", 'Controle de CT'!$R1883-'Controle de CT'!$P1883)</f>
        <v>0.21527777777777779</v>
      </c>
      <c r="V1883" s="1" t="s">
        <v>526</v>
      </c>
      <c r="W1883" s="2"/>
      <c r="X1883" s="2"/>
    </row>
    <row r="1884" spans="11:24" ht="15" hidden="1" customHeight="1">
      <c r="K1884" s="5">
        <v>46150</v>
      </c>
      <c r="L1884" t="s">
        <v>90</v>
      </c>
      <c r="M1884" s="9" t="str">
        <f>IF(Tabela1[[#This Row],[Motorista]]="","",IFERROR(_xlfn.XLOOKUP(Tabela1[[#This Row],[Motorista]],Base!A:A,Base!B:B),""))</f>
        <v>FOB</v>
      </c>
      <c r="N1884" s="20" t="str">
        <f t="shared" si="97"/>
        <v>Finalizado</v>
      </c>
      <c r="O18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84" s="4">
        <v>0.25138888888888888</v>
      </c>
      <c r="Q1884" s="4"/>
      <c r="R1884" s="23">
        <v>0.43402777777777779</v>
      </c>
      <c r="S1884" s="16"/>
      <c r="T1884" s="14" t="str">
        <f>IF(OR(Tabela1[[#This Row],[Entrada]]="",Tabela1[[#This Row],[Saída]]=""), "", Tabela1[[#This Row],[Saída]]-Tabela1[[#This Row],[Entrada]])</f>
        <v/>
      </c>
      <c r="U1884" s="15">
        <f>IF(OR('Controle de CT'!$R1884= "", 'Controle de CT'!$P1884= ""), "", 'Controle de CT'!$R1884-'Controle de CT'!$P1884)</f>
        <v>0.18263888888888891</v>
      </c>
      <c r="V1884" s="1"/>
      <c r="W1884" s="2"/>
      <c r="X1884" s="2"/>
    </row>
    <row r="1885" spans="11:24" ht="15" hidden="1" customHeight="1">
      <c r="K1885" s="5">
        <v>46150</v>
      </c>
      <c r="L1885" s="8" t="s">
        <v>49</v>
      </c>
      <c r="M1885" s="9" t="str">
        <f>IF(Tabela1[[#This Row],[Motorista]]="","",IFERROR(_xlfn.XLOOKUP(Tabela1[[#This Row],[Motorista]],Base!A:A,Base!B:B),""))</f>
        <v>CIF</v>
      </c>
      <c r="N1885" s="20" t="str">
        <f t="shared" ref="N1885:N1898" si="98">IF(R1885&lt;&gt;"","Finalizado", IF(Q1885&lt;&gt;"","Fila de Carregamento", IF(P1885&lt;&gt;"","Aguardando Entrada","")))</f>
        <v>Finalizado</v>
      </c>
      <c r="O18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85" s="4">
        <v>0.25694444444444442</v>
      </c>
      <c r="Q1885" s="4">
        <v>0.27638888888888891</v>
      </c>
      <c r="R1885" s="23">
        <v>0.32291666666666669</v>
      </c>
      <c r="S1885" s="94" t="s">
        <v>254</v>
      </c>
      <c r="T1885" s="14">
        <f>IF(OR(Tabela1[[#This Row],[Entrada]]="",Tabela1[[#This Row],[Saída]]=""), "", Tabela1[[#This Row],[Saída]]-Tabela1[[#This Row],[Entrada]])</f>
        <v>4.6527777777777779E-2</v>
      </c>
      <c r="U1885" s="15">
        <f>IF(OR('Controle de CT'!$R1885= "", 'Controle de CT'!$P1885= ""), "", 'Controle de CT'!$R1885-'Controle de CT'!$P1885)</f>
        <v>6.5972222222222265E-2</v>
      </c>
      <c r="V1885" s="1"/>
      <c r="W1885" s="2"/>
      <c r="X1885" s="2"/>
    </row>
    <row r="1886" spans="11:24" ht="15" hidden="1" customHeight="1">
      <c r="K1886" s="5">
        <v>46150</v>
      </c>
      <c r="L1886" s="8" t="s">
        <v>527</v>
      </c>
      <c r="M1886" s="9" t="s">
        <v>62</v>
      </c>
      <c r="N1886" s="20" t="str">
        <f t="shared" si="98"/>
        <v>Finalizado</v>
      </c>
      <c r="O18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6" s="4">
        <v>0.2638888888888889</v>
      </c>
      <c r="Q1886" s="4">
        <v>0.28402777777777777</v>
      </c>
      <c r="R1886" s="23">
        <v>0.33263888888888887</v>
      </c>
      <c r="S1886" s="16"/>
      <c r="T1886" s="14">
        <f>IF(OR(Tabela1[[#This Row],[Entrada]]="",Tabela1[[#This Row],[Saída]]=""), "", Tabela1[[#This Row],[Saída]]-Tabela1[[#This Row],[Entrada]])</f>
        <v>4.8611111111111105E-2</v>
      </c>
      <c r="U1886" s="15">
        <f>IF(OR('Controle de CT'!$R1886= "", 'Controle de CT'!$P1886= ""), "", 'Controle de CT'!$R1886-'Controle de CT'!$P1886)</f>
        <v>6.8749999999999978E-2</v>
      </c>
      <c r="V1886" s="1"/>
      <c r="W1886" s="2"/>
      <c r="X1886" s="2"/>
    </row>
    <row r="1887" spans="11:24" ht="15" hidden="1" customHeight="1">
      <c r="K1887" s="5">
        <v>46150</v>
      </c>
      <c r="L1887" t="s">
        <v>54</v>
      </c>
      <c r="M1887" s="24" t="s">
        <v>62</v>
      </c>
      <c r="N1887" s="20" t="str">
        <f t="shared" si="98"/>
        <v>Finalizado</v>
      </c>
      <c r="O18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87" s="4">
        <v>0.26458333333333334</v>
      </c>
      <c r="Q1887" s="4">
        <v>0.28194444444444444</v>
      </c>
      <c r="R1887" s="23">
        <v>0.34375</v>
      </c>
      <c r="S1887" s="16"/>
      <c r="T1887" s="14">
        <f>IF(OR(Tabela1[[#This Row],[Entrada]]="",Tabela1[[#This Row],[Saída]]=""), "", Tabela1[[#This Row],[Saída]]-Tabela1[[#This Row],[Entrada]])</f>
        <v>6.1805555555555558E-2</v>
      </c>
      <c r="U1887" s="15">
        <f>IF(OR('Controle de CT'!$R1887= "", 'Controle de CT'!$P1887= ""), "", 'Controle de CT'!$R1887-'Controle de CT'!$P1887)</f>
        <v>7.9166666666666663E-2</v>
      </c>
      <c r="V1887" s="1"/>
      <c r="W1887" s="2"/>
      <c r="X1887" s="2"/>
    </row>
    <row r="1888" spans="11:24" ht="15" hidden="1" customHeight="1">
      <c r="K1888" s="5">
        <v>46150</v>
      </c>
      <c r="L1888" t="s">
        <v>375</v>
      </c>
      <c r="M1888" s="9" t="str">
        <f>IF(Tabela1[[#This Row],[Motorista]]="","",IFERROR(_xlfn.XLOOKUP(Tabela1[[#This Row],[Motorista]],Base!A:A,Base!B:B),""))</f>
        <v>FOB</v>
      </c>
      <c r="N1888" s="20" t="str">
        <f t="shared" si="98"/>
        <v>Finalizado</v>
      </c>
      <c r="O18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8" s="4">
        <v>0.27152777777777776</v>
      </c>
      <c r="Q1888" s="4"/>
      <c r="R1888" s="23">
        <v>0.39027777777777778</v>
      </c>
      <c r="S1888" s="16"/>
      <c r="T1888" s="14" t="str">
        <f>IF(OR(Tabela1[[#This Row],[Entrada]]="",Tabela1[[#This Row],[Saída]]=""), "", Tabela1[[#This Row],[Saída]]-Tabela1[[#This Row],[Entrada]])</f>
        <v/>
      </c>
      <c r="U1888" s="15">
        <f>IF(OR('Controle de CT'!$R1888= "", 'Controle de CT'!$P1888= ""), "", 'Controle de CT'!$R1888-'Controle de CT'!$P1888)</f>
        <v>0.11875000000000002</v>
      </c>
      <c r="V1888" s="1" t="s">
        <v>528</v>
      </c>
      <c r="W1888" s="2"/>
      <c r="X1888" s="2"/>
    </row>
    <row r="1889" spans="11:24" ht="15" hidden="1" customHeight="1">
      <c r="K1889" s="5">
        <v>46150</v>
      </c>
      <c r="L1889" t="s">
        <v>53</v>
      </c>
      <c r="M1889" s="9" t="str">
        <f>IF(Tabela1[[#This Row],[Motorista]]="","",IFERROR(_xlfn.XLOOKUP(Tabela1[[#This Row],[Motorista]],Base!A:A,Base!B:B),""))</f>
        <v>CIF</v>
      </c>
      <c r="N1889" s="20" t="str">
        <f t="shared" si="98"/>
        <v>Finalizado</v>
      </c>
      <c r="O18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89" s="4">
        <v>0.27430555555555558</v>
      </c>
      <c r="Q1889" s="4">
        <v>0.31944444444444442</v>
      </c>
      <c r="R1889" s="23">
        <v>0.37708333333333333</v>
      </c>
      <c r="S1889" s="16"/>
      <c r="T1889" s="14">
        <f>IF(OR(Tabela1[[#This Row],[Entrada]]="",Tabela1[[#This Row],[Saída]]=""), "", Tabela1[[#This Row],[Saída]]-Tabela1[[#This Row],[Entrada]])</f>
        <v>5.7638888888888906E-2</v>
      </c>
      <c r="U1889" s="15">
        <f>IF(OR('Controle de CT'!$R1889= "", 'Controle de CT'!$P1889= ""), "", 'Controle de CT'!$R1889-'Controle de CT'!$P1889)</f>
        <v>0.10277777777777775</v>
      </c>
      <c r="V1889" s="1"/>
      <c r="W1889" s="2"/>
      <c r="X1889" s="2"/>
    </row>
    <row r="1890" spans="11:24" ht="15" hidden="1" customHeight="1">
      <c r="K1890" s="5">
        <v>46150</v>
      </c>
      <c r="L1890" s="8" t="s">
        <v>529</v>
      </c>
      <c r="M1890" s="9" t="str">
        <f>IF(Tabela1[[#This Row],[Motorista]]="","",IFERROR(_xlfn.XLOOKUP(Tabela1[[#This Row],[Motorista]],Base!A:A,Base!B:B),""))</f>
        <v/>
      </c>
      <c r="N1890" s="20" t="str">
        <f t="shared" si="98"/>
        <v/>
      </c>
      <c r="O18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0" s="4"/>
      <c r="Q1890" s="4"/>
      <c r="R1890" s="23"/>
      <c r="S1890" s="16"/>
      <c r="T1890" s="14" t="str">
        <f>IF(OR(Tabela1[[#This Row],[Entrada]]="",Tabela1[[#This Row],[Saída]]=""), "", Tabela1[[#This Row],[Saída]]-Tabela1[[#This Row],[Entrada]])</f>
        <v/>
      </c>
      <c r="U1890" s="15" t="str">
        <f>IF(OR('Controle de CT'!$R1890= "", 'Controle de CT'!$P1890= ""), "", 'Controle de CT'!$R1890-'Controle de CT'!$P1890)</f>
        <v/>
      </c>
      <c r="V1890" s="1"/>
      <c r="W1890" s="2"/>
      <c r="X1890" s="2"/>
    </row>
    <row r="1891" spans="11:24" ht="15" hidden="1" customHeight="1">
      <c r="K1891" s="5">
        <v>46150</v>
      </c>
      <c r="L1891" s="8" t="s">
        <v>530</v>
      </c>
      <c r="M1891" s="9" t="str">
        <f>IF(Tabela1[[#This Row],[Motorista]]="","",IFERROR(_xlfn.XLOOKUP(Tabela1[[#This Row],[Motorista]],Base!A:A,Base!B:B),""))</f>
        <v/>
      </c>
      <c r="N1891" s="20" t="str">
        <f t="shared" si="98"/>
        <v/>
      </c>
      <c r="O18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1" s="4"/>
      <c r="Q1891" s="4"/>
      <c r="R1891" s="23"/>
      <c r="S1891" s="16"/>
      <c r="T1891" s="14" t="str">
        <f>IF(OR(Tabela1[[#This Row],[Entrada]]="",Tabela1[[#This Row],[Saída]]=""), "", Tabela1[[#This Row],[Saída]]-Tabela1[[#This Row],[Entrada]])</f>
        <v/>
      </c>
      <c r="U1891" s="15" t="str">
        <f>IF(OR('Controle de CT'!$R1891= "", 'Controle de CT'!$P1891= ""), "", 'Controle de CT'!$R1891-'Controle de CT'!$P1891)</f>
        <v/>
      </c>
      <c r="V1891" s="1" t="s">
        <v>531</v>
      </c>
      <c r="W1891" s="2"/>
      <c r="X1891" s="2"/>
    </row>
    <row r="1892" spans="11:24" ht="15" hidden="1" customHeight="1">
      <c r="K1892" s="5">
        <v>46150</v>
      </c>
      <c r="L1892" s="8" t="s">
        <v>458</v>
      </c>
      <c r="M1892" s="9" t="str">
        <f>IF(Tabela1[[#This Row],[Motorista]]="","",IFERROR(_xlfn.XLOOKUP(Tabela1[[#This Row],[Motorista]],Base!A:A,Base!B:B),""))</f>
        <v/>
      </c>
      <c r="N1892" s="20" t="str">
        <f t="shared" si="98"/>
        <v/>
      </c>
      <c r="O18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2" s="4"/>
      <c r="Q1892" s="4"/>
      <c r="R1892" s="23"/>
      <c r="S1892" s="16"/>
      <c r="T1892" s="14" t="str">
        <f>IF(OR(Tabela1[[#This Row],[Entrada]]="",Tabela1[[#This Row],[Saída]]=""), "", Tabela1[[#This Row],[Saída]]-Tabela1[[#This Row],[Entrada]])</f>
        <v/>
      </c>
      <c r="U1892" s="15" t="str">
        <f>IF(OR('Controle de CT'!$R1892= "", 'Controle de CT'!$P1892= ""), "", 'Controle de CT'!$R1892-'Controle de CT'!$P1892)</f>
        <v/>
      </c>
      <c r="V1892" s="1"/>
      <c r="W1892" s="2"/>
      <c r="X1892" s="2"/>
    </row>
    <row r="1893" spans="11:24" ht="15" hidden="1" customHeight="1">
      <c r="K1893" s="5">
        <v>46150</v>
      </c>
      <c r="L1893" s="8" t="s">
        <v>300</v>
      </c>
      <c r="M1893" s="9" t="str">
        <f>IF(Tabela1[[#This Row],[Motorista]]="","",IFERROR(_xlfn.XLOOKUP(Tabela1[[#This Row],[Motorista]],Base!A:A,Base!B:B),""))</f>
        <v/>
      </c>
      <c r="N1893" s="20" t="str">
        <f t="shared" si="98"/>
        <v/>
      </c>
      <c r="O18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3" s="4"/>
      <c r="Q1893" s="4"/>
      <c r="R1893" s="23"/>
      <c r="S1893" s="16"/>
      <c r="T1893" s="14" t="str">
        <f>IF(OR(Tabela1[[#This Row],[Entrada]]="",Tabela1[[#This Row],[Saída]]=""), "", Tabela1[[#This Row],[Saída]]-Tabela1[[#This Row],[Entrada]])</f>
        <v/>
      </c>
      <c r="U1893" s="15" t="str">
        <f>IF(OR('Controle de CT'!$R1893= "", 'Controle de CT'!$P1893= ""), "", 'Controle de CT'!$R1893-'Controle de CT'!$P1893)</f>
        <v/>
      </c>
      <c r="V1893" s="1"/>
      <c r="W1893" s="2"/>
      <c r="X1893" s="2"/>
    </row>
    <row r="1894" spans="11:24" ht="15" hidden="1" customHeight="1">
      <c r="K1894" s="5">
        <v>46150</v>
      </c>
      <c r="L1894" s="8" t="s">
        <v>532</v>
      </c>
      <c r="M1894" s="9" t="str">
        <f>IF(Tabela1[[#This Row],[Motorista]]="","",IFERROR(_xlfn.XLOOKUP(Tabela1[[#This Row],[Motorista]],Base!A:A,Base!B:B),""))</f>
        <v/>
      </c>
      <c r="N1894" s="20" t="str">
        <f t="shared" si="98"/>
        <v>Fila de Carregamento</v>
      </c>
      <c r="O18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4" s="4"/>
      <c r="Q1894" s="4">
        <v>0.39166666666666666</v>
      </c>
      <c r="R1894" s="23"/>
      <c r="S1894" s="16"/>
      <c r="T1894" s="14" t="str">
        <f>IF(OR(Tabela1[[#This Row],[Entrada]]="",Tabela1[[#This Row],[Saída]]=""), "", Tabela1[[#This Row],[Saída]]-Tabela1[[#This Row],[Entrada]])</f>
        <v/>
      </c>
      <c r="U1894" s="15" t="str">
        <f>IF(OR('Controle de CT'!$R1894= "", 'Controle de CT'!$P1894= ""), "", 'Controle de CT'!$R1894-'Controle de CT'!$P1894)</f>
        <v/>
      </c>
      <c r="V1894" s="1"/>
      <c r="W1894" s="2"/>
      <c r="X1894" s="2"/>
    </row>
    <row r="1895" spans="11:24" ht="15" hidden="1" customHeight="1">
      <c r="K1895" s="5">
        <v>46150</v>
      </c>
      <c r="L1895" s="8" t="s">
        <v>459</v>
      </c>
      <c r="M1895" s="9" t="str">
        <f>IF(Tabela1[[#This Row],[Motorista]]="","",IFERROR(_xlfn.XLOOKUP(Tabela1[[#This Row],[Motorista]],Base!A:A,Base!B:B),""))</f>
        <v/>
      </c>
      <c r="N1895" s="20" t="str">
        <f t="shared" si="98"/>
        <v/>
      </c>
      <c r="O18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5" s="4"/>
      <c r="Q1895" s="4"/>
      <c r="R1895" s="23"/>
      <c r="S1895" s="16"/>
      <c r="T1895" s="14" t="str">
        <f>IF(OR(Tabela1[[#This Row],[Entrada]]="",Tabela1[[#This Row],[Saída]]=""), "", Tabela1[[#This Row],[Saída]]-Tabela1[[#This Row],[Entrada]])</f>
        <v/>
      </c>
      <c r="U1895" s="15" t="str">
        <f>IF(OR('Controle de CT'!$R1895= "", 'Controle de CT'!$P1895= ""), "", 'Controle de CT'!$R1895-'Controle de CT'!$P1895)</f>
        <v/>
      </c>
      <c r="V1895" s="1"/>
      <c r="W1895" s="2"/>
      <c r="X1895" s="2"/>
    </row>
    <row r="1896" spans="11:24" ht="15" hidden="1" customHeight="1">
      <c r="K1896" s="5">
        <v>46150</v>
      </c>
      <c r="L1896" s="8" t="s">
        <v>270</v>
      </c>
      <c r="M1896" s="9">
        <f>IF(Tabela1[[#This Row],[Motorista]]="","",IFERROR(_xlfn.XLOOKUP(Tabela1[[#This Row],[Motorista]],Base!A:A,Base!B:B),""))</f>
        <v>0</v>
      </c>
      <c r="N1896" s="20" t="str">
        <f t="shared" si="98"/>
        <v>Fila de Carregamento</v>
      </c>
      <c r="O18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6" s="4">
        <v>0.50416666666666665</v>
      </c>
      <c r="Q1896" s="4">
        <v>0.62916666666666665</v>
      </c>
      <c r="R1896" s="23"/>
      <c r="S1896" s="94" t="s">
        <v>254</v>
      </c>
      <c r="T1896" s="14" t="str">
        <f>IF(OR(Tabela1[[#This Row],[Entrada]]="",Tabela1[[#This Row],[Saída]]=""), "", Tabela1[[#This Row],[Saída]]-Tabela1[[#This Row],[Entrada]])</f>
        <v/>
      </c>
      <c r="U1896" s="15" t="str">
        <f>IF(OR('Controle de CT'!$R1896= "", 'Controle de CT'!$P1896= ""), "", 'Controle de CT'!$R1896-'Controle de CT'!$P1896)</f>
        <v/>
      </c>
      <c r="V1896" s="1"/>
      <c r="W1896" s="2"/>
      <c r="X1896" s="2"/>
    </row>
    <row r="1897" spans="11:24" ht="15" hidden="1" customHeight="1">
      <c r="K1897" s="5">
        <v>46150</v>
      </c>
      <c r="L1897" s="8" t="s">
        <v>533</v>
      </c>
      <c r="M1897" s="9" t="str">
        <f>IF(Tabela1[[#This Row],[Motorista]]="","",IFERROR(_xlfn.XLOOKUP(Tabela1[[#This Row],[Motorista]],Base!A:A,Base!B:B),""))</f>
        <v/>
      </c>
      <c r="N1897" s="20" t="str">
        <f t="shared" si="98"/>
        <v>Fila de Carregamento</v>
      </c>
      <c r="O18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897" s="4">
        <v>0.48680555555555555</v>
      </c>
      <c r="Q1897" s="4">
        <v>0.55069444444444449</v>
      </c>
      <c r="R1897" s="23"/>
      <c r="S1897" s="94" t="s">
        <v>254</v>
      </c>
      <c r="T1897" s="14" t="str">
        <f>IF(OR(Tabela1[[#This Row],[Entrada]]="",Tabela1[[#This Row],[Saída]]=""), "", Tabela1[[#This Row],[Saída]]-Tabela1[[#This Row],[Entrada]])</f>
        <v/>
      </c>
      <c r="U1897" s="15" t="str">
        <f>IF(OR('Controle de CT'!$R1897= "", 'Controle de CT'!$P1897= ""), "", 'Controle de CT'!$R1897-'Controle de CT'!$P1897)</f>
        <v/>
      </c>
      <c r="V1897" s="1"/>
      <c r="W1897" s="2"/>
      <c r="X1897" s="2"/>
    </row>
    <row r="1898" spans="11:24" ht="15" hidden="1" customHeight="1">
      <c r="K1898" s="5">
        <v>46150</v>
      </c>
      <c r="L1898" s="8" t="s">
        <v>49</v>
      </c>
      <c r="M1898" s="9" t="str">
        <f>IF(Tabela1[[#This Row],[Motorista]]="","",IFERROR(_xlfn.XLOOKUP(Tabela1[[#This Row],[Motorista]],Base!A:A,Base!B:B),""))</f>
        <v>CIF</v>
      </c>
      <c r="N1898" s="20" t="str">
        <f t="shared" si="98"/>
        <v>Finalizado</v>
      </c>
      <c r="O18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98" s="4">
        <v>0.46111111111111114</v>
      </c>
      <c r="Q1898" s="4">
        <v>0.53749999999999998</v>
      </c>
      <c r="R1898" s="23">
        <v>0.59375</v>
      </c>
      <c r="S1898" s="94" t="s">
        <v>254</v>
      </c>
      <c r="T1898" s="14">
        <f>IF(OR(Tabela1[[#This Row],[Entrada]]="",Tabela1[[#This Row],[Saída]]=""), "", Tabela1[[#This Row],[Saída]]-Tabela1[[#This Row],[Entrada]])</f>
        <v>5.6250000000000022E-2</v>
      </c>
      <c r="U1898" s="15">
        <f>IF(OR('Controle de CT'!$R1898= "", 'Controle de CT'!$P1898= ""), "", 'Controle de CT'!$R1898-'Controle de CT'!$P1898)</f>
        <v>0.13263888888888886</v>
      </c>
      <c r="V1898" s="1"/>
      <c r="W1898" s="2"/>
      <c r="X1898" s="2"/>
    </row>
    <row r="1899" spans="11:24" ht="15" hidden="1" customHeight="1">
      <c r="K1899" s="5">
        <v>46150</v>
      </c>
      <c r="L1899" s="8" t="s">
        <v>54</v>
      </c>
      <c r="M1899" s="9" t="str">
        <f>IF(Tabela1[[#This Row],[Motorista]]="","",IFERROR(_xlfn.XLOOKUP(Tabela1[[#This Row],[Motorista]],Base!A:A,Base!B:B),""))</f>
        <v>CIF</v>
      </c>
      <c r="N1899" s="20" t="str">
        <f>IF(R1899&lt;&gt;"","Finalizado", IF(Q1899&lt;&gt;"","Fila de Carregamento", IF(P1899&lt;&gt;"","Aguardando Entrada","")))</f>
        <v/>
      </c>
      <c r="O18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899" s="4"/>
      <c r="Q1899" s="4"/>
      <c r="R1899" s="23"/>
      <c r="S1899" s="94" t="s">
        <v>254</v>
      </c>
      <c r="T1899" s="14" t="str">
        <f>IF(OR(Tabela1[[#This Row],[Entrada]]="",Tabela1[[#This Row],[Saída]]=""), "", Tabela1[[#This Row],[Saída]]-Tabela1[[#This Row],[Entrada]])</f>
        <v/>
      </c>
      <c r="U1899" s="15" t="str">
        <f>IF(OR('Controle de CT'!$R1899= "", 'Controle de CT'!$P1899= ""), "", 'Controle de CT'!$R1899-'Controle de CT'!$P1899)</f>
        <v/>
      </c>
      <c r="V1899" s="1"/>
      <c r="W1899" s="2"/>
      <c r="X1899" s="2"/>
    </row>
    <row r="1900" spans="11:24" ht="15" hidden="1" customHeight="1">
      <c r="K1900" s="5">
        <v>46150</v>
      </c>
      <c r="L1900" s="8" t="s">
        <v>534</v>
      </c>
      <c r="M1900" s="9" t="str">
        <f>IF(Tabela1[[#This Row],[Motorista]]="","",IFERROR(_xlfn.XLOOKUP(Tabela1[[#This Row],[Motorista]],Base!A:A,Base!B:B),""))</f>
        <v/>
      </c>
      <c r="N1900" s="20" t="str">
        <f>IF(R1900&lt;&gt;"","Finalizado", IF(Q1900&lt;&gt;"","Fila de Carregamento", IF(P1900&lt;&gt;"","Aguardando Entrada","")))</f>
        <v/>
      </c>
      <c r="O19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0" s="4"/>
      <c r="Q1900" s="4"/>
      <c r="R1900" s="23"/>
      <c r="S1900" s="94" t="s">
        <v>254</v>
      </c>
      <c r="T1900" s="14" t="str">
        <f>IF(OR(Tabela1[[#This Row],[Entrada]]="",Tabela1[[#This Row],[Saída]]=""), "", Tabela1[[#This Row],[Saída]]-Tabela1[[#This Row],[Entrada]])</f>
        <v/>
      </c>
      <c r="U1900" s="15" t="str">
        <f>IF(OR('Controle de CT'!$R1900= "", 'Controle de CT'!$P1900= ""), "", 'Controle de CT'!$R1900-'Controle de CT'!$P1900)</f>
        <v/>
      </c>
      <c r="V1900" s="1"/>
      <c r="W1900" s="2"/>
      <c r="X1900" s="2"/>
    </row>
    <row r="1901" spans="11:24" ht="15" hidden="1" customHeight="1">
      <c r="K1901" s="5">
        <v>46150</v>
      </c>
      <c r="L1901" s="8" t="s">
        <v>535</v>
      </c>
      <c r="M1901" s="9" t="str">
        <f>IF(Tabela1[[#This Row],[Motorista]]="","",IFERROR(_xlfn.XLOOKUP(Tabela1[[#This Row],[Motorista]],Base!A:A,Base!B:B),""))</f>
        <v/>
      </c>
      <c r="N1901" s="20" t="str">
        <f t="shared" ref="N1901:N1908" si="99">IF(R1901&lt;&gt;"","Finalizado", IF(Q1901&lt;&gt;"","Fila de Carregamento", IF(P1901&lt;&gt;"","Aguardando Entrada","")))</f>
        <v/>
      </c>
      <c r="O19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1" s="4"/>
      <c r="Q1901" s="4"/>
      <c r="R1901" s="23"/>
      <c r="S1901" s="94" t="s">
        <v>254</v>
      </c>
      <c r="T1901" s="14" t="str">
        <f>IF(OR(Tabela1[[#This Row],[Entrada]]="",Tabela1[[#This Row],[Saída]]=""), "", Tabela1[[#This Row],[Saída]]-Tabela1[[#This Row],[Entrada]])</f>
        <v/>
      </c>
      <c r="U1901" s="15" t="str">
        <f>IF(OR('Controle de CT'!$R1901= "", 'Controle de CT'!$P1901= ""), "", 'Controle de CT'!$R1901-'Controle de CT'!$P1901)</f>
        <v/>
      </c>
      <c r="V1901" s="1"/>
      <c r="W1901" s="2"/>
      <c r="X1901" s="2"/>
    </row>
    <row r="1902" spans="11:24" ht="15" hidden="1" customHeight="1">
      <c r="K1902" s="5">
        <v>46150</v>
      </c>
      <c r="L1902" s="8" t="s">
        <v>90</v>
      </c>
      <c r="M1902" s="22" t="str">
        <f>IF(Tabela1[[#This Row],[Motorista]]="","",IFERROR(_xlfn.XLOOKUP(Tabela1[[#This Row],[Motorista]],Base!A:A,Base!B:B),""))</f>
        <v>FOB</v>
      </c>
      <c r="N1902" s="20" t="str">
        <f t="shared" si="99"/>
        <v>Finalizado</v>
      </c>
      <c r="O19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02" s="2">
        <v>0.54861111111111116</v>
      </c>
      <c r="Q1902" s="2">
        <v>0.57986111111111116</v>
      </c>
      <c r="R1902" s="16">
        <v>0.65208333333333335</v>
      </c>
      <c r="S1902" s="94" t="s">
        <v>254</v>
      </c>
      <c r="T1902" s="14">
        <f>IF(OR(Tabela1[[#This Row],[Entrada]]="",Tabela1[[#This Row],[Saída]]=""), "", Tabela1[[#This Row],[Saída]]-Tabela1[[#This Row],[Entrada]])</f>
        <v>7.2222222222222188E-2</v>
      </c>
      <c r="U1902" s="15">
        <f>IF(OR('Controle de CT'!$R1902= "", 'Controle de CT'!$P1902= ""), "", 'Controle de CT'!$R1902-'Controle de CT'!$P1902)</f>
        <v>0.10347222222222219</v>
      </c>
      <c r="V1902" s="1"/>
      <c r="W1902" s="2"/>
      <c r="X1902" s="2"/>
    </row>
    <row r="1903" spans="11:24" ht="15" hidden="1" customHeight="1">
      <c r="K1903" s="5">
        <v>46150</v>
      </c>
      <c r="L1903" s="8" t="s">
        <v>536</v>
      </c>
      <c r="M1903" s="22" t="str">
        <f>IF(Tabela1[[#This Row],[Motorista]]="","",IFERROR(_xlfn.XLOOKUP(Tabela1[[#This Row],[Motorista]],Base!A:A,Base!B:B),""))</f>
        <v/>
      </c>
      <c r="N1903" s="20" t="str">
        <f t="shared" si="99"/>
        <v>Fila de Carregamento</v>
      </c>
      <c r="O19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3" s="2">
        <v>0.60069444444444442</v>
      </c>
      <c r="Q1903" s="2">
        <v>0.61527777777777781</v>
      </c>
      <c r="R1903" s="16"/>
      <c r="S1903" s="94" t="s">
        <v>254</v>
      </c>
      <c r="T1903" s="14" t="str">
        <f>IF(OR(Tabela1[[#This Row],[Entrada]]="",Tabela1[[#This Row],[Saída]]=""), "", Tabela1[[#This Row],[Saída]]-Tabela1[[#This Row],[Entrada]])</f>
        <v/>
      </c>
      <c r="U1903" s="15" t="str">
        <f>IF(OR('Controle de CT'!$R1903= "", 'Controle de CT'!$P1903= ""), "", 'Controle de CT'!$R1903-'Controle de CT'!$P1903)</f>
        <v/>
      </c>
      <c r="V1903" s="1"/>
      <c r="W1903" s="2"/>
      <c r="X1903" s="2"/>
    </row>
    <row r="1904" spans="11:24" ht="15" hidden="1" customHeight="1">
      <c r="K1904" s="5">
        <v>46150</v>
      </c>
      <c r="L1904" s="8" t="s">
        <v>537</v>
      </c>
      <c r="M1904" s="22" t="str">
        <f>IF(Tabela1[[#This Row],[Motorista]]="","",IFERROR(_xlfn.XLOOKUP(Tabela1[[#This Row],[Motorista]],Base!A:A,Base!B:B),""))</f>
        <v/>
      </c>
      <c r="N1904" s="20" t="str">
        <f t="shared" si="99"/>
        <v>Finalizado</v>
      </c>
      <c r="O19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4" s="2">
        <v>0.52083333333333337</v>
      </c>
      <c r="Q1904" s="2">
        <v>0.55277777777777781</v>
      </c>
      <c r="R1904" s="16">
        <v>0.6333333333333333</v>
      </c>
      <c r="S1904" s="94" t="s">
        <v>254</v>
      </c>
      <c r="T1904" s="14">
        <f>IF(OR(Tabela1[[#This Row],[Entrada]]="",Tabela1[[#This Row],[Saída]]=""), "", Tabela1[[#This Row],[Saída]]-Tabela1[[#This Row],[Entrada]])</f>
        <v>8.0555555555555491E-2</v>
      </c>
      <c r="U1904" s="15">
        <f>IF(OR('Controle de CT'!$R1904= "", 'Controle de CT'!$P1904= ""), "", 'Controle de CT'!$R1904-'Controle de CT'!$P1904)</f>
        <v>0.11249999999999993</v>
      </c>
      <c r="V1904" s="1"/>
      <c r="W1904" s="2"/>
      <c r="X1904" s="2"/>
    </row>
    <row r="1905" spans="11:24" ht="15" hidden="1" customHeight="1">
      <c r="K1905" s="5">
        <v>46150</v>
      </c>
      <c r="L1905" s="8" t="s">
        <v>538</v>
      </c>
      <c r="M1905" s="22" t="str">
        <f>IF(Tabela1[[#This Row],[Motorista]]="","",IFERROR(_xlfn.XLOOKUP(Tabela1[[#This Row],[Motorista]],Base!A:A,Base!B:B),""))</f>
        <v/>
      </c>
      <c r="N1905" s="20" t="str">
        <f t="shared" si="99"/>
        <v>Aguardando Entrada</v>
      </c>
      <c r="O19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5" s="2">
        <v>0.53680555555555554</v>
      </c>
      <c r="R1905" s="16"/>
      <c r="S1905" s="16"/>
      <c r="T1905" s="14" t="str">
        <f>IF(OR(Tabela1[[#This Row],[Entrada]]="",Tabela1[[#This Row],[Saída]]=""), "", Tabela1[[#This Row],[Saída]]-Tabela1[[#This Row],[Entrada]])</f>
        <v/>
      </c>
      <c r="U1905" s="15" t="str">
        <f>IF(OR('Controle de CT'!$R1905= "", 'Controle de CT'!$P1905= ""), "", 'Controle de CT'!$R1905-'Controle de CT'!$P1905)</f>
        <v/>
      </c>
      <c r="V1905" s="1"/>
      <c r="W1905" s="2"/>
      <c r="X1905" s="2"/>
    </row>
    <row r="1906" spans="11:24" ht="15" hidden="1" customHeight="1">
      <c r="K1906" s="5">
        <v>46150</v>
      </c>
      <c r="L1906" s="8" t="s">
        <v>539</v>
      </c>
      <c r="M1906" s="22" t="str">
        <f>IF(Tabela1[[#This Row],[Motorista]]="","",IFERROR(_xlfn.XLOOKUP(Tabela1[[#This Row],[Motorista]],Base!A:A,Base!B:B),""))</f>
        <v/>
      </c>
      <c r="N1906" s="20" t="str">
        <f t="shared" si="99"/>
        <v>Aguardando Entrada</v>
      </c>
      <c r="O19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6" s="2">
        <v>0.60277777777777775</v>
      </c>
      <c r="R1906" s="16"/>
      <c r="S1906" s="16"/>
      <c r="T1906" s="14" t="str">
        <f>IF(OR(Tabela1[[#This Row],[Entrada]]="",Tabela1[[#This Row],[Saída]]=""), "", Tabela1[[#This Row],[Saída]]-Tabela1[[#This Row],[Entrada]])</f>
        <v/>
      </c>
      <c r="U1906" s="15" t="str">
        <f>IF(OR('Controle de CT'!$R1906= "", 'Controle de CT'!$P1906= ""), "", 'Controle de CT'!$R1906-'Controle de CT'!$P1906)</f>
        <v/>
      </c>
      <c r="V1906" s="1"/>
      <c r="W1906" s="2"/>
      <c r="X1906" s="2"/>
    </row>
    <row r="1907" spans="11:24" ht="15" hidden="1" customHeight="1">
      <c r="K1907" s="5">
        <v>46150</v>
      </c>
      <c r="L1907" s="8" t="s">
        <v>540</v>
      </c>
      <c r="M1907" s="22" t="str">
        <f>IF(Tabela1[[#This Row],[Motorista]]="","",IFERROR(_xlfn.XLOOKUP(Tabela1[[#This Row],[Motorista]],Base!A:A,Base!B:B),""))</f>
        <v/>
      </c>
      <c r="N1907" s="20" t="str">
        <f t="shared" si="99"/>
        <v>Aguardando Entrada</v>
      </c>
      <c r="O19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7" s="2">
        <v>0.625</v>
      </c>
      <c r="R1907" s="16"/>
      <c r="S1907" s="16"/>
      <c r="T1907" s="14" t="str">
        <f>IF(OR(Tabela1[[#This Row],[Entrada]]="",Tabela1[[#This Row],[Saída]]=""), "", Tabela1[[#This Row],[Saída]]-Tabela1[[#This Row],[Entrada]])</f>
        <v/>
      </c>
      <c r="U1907" s="15" t="str">
        <f>IF(OR('Controle de CT'!$R1907= "", 'Controle de CT'!$P1907= ""), "", 'Controle de CT'!$R1907-'Controle de CT'!$P1907)</f>
        <v/>
      </c>
      <c r="V1907" s="1"/>
      <c r="W1907" s="2"/>
      <c r="X1907" s="2"/>
    </row>
    <row r="1908" spans="11:24" ht="15" hidden="1" customHeight="1">
      <c r="K1908" s="5">
        <v>46150</v>
      </c>
      <c r="L1908" s="8" t="s">
        <v>541</v>
      </c>
      <c r="M1908" s="22" t="str">
        <f>IF(Tabela1[[#This Row],[Motorista]]="","",IFERROR(_xlfn.XLOOKUP(Tabela1[[#This Row],[Motorista]],Base!A:A,Base!B:B),""))</f>
        <v/>
      </c>
      <c r="N1908" s="20" t="str">
        <f t="shared" si="99"/>
        <v>Aguardando Entrada</v>
      </c>
      <c r="O19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8" s="2">
        <v>0.63888888888888884</v>
      </c>
      <c r="R1908" s="16"/>
      <c r="S1908" s="16"/>
      <c r="T1908" s="14" t="str">
        <f>IF(OR(Tabela1[[#This Row],[Entrada]]="",Tabela1[[#This Row],[Saída]]=""), "", Tabela1[[#This Row],[Saída]]-Tabela1[[#This Row],[Entrada]])</f>
        <v/>
      </c>
      <c r="U1908" s="15" t="str">
        <f>IF(OR('Controle de CT'!$R1908= "", 'Controle de CT'!$P1908= ""), "", 'Controle de CT'!$R1908-'Controle de CT'!$P1908)</f>
        <v/>
      </c>
      <c r="V1908" s="1"/>
      <c r="W1908" s="2"/>
      <c r="X1908" s="2"/>
    </row>
    <row r="1909" spans="11:24" ht="15" hidden="1" customHeight="1">
      <c r="K1909" s="5">
        <v>46151</v>
      </c>
      <c r="L1909" t="s">
        <v>128</v>
      </c>
      <c r="M1909" s="9" t="str">
        <f>IF(Tabela1[[#This Row],[Motorista]]="","",IFERROR(_xlfn.XLOOKUP(Tabela1[[#This Row],[Motorista]],Base!A:A,Base!B:B),""))</f>
        <v>FOB</v>
      </c>
      <c r="N1909" s="20" t="str">
        <f t="shared" ref="N1909:N1940" si="100">IF(R1909&lt;&gt;"","Finalizado", IF(Q1909&lt;&gt;"","Fila de Carregamento", IF(P1909&lt;&gt;"","Aguardando Entrada","")))</f>
        <v>Finalizado</v>
      </c>
      <c r="O19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09" s="2">
        <v>0.19166666666666668</v>
      </c>
      <c r="Q1909" s="2">
        <v>0.28888888888888886</v>
      </c>
      <c r="R1909" s="16">
        <v>0.38611111111111113</v>
      </c>
      <c r="S1909" s="94" t="s">
        <v>254</v>
      </c>
      <c r="T1909" s="14">
        <f>IF(OR(Tabela1[[#This Row],[Entrada]]="",Tabela1[[#This Row],[Saída]]=""), "", Tabela1[[#This Row],[Saída]]-Tabela1[[#This Row],[Entrada]])</f>
        <v>9.7222222222222265E-2</v>
      </c>
      <c r="U1909" s="15">
        <f>IF(OR('Controle de CT'!$R1909= "", 'Controle de CT'!$P1909= ""), "", 'Controle de CT'!$R1909-'Controle de CT'!$P1909)</f>
        <v>0.19444444444444445</v>
      </c>
      <c r="V1909" s="1"/>
      <c r="W1909" s="2"/>
      <c r="X1909" s="2"/>
    </row>
    <row r="1910" spans="11:24" ht="15" hidden="1" customHeight="1">
      <c r="K1910" s="5">
        <v>46151</v>
      </c>
      <c r="L1910" t="s">
        <v>116</v>
      </c>
      <c r="M1910" s="9" t="str">
        <f>IF(Tabela1[[#This Row],[Motorista]]="","",IFERROR(_xlfn.XLOOKUP(Tabela1[[#This Row],[Motorista]],Base!A:A,Base!B:B),""))</f>
        <v xml:space="preserve">CIF </v>
      </c>
      <c r="N1910" s="20" t="str">
        <f t="shared" si="100"/>
        <v>Finalizado</v>
      </c>
      <c r="O19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0" s="4">
        <v>0.21111111111111111</v>
      </c>
      <c r="Q1910" s="4">
        <v>0.26111111111111113</v>
      </c>
      <c r="R1910" s="23">
        <v>0.36388888888888887</v>
      </c>
      <c r="S1910" s="94" t="s">
        <v>254</v>
      </c>
      <c r="T1910" s="14">
        <f>IF(OR(Tabela1[[#This Row],[Entrada]]="",Tabela1[[#This Row],[Saída]]=""), "", Tabela1[[#This Row],[Saída]]-Tabela1[[#This Row],[Entrada]])</f>
        <v>0.10277777777777775</v>
      </c>
      <c r="U1910" s="15">
        <f>IF(OR('Controle de CT'!$R1912= "", 'Controle de CT'!$P1912= ""), "", 'Controle de CT'!$R1912-'Controle de CT'!$P1912)</f>
        <v>0.14305555555555557</v>
      </c>
      <c r="V1910" s="1" t="s">
        <v>226</v>
      </c>
      <c r="W1910" s="2"/>
      <c r="X1910" s="2"/>
    </row>
    <row r="1911" spans="11:24" ht="15" hidden="1" customHeight="1">
      <c r="K1911" s="5">
        <v>46151</v>
      </c>
      <c r="L1911" t="s">
        <v>45</v>
      </c>
      <c r="M1911" s="22" t="str">
        <f>IF(Tabela1[[#This Row],[Motorista]]="","",IFERROR(_xlfn.XLOOKUP(Tabela1[[#This Row],[Motorista]],Base!A:A,Base!B:B),""))</f>
        <v>CIF</v>
      </c>
      <c r="N1911" s="20" t="str">
        <f t="shared" si="100"/>
        <v>Finalizado</v>
      </c>
      <c r="O19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1" s="2">
        <v>0.23472222222222222</v>
      </c>
      <c r="Q1911" s="2">
        <v>0.25694444444444442</v>
      </c>
      <c r="R1911" s="16">
        <v>0.2986111111111111</v>
      </c>
      <c r="S1911" s="94" t="s">
        <v>254</v>
      </c>
      <c r="T1911" s="14">
        <f>IF(OR(Tabela1[[#This Row],[Entrada]]="",Tabela1[[#This Row],[Saída]]=""), "", Tabela1[[#This Row],[Saída]]-Tabela1[[#This Row],[Entrada]])</f>
        <v>4.1666666666666685E-2</v>
      </c>
      <c r="U1911" s="15" t="str">
        <f>IF(OR('Controle de CT'!$R1913= "", 'Controle de CT'!$P1913= ""), "", 'Controle de CT'!$R1913-'Controle de CT'!$P1913)</f>
        <v/>
      </c>
      <c r="V1911" s="1"/>
      <c r="W1911" s="2"/>
      <c r="X1911" s="2"/>
    </row>
    <row r="1912" spans="11:24" ht="15" hidden="1" customHeight="1">
      <c r="K1912" s="5">
        <v>46151</v>
      </c>
      <c r="L1912" t="s">
        <v>87</v>
      </c>
      <c r="M1912" s="22" t="str">
        <f>IF(Tabela1[[#This Row],[Motorista]]="","",IFERROR(_xlfn.XLOOKUP(Tabela1[[#This Row],[Motorista]],Base!A:A,Base!B:B),""))</f>
        <v>FOB</v>
      </c>
      <c r="N1912" s="20" t="str">
        <f t="shared" si="100"/>
        <v>Finalizado</v>
      </c>
      <c r="O19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2" s="2">
        <v>0.24444444444444444</v>
      </c>
      <c r="Q1912" s="2">
        <v>0.33194444444444443</v>
      </c>
      <c r="R1912" s="16">
        <v>0.38750000000000001</v>
      </c>
      <c r="S1912" s="94" t="s">
        <v>254</v>
      </c>
      <c r="T1912" s="14">
        <f>IF(OR(Tabela1[[#This Row],[Entrada]]="",Tabela1[[#This Row],[Saída]]=""), "", Tabela1[[#This Row],[Saída]]-Tabela1[[#This Row],[Entrada]])</f>
        <v>5.555555555555558E-2</v>
      </c>
      <c r="U1912" s="15" t="str">
        <f>IF(OR('Controle de CT'!$R1915= "", 'Controle de CT'!$P1915= ""), "", 'Controle de CT'!$R1915-'Controle de CT'!$P1915)</f>
        <v/>
      </c>
      <c r="V1912" s="1" t="s">
        <v>170</v>
      </c>
      <c r="W1912" s="2"/>
      <c r="X1912" s="2"/>
    </row>
    <row r="1913" spans="11:24" ht="15" hidden="1" customHeight="1">
      <c r="K1913" s="5">
        <v>46151</v>
      </c>
      <c r="L1913" t="s">
        <v>147</v>
      </c>
      <c r="M1913" s="22" t="str">
        <f>IF(Tabela1[[#This Row],[Motorista]]="","",IFERROR(_xlfn.XLOOKUP(Tabela1[[#This Row],[Motorista]],Base!A:A,Base!B:B),""))</f>
        <v>Transferência</v>
      </c>
      <c r="N1913" s="20" t="str">
        <f t="shared" si="100"/>
        <v>Fila de Carregamento</v>
      </c>
      <c r="O19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3" s="2">
        <v>0.24583333333333332</v>
      </c>
      <c r="Q1913" s="2">
        <v>0.29652777777777778</v>
      </c>
      <c r="R1913" s="16"/>
      <c r="S1913" s="16"/>
      <c r="T1913" s="14" t="str">
        <f>IF(OR(Tabela1[[#This Row],[Entrada]]="",Tabela1[[#This Row],[Saída]]=""), "", Tabela1[[#This Row],[Saída]]-Tabela1[[#This Row],[Entrada]])</f>
        <v/>
      </c>
      <c r="U1913" s="15">
        <f>IF(OR('Controle de CT'!$R1910= "", 'Controle de CT'!$P1910= ""), "", 'Controle de CT'!$R1910-'Controle de CT'!$P1910)</f>
        <v>0.15277777777777776</v>
      </c>
      <c r="V1913" s="1" t="s">
        <v>226</v>
      </c>
      <c r="W1913" s="2"/>
      <c r="X1913" s="2"/>
    </row>
    <row r="1914" spans="11:24" ht="15" hidden="1" customHeight="1">
      <c r="K1914" s="5">
        <v>46151</v>
      </c>
      <c r="L1914" t="s">
        <v>58</v>
      </c>
      <c r="M1914" s="22" t="str">
        <f>IF(Tabela1[[#This Row],[Motorista]]="","",IFERROR(_xlfn.XLOOKUP(Tabela1[[#This Row],[Motorista]],Base!A:A,Base!B:B),""))</f>
        <v xml:space="preserve">CIF </v>
      </c>
      <c r="N1914" s="20" t="str">
        <f t="shared" si="100"/>
        <v>Finalizado</v>
      </c>
      <c r="O19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4" s="2">
        <v>0.24583333333333332</v>
      </c>
      <c r="Q1914" s="2">
        <v>0.28125</v>
      </c>
      <c r="R1914" s="16">
        <v>0.32291666666666669</v>
      </c>
      <c r="S1914" s="94" t="s">
        <v>254</v>
      </c>
      <c r="T1914" s="14">
        <f>IF(OR(Tabela1[[#This Row],[Entrada]]="",Tabela1[[#This Row],[Saída]]=""), "", Tabela1[[#This Row],[Saída]]-Tabela1[[#This Row],[Entrada]])</f>
        <v>4.1666666666666685E-2</v>
      </c>
      <c r="U1914" s="15" t="str">
        <f>IF(OR('Controle de CT'!$R1916= "", 'Controle de CT'!$P1916= ""), "", 'Controle de CT'!$R1916-'Controle de CT'!$P1916)</f>
        <v/>
      </c>
      <c r="V1914" s="1"/>
      <c r="W1914" s="2"/>
      <c r="X1914" s="2"/>
    </row>
    <row r="1915" spans="11:24" ht="15" hidden="1" customHeight="1">
      <c r="K1915" s="5">
        <v>46151</v>
      </c>
      <c r="L1915" t="s">
        <v>187</v>
      </c>
      <c r="M1915" s="22" t="str">
        <f>IF(Tabela1[[#This Row],[Motorista]]="","",IFERROR(_xlfn.XLOOKUP(Tabela1[[#This Row],[Motorista]],Base!A:A,Base!B:B),""))</f>
        <v>Transferência</v>
      </c>
      <c r="N1915" s="20" t="str">
        <f t="shared" si="100"/>
        <v>Aguardando Entrada</v>
      </c>
      <c r="O19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5" s="2">
        <v>0.25</v>
      </c>
      <c r="R1915" s="16"/>
      <c r="S1915" s="16"/>
      <c r="T1915" s="14" t="str">
        <f>IF(OR(Tabela1[[#This Row],[Entrada]]="",Tabela1[[#This Row],[Saída]]=""), "", Tabela1[[#This Row],[Saída]]-Tabela1[[#This Row],[Entrada]])</f>
        <v/>
      </c>
      <c r="U1915" s="15">
        <f>IF(OR('Controle de CT'!$R1917= "", 'Controle de CT'!$P1917= ""), "", 'Controle de CT'!$R1917-'Controle de CT'!$P1917)</f>
        <v>9.5833333333333326E-2</v>
      </c>
      <c r="V1915" s="1"/>
      <c r="W1915" s="2"/>
      <c r="X1915" s="2"/>
    </row>
    <row r="1916" spans="11:24" ht="15" hidden="1" customHeight="1">
      <c r="K1916" s="5">
        <v>46151</v>
      </c>
      <c r="L1916" t="s">
        <v>389</v>
      </c>
      <c r="M1916" s="22" t="str">
        <f>IF(Tabela1[[#This Row],[Motorista]]="","",IFERROR(_xlfn.XLOOKUP(Tabela1[[#This Row],[Motorista]],Base!A:A,Base!B:B),""))</f>
        <v>FOB</v>
      </c>
      <c r="N1916" s="20" t="str">
        <f t="shared" si="100"/>
        <v>Aguardando Entrada</v>
      </c>
      <c r="O19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6" s="2">
        <v>0.25138888888888888</v>
      </c>
      <c r="R1916" s="16"/>
      <c r="S1916" s="16"/>
      <c r="T1916" s="14" t="str">
        <f>IF(OR(Tabela1[[#This Row],[Entrada]]="",Tabela1[[#This Row],[Saída]]=""), "", Tabela1[[#This Row],[Saída]]-Tabela1[[#This Row],[Entrada]])</f>
        <v/>
      </c>
      <c r="U1916" s="15">
        <f>IF(OR('Controle de CT'!$R1911= "", 'Controle de CT'!$P1911= ""), "", 'Controle de CT'!$R1911-'Controle de CT'!$P1911)</f>
        <v>6.3888888888888884E-2</v>
      </c>
      <c r="V1916" s="1"/>
      <c r="W1916" s="2"/>
      <c r="X1916" s="2"/>
    </row>
    <row r="1917" spans="11:24" ht="15" hidden="1" customHeight="1">
      <c r="K1917" s="5">
        <v>46151</v>
      </c>
      <c r="L1917" t="s">
        <v>57</v>
      </c>
      <c r="M1917" s="22" t="str">
        <f>IF(Tabela1[[#This Row],[Motorista]]="","",IFERROR(_xlfn.XLOOKUP(Tabela1[[#This Row],[Motorista]],Base!A:A,Base!B:B),""))</f>
        <v>CIF</v>
      </c>
      <c r="N1917" s="20" t="str">
        <f t="shared" si="100"/>
        <v>Finalizado</v>
      </c>
      <c r="O19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7" s="2">
        <v>0.25138888888888888</v>
      </c>
      <c r="Q1917" s="2">
        <v>0.32361111111111113</v>
      </c>
      <c r="R1917" s="16">
        <v>0.34722222222222221</v>
      </c>
      <c r="S1917" s="94" t="s">
        <v>254</v>
      </c>
      <c r="T1917" s="14">
        <f>IF(OR(Tabela1[[#This Row],[Entrada]]="",Tabela1[[#This Row],[Saída]]=""), "", Tabela1[[#This Row],[Saída]]-Tabela1[[#This Row],[Entrada]])</f>
        <v>2.3611111111111083E-2</v>
      </c>
      <c r="U1917" s="15" t="str">
        <f>IF(OR('Controle de CT'!$R1918= "", 'Controle de CT'!$P1918= ""), "", 'Controle de CT'!$R1918-'Controle de CT'!$P1918)</f>
        <v/>
      </c>
      <c r="V1917" s="1"/>
      <c r="W1917" s="2"/>
      <c r="X1917" s="2"/>
    </row>
    <row r="1918" spans="11:24" ht="15" hidden="1" customHeight="1">
      <c r="K1918" s="5">
        <v>46151</v>
      </c>
      <c r="L1918" t="s">
        <v>54</v>
      </c>
      <c r="M1918" s="22" t="str">
        <f>IF(Tabela1[[#This Row],[Motorista]]="","",IFERROR(_xlfn.XLOOKUP(Tabela1[[#This Row],[Motorista]],Base!A:A,Base!B:B),""))</f>
        <v>CIF</v>
      </c>
      <c r="N1918" s="20" t="str">
        <f t="shared" si="100"/>
        <v>Fila de Carregamento</v>
      </c>
      <c r="O19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8" s="2">
        <v>0.25208333333333333</v>
      </c>
      <c r="Q1918" s="2">
        <v>0.26527777777777778</v>
      </c>
      <c r="R1918" s="16"/>
      <c r="S1918" s="16"/>
      <c r="T1918" s="14" t="str">
        <f>IF(OR(Tabela1[[#This Row],[Entrada]]="",Tabela1[[#This Row],[Saída]]=""), "", Tabela1[[#This Row],[Saída]]-Tabela1[[#This Row],[Entrada]])</f>
        <v/>
      </c>
      <c r="U1918" s="15">
        <f>IF(OR('Controle de CT'!$R1919= "", 'Controle de CT'!$P1919= ""), "", 'Controle de CT'!$R1919-'Controle de CT'!$P1919)</f>
        <v>7.2222222222222243E-2</v>
      </c>
      <c r="V1918" s="1" t="s">
        <v>226</v>
      </c>
      <c r="W1918" s="2"/>
      <c r="X1918" s="2"/>
    </row>
    <row r="1919" spans="11:24" ht="15" hidden="1" customHeight="1">
      <c r="K1919" s="5">
        <v>46151</v>
      </c>
      <c r="L1919" t="s">
        <v>46</v>
      </c>
      <c r="M1919" s="22" t="str">
        <f>IF(Tabela1[[#This Row],[Motorista]]="","",IFERROR(_xlfn.XLOOKUP(Tabela1[[#This Row],[Motorista]],Base!A:A,Base!B:B),""))</f>
        <v>CIF</v>
      </c>
      <c r="N1919" s="20" t="str">
        <f t="shared" si="100"/>
        <v>Finalizado</v>
      </c>
      <c r="O19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19" s="2">
        <v>0.26527777777777778</v>
      </c>
      <c r="Q1919" s="2">
        <v>0.29305555555555557</v>
      </c>
      <c r="R1919" s="16">
        <v>0.33750000000000002</v>
      </c>
      <c r="S1919" s="94" t="s">
        <v>254</v>
      </c>
      <c r="T1919" s="14">
        <f>IF(OR(Tabela1[[#This Row],[Entrada]]="",Tabela1[[#This Row],[Saída]]=""), "", Tabela1[[#This Row],[Saída]]-Tabela1[[#This Row],[Entrada]])</f>
        <v>4.4444444444444453E-2</v>
      </c>
      <c r="U1919" s="15" t="str">
        <f>IF(OR('Controle de CT'!$R1920= "", 'Controle de CT'!$P1920= ""), "", 'Controle de CT'!$R1920-'Controle de CT'!$P1920)</f>
        <v/>
      </c>
      <c r="V1919" s="1"/>
      <c r="W1919" s="2"/>
      <c r="X1919" s="2"/>
    </row>
    <row r="1920" spans="11:24" ht="15" hidden="1" customHeight="1">
      <c r="K1920" s="5">
        <v>46151</v>
      </c>
      <c r="L1920" t="s">
        <v>92</v>
      </c>
      <c r="M1920" s="22" t="str">
        <f>IF(Tabela1[[#This Row],[Motorista]]="","",IFERROR(_xlfn.XLOOKUP(Tabela1[[#This Row],[Motorista]],Base!A:A,Base!B:B),""))</f>
        <v>FOB</v>
      </c>
      <c r="N1920" s="20" t="str">
        <f t="shared" si="100"/>
        <v>Fila de Carregamento</v>
      </c>
      <c r="O19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0" s="2">
        <v>0.2722222222222222</v>
      </c>
      <c r="Q1920" s="2">
        <v>0.33958333333333335</v>
      </c>
      <c r="R1920" s="16"/>
      <c r="S1920" s="16"/>
      <c r="T1920" s="14" t="str">
        <f>IF(OR(Tabela1[[#This Row],[Entrada]]="",Tabela1[[#This Row],[Saída]]=""), "", Tabela1[[#This Row],[Saída]]-Tabela1[[#This Row],[Entrada]])</f>
        <v/>
      </c>
      <c r="U1920" s="15">
        <f>IF(OR('Controle de CT'!$R1914= "", 'Controle de CT'!$P1914= ""), "", 'Controle de CT'!$R1914-'Controle de CT'!$P1914)</f>
        <v>7.7083333333333365E-2</v>
      </c>
      <c r="V1920" s="1"/>
      <c r="W1920" s="2"/>
      <c r="X1920" s="2"/>
    </row>
    <row r="1921" spans="11:24" ht="15" hidden="1" customHeight="1">
      <c r="K1921" s="5">
        <v>46151</v>
      </c>
      <c r="L1921" t="s">
        <v>146</v>
      </c>
      <c r="M1921" s="22" t="str">
        <f>IF(Tabela1[[#This Row],[Motorista]]="","",IFERROR(_xlfn.XLOOKUP(Tabela1[[#This Row],[Motorista]],Base!A:A,Base!B:B),""))</f>
        <v>Transferência</v>
      </c>
      <c r="N1921" s="20" t="str">
        <f t="shared" si="100"/>
        <v>Aguardando Entrada</v>
      </c>
      <c r="O19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1" s="2">
        <v>0.27638888888888891</v>
      </c>
      <c r="R1921" s="16"/>
      <c r="S1921" s="16"/>
      <c r="T1921" s="14" t="str">
        <f>IF(OR(Tabela1[[#This Row],[Entrada]]="",Tabela1[[#This Row],[Saída]]=""), "", Tabela1[[#This Row],[Saída]]-Tabela1[[#This Row],[Entrada]])</f>
        <v/>
      </c>
      <c r="U1921" s="15" t="str">
        <f>IF(OR('Controle de CT'!$R1921= "", 'Controle de CT'!$P1921= ""), "", 'Controle de CT'!$R1921-'Controle de CT'!$P1921)</f>
        <v/>
      </c>
      <c r="V1921" s="1"/>
      <c r="W1921" s="2"/>
      <c r="X1921" s="2"/>
    </row>
    <row r="1922" spans="11:24" ht="15" hidden="1" customHeight="1">
      <c r="K1922" s="5">
        <v>46151</v>
      </c>
      <c r="L1922" s="8" t="s">
        <v>474</v>
      </c>
      <c r="M1922" s="9" t="s">
        <v>63</v>
      </c>
      <c r="N1922" s="20" t="str">
        <f t="shared" si="100"/>
        <v>Fila de Carregamento</v>
      </c>
      <c r="O19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2" s="4">
        <v>0.28749999999999998</v>
      </c>
      <c r="Q1922" s="4">
        <v>0.34166666666666667</v>
      </c>
      <c r="R1922" s="23"/>
      <c r="S1922" s="16"/>
      <c r="T1922" s="14" t="str">
        <f>IF(OR(Tabela1[[#This Row],[Entrada]]="",Tabela1[[#This Row],[Saída]]=""), "", Tabela1[[#This Row],[Saída]]-Tabela1[[#This Row],[Entrada]])</f>
        <v/>
      </c>
      <c r="U1922" s="15" t="str">
        <f>IF(OR('Controle de CT'!$R1922= "", 'Controle de CT'!$P1922= ""), "", 'Controle de CT'!$R1922-'Controle de CT'!$P1922)</f>
        <v/>
      </c>
      <c r="V1922" s="1"/>
      <c r="W1922" s="2"/>
      <c r="X1922" s="2"/>
    </row>
    <row r="1923" spans="11:24" ht="15" hidden="1" customHeight="1">
      <c r="K1923" s="5">
        <v>46151</v>
      </c>
      <c r="L1923" s="8" t="s">
        <v>542</v>
      </c>
      <c r="M1923" s="22" t="s">
        <v>63</v>
      </c>
      <c r="N1923" s="20" t="str">
        <f t="shared" si="100"/>
        <v>Finalizado</v>
      </c>
      <c r="O19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3" s="2">
        <v>0.2902777777777778</v>
      </c>
      <c r="Q1923" s="2">
        <v>0.34930555555555554</v>
      </c>
      <c r="R1923" s="16">
        <v>0.34930555555555554</v>
      </c>
      <c r="S1923" s="94" t="s">
        <v>254</v>
      </c>
      <c r="T1923" s="14">
        <f>IF(OR(Tabela1[[#This Row],[Entrada]]="",Tabela1[[#This Row],[Saída]]=""), "", Tabela1[[#This Row],[Saída]]-Tabela1[[#This Row],[Entrada]])</f>
        <v>0</v>
      </c>
      <c r="U1923" s="15">
        <f>IF(OR('Controle de CT'!$R1923= "", 'Controle de CT'!$P1923= ""), "", 'Controle de CT'!$R1923-'Controle de CT'!$P1923)</f>
        <v>5.9027777777777735E-2</v>
      </c>
      <c r="V1923" s="1"/>
      <c r="W1923" s="2"/>
      <c r="X1923" s="2"/>
    </row>
    <row r="1924" spans="11:24" ht="15" hidden="1" customHeight="1">
      <c r="K1924" s="5">
        <v>46151</v>
      </c>
      <c r="L1924" t="s">
        <v>90</v>
      </c>
      <c r="M1924" s="22" t="str">
        <f>IF(Tabela1[[#This Row],[Motorista]]="","",IFERROR(_xlfn.XLOOKUP(Tabela1[[#This Row],[Motorista]],Base!A:A,Base!B:B),""))</f>
        <v>FOB</v>
      </c>
      <c r="N1924" s="20" t="str">
        <f t="shared" si="100"/>
        <v>Fila de Carregamento</v>
      </c>
      <c r="O19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4" s="2">
        <v>0.28958333333333336</v>
      </c>
      <c r="Q1924" s="2">
        <v>0.3888888888888889</v>
      </c>
      <c r="R1924" s="16"/>
      <c r="S1924" s="16"/>
      <c r="T1924" s="14" t="str">
        <f>IF(OR(Tabela1[[#This Row],[Entrada]]="",Tabela1[[#This Row],[Saída]]=""), "", Tabela1[[#This Row],[Saída]]-Tabela1[[#This Row],[Entrada]])</f>
        <v/>
      </c>
      <c r="U1924" s="15" t="str">
        <f>IF(OR('Controle de CT'!$R1924= "", 'Controle de CT'!$P1924= ""), "", 'Controle de CT'!$R1924-'Controle de CT'!$P1924)</f>
        <v/>
      </c>
      <c r="V1924" s="1"/>
      <c r="W1924" s="2"/>
      <c r="X1924" s="2"/>
    </row>
    <row r="1925" spans="11:24" ht="15" hidden="1" customHeight="1">
      <c r="K1925" s="5">
        <v>46151</v>
      </c>
      <c r="L1925" t="s">
        <v>375</v>
      </c>
      <c r="M1925" s="22" t="str">
        <f>IF(Tabela1[[#This Row],[Motorista]]="","",IFERROR(_xlfn.XLOOKUP(Tabela1[[#This Row],[Motorista]],Base!A:A,Base!B:B),""))</f>
        <v>FOB</v>
      </c>
      <c r="N1925" s="20" t="str">
        <f t="shared" si="100"/>
        <v>Fila de Carregamento</v>
      </c>
      <c r="O19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5" s="2">
        <v>0.31111111111111112</v>
      </c>
      <c r="Q1925" s="2">
        <v>0.34722222222222221</v>
      </c>
      <c r="R1925" s="16"/>
      <c r="S1925" s="16"/>
      <c r="T1925" s="14" t="str">
        <f>IF(OR(Tabela1[[#This Row],[Entrada]]="",Tabela1[[#This Row],[Saída]]=""), "", Tabela1[[#This Row],[Saída]]-Tabela1[[#This Row],[Entrada]])</f>
        <v/>
      </c>
      <c r="U1925" s="15" t="str">
        <f>IF(OR('Controle de CT'!$R1925= "", 'Controle de CT'!$P1925= ""), "", 'Controle de CT'!$R1925-'Controle de CT'!$P1925)</f>
        <v/>
      </c>
      <c r="V1925" s="1"/>
      <c r="W1925" s="2"/>
      <c r="X1925" s="2"/>
    </row>
    <row r="1926" spans="11:24" ht="15" hidden="1" customHeight="1">
      <c r="K1926" s="5">
        <v>46151</v>
      </c>
      <c r="L1926" s="8" t="s">
        <v>543</v>
      </c>
      <c r="M1926" s="22" t="str">
        <f>IF(Tabela1[[#This Row],[Motorista]]="","",IFERROR(_xlfn.XLOOKUP(Tabela1[[#This Row],[Motorista]],Base!A:A,Base!B:B),""))</f>
        <v/>
      </c>
      <c r="N1926" s="20" t="str">
        <f t="shared" si="100"/>
        <v/>
      </c>
      <c r="O19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R1926" s="16"/>
      <c r="S1926" s="16"/>
      <c r="T1926" s="14" t="str">
        <f>IF(OR(Tabela1[[#This Row],[Entrada]]="",Tabela1[[#This Row],[Saída]]=""), "", Tabela1[[#This Row],[Saída]]-Tabela1[[#This Row],[Entrada]])</f>
        <v/>
      </c>
      <c r="U1926" s="15" t="str">
        <f>IF(OR('Controle de CT'!$R1926= "", 'Controle de CT'!$P1926= ""), "", 'Controle de CT'!$R1926-'Controle de CT'!$P1926)</f>
        <v/>
      </c>
      <c r="V1926" s="1"/>
      <c r="W1926" s="2"/>
      <c r="X1926" s="2"/>
    </row>
    <row r="1927" spans="11:24" ht="15" hidden="1" customHeight="1">
      <c r="K1927" s="5">
        <v>46153</v>
      </c>
      <c r="L1927" t="s">
        <v>114</v>
      </c>
      <c r="M1927" s="22" t="str">
        <f>IF(Tabela1[[#This Row],[Motorista]]="","",IFERROR(_xlfn.XLOOKUP(Tabela1[[#This Row],[Motorista]],Base!A:A,Base!B:B),""))</f>
        <v>FOB</v>
      </c>
      <c r="N1927" s="20" t="str">
        <f t="shared" si="100"/>
        <v>Aguardando Entrada</v>
      </c>
      <c r="O19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7" s="2">
        <v>8.3333333333333329E-2</v>
      </c>
      <c r="R1927" s="16"/>
      <c r="S1927" s="16"/>
      <c r="T1927" s="14" t="str">
        <f>IF(OR(Tabela1[[#This Row],[Entrada]]="",Tabela1[[#This Row],[Saída]]=""), "", Tabela1[[#This Row],[Saída]]-Tabela1[[#This Row],[Entrada]])</f>
        <v/>
      </c>
      <c r="U1927" s="15" t="str">
        <f>IF(OR('Controle de CT'!$R1927= "", 'Controle de CT'!$P1927= ""), "", 'Controle de CT'!$R1927-'Controle de CT'!$P1927)</f>
        <v/>
      </c>
      <c r="V1927" s="1"/>
      <c r="W1927" s="2"/>
      <c r="X1927" s="2"/>
    </row>
    <row r="1928" spans="11:24" ht="15" hidden="1" customHeight="1">
      <c r="K1928" s="5">
        <v>46153</v>
      </c>
      <c r="L1928" t="s">
        <v>116</v>
      </c>
      <c r="M1928" s="22" t="str">
        <f>IF(Tabela1[[#This Row],[Motorista]]="","",IFERROR(_xlfn.XLOOKUP(Tabela1[[#This Row],[Motorista]],Base!A:A,Base!B:B),""))</f>
        <v xml:space="preserve">CIF </v>
      </c>
      <c r="N1928" s="20" t="str">
        <f t="shared" si="100"/>
        <v>Finalizado</v>
      </c>
      <c r="O19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8" s="2">
        <v>0.20833333333333334</v>
      </c>
      <c r="Q1928" s="2">
        <v>0.27777777777777779</v>
      </c>
      <c r="R1928" s="16">
        <v>0.30763888888888891</v>
      </c>
      <c r="S1928" s="94" t="s">
        <v>254</v>
      </c>
      <c r="T1928" s="14">
        <f>IF(OR(Tabela1[[#This Row],[Entrada]]="",Tabela1[[#This Row],[Saída]]=""), "", Tabela1[[#This Row],[Saída]]-Tabela1[[#This Row],[Entrada]])</f>
        <v>2.9861111111111116E-2</v>
      </c>
      <c r="U1928" s="15">
        <f>IF(OR('Controle de CT'!$R1928= "", 'Controle de CT'!$P1928= ""), "", 'Controle de CT'!$R1928-'Controle de CT'!$P1928)</f>
        <v>9.9305555555555564E-2</v>
      </c>
      <c r="V1928" s="1"/>
      <c r="W1928" s="2"/>
      <c r="X1928" s="2"/>
    </row>
    <row r="1929" spans="11:24" ht="15" hidden="1" customHeight="1">
      <c r="K1929" s="5">
        <v>46153</v>
      </c>
      <c r="L1929" t="s">
        <v>87</v>
      </c>
      <c r="M1929" s="9" t="str">
        <f>IF(Tabela1[[#This Row],[Motorista]]="","",IFERROR(_xlfn.XLOOKUP(Tabela1[[#This Row],[Motorista]],Base!A:A,Base!B:B),""))</f>
        <v>FOB</v>
      </c>
      <c r="N1929" s="20" t="str">
        <f t="shared" si="100"/>
        <v>Finalizado</v>
      </c>
      <c r="O19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29" s="4">
        <v>0.24236111111111111</v>
      </c>
      <c r="Q1929" s="4">
        <v>0.32291666666666669</v>
      </c>
      <c r="R1929" s="23">
        <v>0.37430555555555556</v>
      </c>
      <c r="S1929" s="16"/>
      <c r="T1929" s="1"/>
      <c r="U1929" s="15">
        <f>IF(OR('Controle de CT'!$R1929= "", 'Controle de CT'!$P1929= ""), "", 'Controle de CT'!$R1929-'Controle de CT'!$P1929)</f>
        <v>0.13194444444444445</v>
      </c>
      <c r="V1929" s="1"/>
      <c r="W1929" s="2"/>
      <c r="X1929" s="2"/>
    </row>
    <row r="1930" spans="11:24" ht="15" hidden="1" customHeight="1">
      <c r="K1930" s="5">
        <v>46153</v>
      </c>
      <c r="L1930" t="s">
        <v>52</v>
      </c>
      <c r="M1930" s="9" t="str">
        <f>IF(Tabela1[[#This Row],[Motorista]]="","",IFERROR(_xlfn.XLOOKUP(Tabela1[[#This Row],[Motorista]],Base!A:A,Base!B:B),""))</f>
        <v>CIF</v>
      </c>
      <c r="N1930" s="20" t="str">
        <f t="shared" si="100"/>
        <v>Finalizado</v>
      </c>
      <c r="O19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0" s="4">
        <v>0.25138888888888888</v>
      </c>
      <c r="Q1930" s="4">
        <v>0.26944444444444443</v>
      </c>
      <c r="R1930" s="23">
        <v>0.30972222222222223</v>
      </c>
      <c r="S1930" s="94" t="s">
        <v>254</v>
      </c>
      <c r="T1930" s="1"/>
      <c r="U1930" s="15">
        <f>IF(OR('Controle de CT'!$R1930= "", 'Controle de CT'!$P1930= ""), "", 'Controle de CT'!$R1930-'Controle de CT'!$P1930)</f>
        <v>5.8333333333333348E-2</v>
      </c>
      <c r="V1930" s="1"/>
      <c r="W1930" s="2"/>
      <c r="X1930" s="2"/>
    </row>
    <row r="1931" spans="11:24" ht="15" hidden="1" customHeight="1">
      <c r="K1931" s="5">
        <v>46153</v>
      </c>
      <c r="L1931" t="s">
        <v>54</v>
      </c>
      <c r="M1931" s="9" t="str">
        <f>IF(Tabela1[[#This Row],[Motorista]]="","",IFERROR(_xlfn.XLOOKUP(Tabela1[[#This Row],[Motorista]],Base!A:A,Base!B:B),""))</f>
        <v>CIF</v>
      </c>
      <c r="N1931" s="20" t="str">
        <f t="shared" si="100"/>
        <v>Fila de Carregamento</v>
      </c>
      <c r="O19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1" s="4">
        <v>0.26041666666666669</v>
      </c>
      <c r="Q1931" s="4">
        <v>0.36249999999999999</v>
      </c>
      <c r="R1931" s="23"/>
      <c r="S1931" s="16"/>
      <c r="T1931" s="1"/>
      <c r="U1931" s="15" t="str">
        <f>IF(OR('Controle de CT'!$R1931= "", 'Controle de CT'!$P1931= ""), "", 'Controle de CT'!$R1931-'Controle de CT'!$P1931)</f>
        <v/>
      </c>
      <c r="V1931" s="1" t="s">
        <v>495</v>
      </c>
      <c r="W1931" s="2"/>
      <c r="X1931" s="2"/>
    </row>
    <row r="1932" spans="11:24" ht="15" hidden="1" customHeight="1">
      <c r="K1932" s="5">
        <v>46153</v>
      </c>
      <c r="L1932" t="s">
        <v>58</v>
      </c>
      <c r="M1932" s="9" t="str">
        <f>IF(Tabela1[[#This Row],[Motorista]]="","",IFERROR(_xlfn.XLOOKUP(Tabela1[[#This Row],[Motorista]],Base!A:A,Base!B:B),""))</f>
        <v xml:space="preserve">CIF </v>
      </c>
      <c r="N1932" s="20" t="str">
        <f t="shared" si="100"/>
        <v>Finalizado</v>
      </c>
      <c r="O19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2" s="4">
        <v>0.26458333333333334</v>
      </c>
      <c r="Q1932" s="4">
        <v>0.27291666666666664</v>
      </c>
      <c r="R1932" s="23">
        <v>0.32777777777777778</v>
      </c>
      <c r="S1932" s="16"/>
      <c r="T1932" s="1"/>
      <c r="U1932" s="15">
        <f>IF(OR('Controle de CT'!$R1932= "", 'Controle de CT'!$P1932= ""), "", 'Controle de CT'!$R1932-'Controle de CT'!$P1932)</f>
        <v>6.3194444444444442E-2</v>
      </c>
      <c r="V1932" s="1"/>
      <c r="W1932" s="2"/>
      <c r="X1932" s="2"/>
    </row>
    <row r="1933" spans="11:24" ht="15" hidden="1" customHeight="1">
      <c r="K1933" s="5">
        <v>46153</v>
      </c>
      <c r="L1933" t="s">
        <v>46</v>
      </c>
      <c r="M1933" s="9" t="str">
        <f>IF(Tabela1[[#This Row],[Motorista]]="","",IFERROR(_xlfn.XLOOKUP(Tabela1[[#This Row],[Motorista]],Base!A:A,Base!B:B),""))</f>
        <v>CIF</v>
      </c>
      <c r="N1933" s="20" t="str">
        <f t="shared" si="100"/>
        <v>Finalizado</v>
      </c>
      <c r="O19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33" s="4">
        <v>0.27361111111111114</v>
      </c>
      <c r="Q1933" s="4">
        <v>0.30833333333333335</v>
      </c>
      <c r="R1933" s="23">
        <v>0.34305555555555556</v>
      </c>
      <c r="S1933" s="16"/>
      <c r="T1933" s="1"/>
      <c r="U1933" s="15">
        <f>IF(OR('Controle de CT'!$R1933= "", 'Controle de CT'!$P1933= ""), "", 'Controle de CT'!$R1933-'Controle de CT'!$P1933)</f>
        <v>6.944444444444442E-2</v>
      </c>
      <c r="V1933" s="1" t="s">
        <v>334</v>
      </c>
      <c r="W1933" s="2"/>
      <c r="X1933" s="2"/>
    </row>
    <row r="1934" spans="11:24" ht="15" hidden="1" customHeight="1">
      <c r="K1934" s="5">
        <v>46153</v>
      </c>
      <c r="L1934" t="s">
        <v>48</v>
      </c>
      <c r="M1934" s="9" t="str">
        <f>IF(Tabela1[[#This Row],[Motorista]]="","",IFERROR(_xlfn.XLOOKUP(Tabela1[[#This Row],[Motorista]],Base!A:A,Base!B:B),""))</f>
        <v>CIF</v>
      </c>
      <c r="N1934" s="20" t="str">
        <f t="shared" si="100"/>
        <v>Finalizado</v>
      </c>
      <c r="O19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4" s="4">
        <v>0.28402777777777777</v>
      </c>
      <c r="Q1934" s="4">
        <v>0.30277777777777776</v>
      </c>
      <c r="R1934" s="23">
        <v>0.33402777777777776</v>
      </c>
      <c r="S1934" s="16"/>
      <c r="T1934" s="1"/>
      <c r="U1934" s="15">
        <f>IF(OR('Controle de CT'!$R1934= "", 'Controle de CT'!$P1934= ""), "", 'Controle de CT'!$R1934-'Controle de CT'!$P1934)</f>
        <v>4.9999999999999989E-2</v>
      </c>
      <c r="V1934" s="1"/>
      <c r="W1934" s="2"/>
      <c r="X1934" s="2"/>
    </row>
    <row r="1935" spans="11:24" ht="15" hidden="1" customHeight="1">
      <c r="K1935" s="5">
        <v>46153</v>
      </c>
      <c r="L1935" t="s">
        <v>375</v>
      </c>
      <c r="M1935" s="9" t="str">
        <f>IF(Tabela1[[#This Row],[Motorista]]="","",IFERROR(_xlfn.XLOOKUP(Tabela1[[#This Row],[Motorista]],Base!A:A,Base!B:B),""))</f>
        <v>FOB</v>
      </c>
      <c r="N1935" s="20" t="str">
        <f t="shared" si="100"/>
        <v>Finalizado</v>
      </c>
      <c r="O19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5" s="4">
        <v>0.30277777777777776</v>
      </c>
      <c r="Q1935" s="4"/>
      <c r="R1935" s="23">
        <v>0.3659722222222222</v>
      </c>
      <c r="S1935" s="16"/>
      <c r="T1935" s="1"/>
      <c r="U1935" s="15">
        <f>IF(OR('Controle de CT'!$R1935= "", 'Controle de CT'!$P1935= ""), "", 'Controle de CT'!$R1935-'Controle de CT'!$P1935)</f>
        <v>6.3194444444444442E-2</v>
      </c>
      <c r="V1935" s="1"/>
      <c r="W1935" s="2"/>
      <c r="X1935" s="2"/>
    </row>
    <row r="1936" spans="11:24" ht="15" hidden="1" customHeight="1">
      <c r="K1936" s="5">
        <v>46153</v>
      </c>
      <c r="L1936" t="s">
        <v>89</v>
      </c>
      <c r="M1936" s="9" t="str">
        <f>IF(Tabela1[[#This Row],[Motorista]]="","",IFERROR(_xlfn.XLOOKUP(Tabela1[[#This Row],[Motorista]],Base!A:A,Base!B:B),""))</f>
        <v>FOB</v>
      </c>
      <c r="N1936" s="20" t="str">
        <f t="shared" si="100"/>
        <v>Finalizado</v>
      </c>
      <c r="O19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6" s="4">
        <v>0.31111111111111112</v>
      </c>
      <c r="Q1936" s="4">
        <v>0.34027777777777779</v>
      </c>
      <c r="R1936" s="23">
        <v>0.39027777777777778</v>
      </c>
      <c r="S1936" s="16"/>
      <c r="T1936" s="1"/>
      <c r="U1936" s="15">
        <f>IF(OR('Controle de CT'!$R1936= "", 'Controle de CT'!$P1936= ""), "", 'Controle de CT'!$R1936-'Controle de CT'!$P1936)</f>
        <v>7.9166666666666663E-2</v>
      </c>
      <c r="V1936" s="1"/>
      <c r="W1936" s="2"/>
      <c r="X1936" s="2"/>
    </row>
    <row r="1937" spans="11:24" ht="15" hidden="1" customHeight="1">
      <c r="K1937" s="5">
        <v>46153</v>
      </c>
      <c r="L1937" t="s">
        <v>278</v>
      </c>
      <c r="M1937" s="9" t="str">
        <f>IF(Tabela1[[#This Row],[Motorista]]="","",IFERROR(_xlfn.XLOOKUP(Tabela1[[#This Row],[Motorista]],Base!A:A,Base!B:B),""))</f>
        <v>FOB</v>
      </c>
      <c r="N1937" s="20" t="str">
        <f t="shared" si="100"/>
        <v>Aguardando Entrada</v>
      </c>
      <c r="O19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7" s="4">
        <v>0.3125</v>
      </c>
      <c r="Q1937" s="4"/>
      <c r="R1937" s="23"/>
      <c r="S1937" s="16"/>
      <c r="T1937" s="1"/>
      <c r="U1937" s="15" t="str">
        <f>IF(OR('Controle de CT'!$R1937= "", 'Controle de CT'!$P1937= ""), "", 'Controle de CT'!$R1937-'Controle de CT'!$P1937)</f>
        <v/>
      </c>
      <c r="V1937" s="1"/>
      <c r="W1937" s="2"/>
      <c r="X1937" s="2"/>
    </row>
    <row r="1938" spans="11:24" ht="15" hidden="1" customHeight="1">
      <c r="K1938" s="5">
        <v>46153</v>
      </c>
      <c r="L1938" s="8" t="s">
        <v>544</v>
      </c>
      <c r="M1938" s="9" t="s">
        <v>62</v>
      </c>
      <c r="N1938" s="20" t="str">
        <f t="shared" si="100"/>
        <v>Finalizado</v>
      </c>
      <c r="O19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8" s="4">
        <v>0.35833333333333334</v>
      </c>
      <c r="Q1938" s="4">
        <v>0.37916666666666665</v>
      </c>
      <c r="R1938" s="23">
        <v>0.47916666666666669</v>
      </c>
      <c r="S1938" s="16"/>
      <c r="T1938" s="1"/>
      <c r="U1938" s="15">
        <f>IF(OR('Controle de CT'!$R1938= "", 'Controle de CT'!$P1938= ""), "", 'Controle de CT'!$R1938-'Controle de CT'!$P1938)</f>
        <v>0.12083333333333335</v>
      </c>
      <c r="V1938" s="1" t="s">
        <v>226</v>
      </c>
      <c r="W1938" s="2"/>
      <c r="X1938" s="2"/>
    </row>
    <row r="1939" spans="11:24" ht="15" hidden="1" customHeight="1">
      <c r="K1939" s="5">
        <v>46153</v>
      </c>
      <c r="L1939" s="8" t="s">
        <v>498</v>
      </c>
      <c r="M1939" s="9" t="s">
        <v>63</v>
      </c>
      <c r="N1939" s="20" t="str">
        <f t="shared" si="100"/>
        <v>Aguardando Entrada</v>
      </c>
      <c r="O19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39" s="4">
        <v>0.375</v>
      </c>
      <c r="Q1939" s="4"/>
      <c r="R1939" s="23"/>
      <c r="S1939" s="16"/>
      <c r="T1939" s="1"/>
      <c r="U1939" s="15" t="str">
        <f>IF(OR('Controle de CT'!$R1939= "", 'Controle de CT'!$P1939= ""), "", 'Controle de CT'!$R1939-'Controle de CT'!$P1939)</f>
        <v/>
      </c>
      <c r="V1939" s="1"/>
      <c r="W1939" s="2"/>
      <c r="X1939" s="2"/>
    </row>
    <row r="1940" spans="11:24" ht="15" hidden="1" customHeight="1">
      <c r="K1940" s="5">
        <v>46153</v>
      </c>
      <c r="L1940" s="8" t="s">
        <v>545</v>
      </c>
      <c r="M1940" s="9" t="str">
        <f>IF(Tabela1[[#This Row],[Motorista]]="","",IFERROR(_xlfn.XLOOKUP(Tabela1[[#This Row],[Motorista]],Base!A:A,Base!B:B),""))</f>
        <v/>
      </c>
      <c r="N1940" s="20" t="str">
        <f t="shared" si="100"/>
        <v/>
      </c>
      <c r="O19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0" s="4"/>
      <c r="Q1940" s="4"/>
      <c r="R1940" s="23"/>
      <c r="S1940" s="16"/>
      <c r="T1940" s="1"/>
      <c r="U1940" s="15" t="str">
        <f>IF(OR('Controle de CT'!$R1940= "", 'Controle de CT'!$P1940= ""), "", 'Controle de CT'!$R1940-'Controle de CT'!$P1940)</f>
        <v/>
      </c>
      <c r="V1940" s="1"/>
      <c r="W1940" s="2"/>
      <c r="X1940" s="2"/>
    </row>
    <row r="1941" spans="11:24" ht="15" hidden="1" customHeight="1">
      <c r="K1941" s="5">
        <v>46153</v>
      </c>
      <c r="L1941" s="8" t="s">
        <v>46</v>
      </c>
      <c r="M1941" s="9" t="str">
        <f>IF(Tabela1[[#This Row],[Motorista]]="","",IFERROR(_xlfn.XLOOKUP(Tabela1[[#This Row],[Motorista]],Base!A:A,Base!B:B),""))</f>
        <v>CIF</v>
      </c>
      <c r="N1941" s="20" t="str">
        <f t="shared" ref="N1941:N1977" si="101">IF(R1941&lt;&gt;"","Finalizado", IF(Q1941&lt;&gt;"","Fila de Carregamento", IF(P1941&lt;&gt;"","Aguardando Entrada","")))</f>
        <v>Finalizado</v>
      </c>
      <c r="O19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41" s="4">
        <v>0.42083333333333334</v>
      </c>
      <c r="Q1941" s="4">
        <v>0.43333333333333335</v>
      </c>
      <c r="R1941" s="23">
        <v>0.47499999999999998</v>
      </c>
      <c r="S1941" s="16"/>
      <c r="T1941" s="1"/>
      <c r="U1941" s="15">
        <f>IF(OR('Controle de CT'!$R1941= "", 'Controle de CT'!$P1941= ""), "", 'Controle de CT'!$R1941-'Controle de CT'!$P1941)</f>
        <v>5.4166666666666641E-2</v>
      </c>
      <c r="V1941" s="1"/>
      <c r="W1941" s="2"/>
      <c r="X1941" s="2"/>
    </row>
    <row r="1942" spans="11:24" ht="15" hidden="1" customHeight="1">
      <c r="K1942" s="5">
        <v>46153</v>
      </c>
      <c r="L1942" s="8" t="s">
        <v>546</v>
      </c>
      <c r="M1942" s="9" t="str">
        <f>IF(Tabela1[[#This Row],[Motorista]]="","",IFERROR(_xlfn.XLOOKUP(Tabela1[[#This Row],[Motorista]],Base!A:A,Base!B:B),""))</f>
        <v/>
      </c>
      <c r="N1942" s="20" t="str">
        <f t="shared" si="101"/>
        <v/>
      </c>
      <c r="O19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2" s="4"/>
      <c r="Q1942" s="4"/>
      <c r="R1942" s="23"/>
      <c r="S1942" s="16"/>
      <c r="T1942" s="1"/>
      <c r="U1942" s="15" t="str">
        <f>IF(OR('Controle de CT'!$R1942= "", 'Controle de CT'!$P1942= ""), "", 'Controle de CT'!$R1942-'Controle de CT'!$P1942)</f>
        <v/>
      </c>
      <c r="V1942" s="1" t="s">
        <v>226</v>
      </c>
      <c r="W1942" s="2"/>
      <c r="X1942" s="2"/>
    </row>
    <row r="1943" spans="11:24" ht="15" hidden="1" customHeight="1">
      <c r="K1943" s="5">
        <v>46153</v>
      </c>
      <c r="L1943" s="8" t="s">
        <v>547</v>
      </c>
      <c r="M1943" s="9" t="str">
        <f>IF(Tabela1[[#This Row],[Motorista]]="","",IFERROR(_xlfn.XLOOKUP(Tabela1[[#This Row],[Motorista]],Base!A:A,Base!B:B),""))</f>
        <v/>
      </c>
      <c r="N1943" s="20" t="str">
        <f t="shared" si="101"/>
        <v/>
      </c>
      <c r="O19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3" s="4"/>
      <c r="Q1943" s="4"/>
      <c r="R1943" s="23"/>
      <c r="S1943" s="16"/>
      <c r="T1943" s="1"/>
      <c r="U1943" s="15" t="str">
        <f>IF(OR('Controle de CT'!$R1943= "", 'Controle de CT'!$P1943= ""), "", 'Controle de CT'!$R1943-'Controle de CT'!$P1943)</f>
        <v/>
      </c>
      <c r="V1943" s="1"/>
      <c r="W1943" s="2"/>
      <c r="X1943" s="2"/>
    </row>
    <row r="1944" spans="11:24" ht="15" hidden="1" customHeight="1">
      <c r="K1944" s="5">
        <v>46154</v>
      </c>
      <c r="L1944" s="8" t="s">
        <v>116</v>
      </c>
      <c r="M1944" s="9" t="str">
        <f>IF(Tabela1[[#This Row],[Motorista]]="","",IFERROR(_xlfn.XLOOKUP(Tabela1[[#This Row],[Motorista]],Base!A:A,Base!B:B),""))</f>
        <v xml:space="preserve">CIF </v>
      </c>
      <c r="N1944" s="20" t="str">
        <f t="shared" si="101"/>
        <v>Finalizado</v>
      </c>
      <c r="O19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4" s="4">
        <v>0.21388888888888888</v>
      </c>
      <c r="Q1944" s="4">
        <v>0.2673611111111111</v>
      </c>
      <c r="R1944" s="23">
        <v>0.2951388888888889</v>
      </c>
      <c r="S1944" s="94" t="s">
        <v>254</v>
      </c>
      <c r="T1944" s="1"/>
      <c r="U1944" s="15">
        <f>IF(OR('Controle de CT'!$R1944= "", 'Controle de CT'!$P1944= ""), "", 'Controle de CT'!$R1944-'Controle de CT'!$P1944)</f>
        <v>8.1250000000000017E-2</v>
      </c>
      <c r="V1944" s="1"/>
      <c r="W1944" s="2"/>
      <c r="X1944" s="2"/>
    </row>
    <row r="1945" spans="11:24" ht="15" hidden="1" customHeight="1">
      <c r="K1945" s="5">
        <v>46154</v>
      </c>
      <c r="L1945" s="8" t="s">
        <v>324</v>
      </c>
      <c r="M1945" s="9" t="s">
        <v>63</v>
      </c>
      <c r="N1945" s="20" t="str">
        <f t="shared" si="101"/>
        <v>Finalizado</v>
      </c>
      <c r="O19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5" s="4">
        <v>0.24444444444444444</v>
      </c>
      <c r="Q1945" s="4">
        <v>0.28958333333333336</v>
      </c>
      <c r="R1945" s="23">
        <v>0.34513888888888888</v>
      </c>
      <c r="S1945" s="16"/>
      <c r="T1945" s="1"/>
      <c r="U1945" s="15">
        <f>IF(OR('Controle de CT'!$R1945= "", 'Controle de CT'!$P1945= ""), "", 'Controle de CT'!$R1945-'Controle de CT'!$P1945)</f>
        <v>0.10069444444444445</v>
      </c>
      <c r="V1945" s="1"/>
      <c r="W1945" s="2"/>
      <c r="X1945" s="2"/>
    </row>
    <row r="1946" spans="11:24" ht="15" hidden="1" customHeight="1">
      <c r="K1946" s="5">
        <v>46154</v>
      </c>
      <c r="L1946" s="8" t="s">
        <v>548</v>
      </c>
      <c r="M1946" s="9" t="s">
        <v>63</v>
      </c>
      <c r="N1946" s="20" t="str">
        <f t="shared" si="101"/>
        <v>Finalizado</v>
      </c>
      <c r="O19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6" s="4">
        <v>0.25555555555555554</v>
      </c>
      <c r="Q1946" s="4">
        <v>0.34513888888888888</v>
      </c>
      <c r="R1946" s="23">
        <v>0.38750000000000001</v>
      </c>
      <c r="S1946" s="16"/>
      <c r="T1946" s="1"/>
      <c r="U1946" s="15">
        <f>IF(OR('Controle de CT'!$R1946= "", 'Controle de CT'!$P1946= ""), "", 'Controle de CT'!$R1946-'Controle de CT'!$P1946)</f>
        <v>0.13194444444444448</v>
      </c>
      <c r="V1946" s="1"/>
      <c r="W1946" s="2"/>
      <c r="X1946" s="2"/>
    </row>
    <row r="1947" spans="11:24" ht="15" hidden="1" customHeight="1">
      <c r="K1947" s="5">
        <v>46154</v>
      </c>
      <c r="L1947" s="8" t="s">
        <v>49</v>
      </c>
      <c r="M1947" s="9" t="str">
        <f>IF(Tabela1[[#This Row],[Motorista]]="","",IFERROR(_xlfn.XLOOKUP(Tabela1[[#This Row],[Motorista]],Base!A:A,Base!B:B),""))</f>
        <v>CIF</v>
      </c>
      <c r="N1947" s="20" t="str">
        <f t="shared" si="101"/>
        <v>Finalizado</v>
      </c>
      <c r="O19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7" s="4">
        <v>0.25555555555555554</v>
      </c>
      <c r="Q1947" s="4">
        <v>0.27500000000000002</v>
      </c>
      <c r="R1947" s="23">
        <v>0.30625000000000002</v>
      </c>
      <c r="S1947" s="94" t="s">
        <v>254</v>
      </c>
      <c r="T1947" s="1"/>
      <c r="U1947" s="15">
        <f>IF(OR('Controle de CT'!$R1947= "", 'Controle de CT'!$P1947= ""), "", 'Controle de CT'!$R1947-'Controle de CT'!$P1947)</f>
        <v>5.0694444444444486E-2</v>
      </c>
      <c r="V1947" s="1"/>
      <c r="W1947" s="2"/>
      <c r="X1947" s="2"/>
    </row>
    <row r="1948" spans="11:24" ht="15" hidden="1" customHeight="1">
      <c r="K1948" s="5">
        <v>46154</v>
      </c>
      <c r="L1948" t="s">
        <v>46</v>
      </c>
      <c r="M1948" s="9" t="str">
        <f>IF(Tabela1[[#This Row],[Motorista]]="","",IFERROR(_xlfn.XLOOKUP(Tabela1[[#This Row],[Motorista]],Base!A:A,Base!B:B),""))</f>
        <v>CIF</v>
      </c>
      <c r="N1948" s="20" t="str">
        <f t="shared" si="101"/>
        <v>Fila de Carregamento</v>
      </c>
      <c r="O19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48" s="4">
        <v>0.26666666666666666</v>
      </c>
      <c r="Q1948" s="4">
        <v>0.27986111111111112</v>
      </c>
      <c r="R1948" s="23"/>
      <c r="S1948" s="94" t="s">
        <v>254</v>
      </c>
      <c r="T1948" s="1"/>
      <c r="U1948" s="15" t="str">
        <f>IF(OR('Controle de CT'!$R1948= "", 'Controle de CT'!$P1948= ""), "", 'Controle de CT'!$R1948-'Controle de CT'!$P1948)</f>
        <v/>
      </c>
      <c r="V1948" s="1"/>
      <c r="W1948" s="2"/>
      <c r="X1948" s="2"/>
    </row>
    <row r="1949" spans="11:24" ht="15" hidden="1" customHeight="1">
      <c r="K1949" s="5">
        <v>46154</v>
      </c>
      <c r="L1949" t="s">
        <v>89</v>
      </c>
      <c r="M1949" s="9" t="str">
        <f>IF(Tabela1[[#This Row],[Motorista]]="","",IFERROR(_xlfn.XLOOKUP(Tabela1[[#This Row],[Motorista]],Base!A:A,Base!B:B),""))</f>
        <v>FOB</v>
      </c>
      <c r="N1949" s="20" t="str">
        <f t="shared" si="101"/>
        <v>Fila de Carregamento</v>
      </c>
      <c r="O19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49" s="4">
        <v>0.26597222222222222</v>
      </c>
      <c r="Q1949" s="4">
        <v>0.29166666666666669</v>
      </c>
      <c r="R1949" s="23"/>
      <c r="S1949" s="16"/>
      <c r="T1949" s="1"/>
      <c r="U1949" s="15" t="str">
        <f>IF(OR('Controle de CT'!$R1949= "", 'Controle de CT'!$P1949= ""), "", 'Controle de CT'!$R1949-'Controle de CT'!$P1949)</f>
        <v/>
      </c>
      <c r="V1949" s="1"/>
      <c r="W1949" s="2"/>
      <c r="X1949" s="2"/>
    </row>
    <row r="1950" spans="11:24" ht="15" hidden="1" customHeight="1">
      <c r="K1950" s="5">
        <v>46154</v>
      </c>
      <c r="L1950" t="s">
        <v>375</v>
      </c>
      <c r="M1950" s="9" t="str">
        <f>IF(Tabela1[[#This Row],[Motorista]]="","",IFERROR(_xlfn.XLOOKUP(Tabela1[[#This Row],[Motorista]],Base!A:A,Base!B:B),""))</f>
        <v>FOB</v>
      </c>
      <c r="N1950" s="20" t="str">
        <f t="shared" si="101"/>
        <v>Fila de Carregamento</v>
      </c>
      <c r="O19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0" s="4">
        <v>0.27152777777777776</v>
      </c>
      <c r="Q1950" s="4">
        <v>0.3</v>
      </c>
      <c r="R1950" s="23"/>
      <c r="S1950" s="16"/>
      <c r="T1950" s="15" t="str">
        <f>IF(OR('Controle de CT'!$R1950= "", 'Controle de CT'!$P1950= ""), "", 'Controle de CT'!$R1950-'Controle de CT'!$P1950)</f>
        <v/>
      </c>
      <c r="U1950" s="1"/>
      <c r="V1950" s="1"/>
      <c r="W1950" s="2"/>
      <c r="X1950" s="2"/>
    </row>
    <row r="1951" spans="11:24" ht="15" hidden="1" customHeight="1">
      <c r="K1951" s="5">
        <v>46154</v>
      </c>
      <c r="L1951" t="s">
        <v>57</v>
      </c>
      <c r="M1951" s="9" t="str">
        <f>IF(Tabela1[[#This Row],[Motorista]]="","",IFERROR(_xlfn.XLOOKUP(Tabela1[[#This Row],[Motorista]],Base!A:A,Base!B:B),""))</f>
        <v>CIF</v>
      </c>
      <c r="N1951" s="20" t="str">
        <f t="shared" si="101"/>
        <v>Fila de Carregamento</v>
      </c>
      <c r="O19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1" s="4">
        <v>0.27430555555555558</v>
      </c>
      <c r="Q1951" s="4">
        <v>0.28611111111111109</v>
      </c>
      <c r="R1951" s="23"/>
      <c r="S1951" s="94" t="s">
        <v>254</v>
      </c>
      <c r="T1951" s="15" t="str">
        <f>IF(OR('Controle de CT'!$R1951= "", 'Controle de CT'!$P1951= ""), "", 'Controle de CT'!$R1951-'Controle de CT'!$P1951)</f>
        <v/>
      </c>
      <c r="U1951" s="1"/>
      <c r="V1951" s="1"/>
      <c r="W1951" s="2"/>
      <c r="X1951" s="2"/>
    </row>
    <row r="1952" spans="11:24" ht="15" hidden="1" customHeight="1">
      <c r="K1952" s="5">
        <v>46154</v>
      </c>
      <c r="L1952" s="8" t="s">
        <v>549</v>
      </c>
      <c r="M1952" s="9" t="str">
        <f>IF(Tabela1[[#This Row],[Motorista]]="","",IFERROR(_xlfn.XLOOKUP(Tabela1[[#This Row],[Motorista]],Base!A:A,Base!B:B),""))</f>
        <v/>
      </c>
      <c r="N1952" s="20" t="str">
        <f t="shared" si="101"/>
        <v>Finalizado</v>
      </c>
      <c r="O19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2" s="4"/>
      <c r="Q1952" s="4"/>
      <c r="R1952" s="23">
        <v>0.3</v>
      </c>
      <c r="S1952" s="16"/>
      <c r="T1952" s="15" t="str">
        <f>IF(OR('Controle de CT'!$R1952= "", 'Controle de CT'!$P1952= ""), "", 'Controle de CT'!$R1952-'Controle de CT'!$P1952)</f>
        <v/>
      </c>
      <c r="U1952" s="1"/>
      <c r="V1952" s="1"/>
      <c r="W1952" s="2"/>
      <c r="X1952" s="2"/>
    </row>
    <row r="1953" spans="11:24" ht="15" hidden="1" customHeight="1">
      <c r="K1953" s="5">
        <v>46154</v>
      </c>
      <c r="L1953" s="8" t="s">
        <v>296</v>
      </c>
      <c r="M1953" s="9" t="str">
        <f>IF(Tabela1[[#This Row],[Motorista]]="","",IFERROR(_xlfn.XLOOKUP(Tabela1[[#This Row],[Motorista]],Base!A:A,Base!B:B),""))</f>
        <v/>
      </c>
      <c r="N1953" s="20" t="str">
        <f t="shared" si="101"/>
        <v>Fila de Carregamento</v>
      </c>
      <c r="O19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3" s="4">
        <v>0.31458333333333333</v>
      </c>
      <c r="Q1953" s="4">
        <v>0.32222222222222224</v>
      </c>
      <c r="R1953" s="23"/>
      <c r="S1953" s="16"/>
      <c r="T1953" s="15" t="str">
        <f>IF(OR('Controle de CT'!$R1953= "", 'Controle de CT'!$P1953= ""), "", 'Controle de CT'!$R1953-'Controle de CT'!$P1953)</f>
        <v/>
      </c>
      <c r="U1953" s="1"/>
      <c r="V1953" s="1"/>
      <c r="W1953" s="2"/>
      <c r="X1953" s="2"/>
    </row>
    <row r="1954" spans="11:24" ht="15" hidden="1" customHeight="1">
      <c r="K1954" s="5">
        <v>46154</v>
      </c>
      <c r="L1954" t="s">
        <v>278</v>
      </c>
      <c r="M1954" s="9" t="str">
        <f>IF(Tabela1[[#This Row],[Motorista]]="","",IFERROR(_xlfn.XLOOKUP(Tabela1[[#This Row],[Motorista]],Base!A:A,Base!B:B),""))</f>
        <v>FOB</v>
      </c>
      <c r="N1954" s="20" t="str">
        <f t="shared" si="101"/>
        <v>Fila de Carregamento</v>
      </c>
      <c r="O19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4" s="4">
        <v>0.31666666666666665</v>
      </c>
      <c r="Q1954" s="4">
        <v>0.34930555555555554</v>
      </c>
      <c r="R1954" s="23"/>
      <c r="S1954" s="16"/>
      <c r="T1954" s="15" t="str">
        <f>IF(OR('Controle de CT'!$R1954= "", 'Controle de CT'!$P1954= ""), "", 'Controle de CT'!$R1954-'Controle de CT'!$P1954)</f>
        <v/>
      </c>
      <c r="U1954" s="1"/>
      <c r="V1954" s="1"/>
      <c r="W1954" s="2"/>
      <c r="X1954" s="2"/>
    </row>
    <row r="1955" spans="11:24" ht="15" hidden="1" customHeight="1">
      <c r="K1955" s="5">
        <v>46154</v>
      </c>
      <c r="L1955" s="8" t="s">
        <v>550</v>
      </c>
      <c r="M1955" s="9" t="str">
        <f>IF(Tabela1[[#This Row],[Motorista]]="","",IFERROR(_xlfn.XLOOKUP(Tabela1[[#This Row],[Motorista]],Base!A:A,Base!B:B),""))</f>
        <v/>
      </c>
      <c r="N1955" s="20" t="str">
        <f t="shared" si="101"/>
        <v>Fila de Carregamento</v>
      </c>
      <c r="O19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5" s="4">
        <v>0.58611111111111114</v>
      </c>
      <c r="Q1955" s="4">
        <v>0.61319444444444449</v>
      </c>
      <c r="R1955" s="23"/>
      <c r="S1955" s="16"/>
      <c r="T1955" s="15" t="str">
        <f>IF(OR('Controle de CT'!$R1955= "", 'Controle de CT'!$P1955= ""), "", 'Controle de CT'!$R1955-'Controle de CT'!$P1955)</f>
        <v/>
      </c>
      <c r="U1955" s="1"/>
      <c r="V1955" s="1"/>
      <c r="W1955" s="2"/>
      <c r="X1955" s="2"/>
    </row>
    <row r="1956" spans="11:24" ht="15" hidden="1" customHeight="1">
      <c r="K1956" s="5">
        <v>46154</v>
      </c>
      <c r="L1956" s="8" t="s">
        <v>89</v>
      </c>
      <c r="M1956" s="9" t="str">
        <f>IF(Tabela1[[#This Row],[Motorista]]="","",IFERROR(_xlfn.XLOOKUP(Tabela1[[#This Row],[Motorista]],Base!A:A,Base!B:B),""))</f>
        <v>FOB</v>
      </c>
      <c r="N1956" s="20" t="str">
        <f t="shared" si="101"/>
        <v>Fila de Carregamento</v>
      </c>
      <c r="O19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56" s="4">
        <v>0.55208333333333337</v>
      </c>
      <c r="Q1956" s="4">
        <v>0.58958333333333335</v>
      </c>
      <c r="R1956" s="23"/>
      <c r="S1956" s="16"/>
      <c r="T1956" s="15" t="str">
        <f>IF(OR('Controle de CT'!$R1956= "", 'Controle de CT'!$P1956= ""), "", 'Controle de CT'!$R1956-'Controle de CT'!$P1956)</f>
        <v/>
      </c>
      <c r="U1956" s="1"/>
      <c r="V1956" s="1"/>
      <c r="W1956" s="2"/>
      <c r="X1956" s="2"/>
    </row>
    <row r="1957" spans="11:24" ht="15" hidden="1" customHeight="1">
      <c r="K1957" s="5">
        <v>46154</v>
      </c>
      <c r="L1957" s="8" t="s">
        <v>551</v>
      </c>
      <c r="M1957" s="9" t="str">
        <f>IF(Tabela1[[#This Row],[Motorista]]="","",IFERROR(_xlfn.XLOOKUP(Tabela1[[#This Row],[Motorista]],Base!A:A,Base!B:B),""))</f>
        <v/>
      </c>
      <c r="N1957" s="20" t="str">
        <f t="shared" si="101"/>
        <v>Fila de Carregamento</v>
      </c>
      <c r="O19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7" s="4">
        <v>0.52638888888888891</v>
      </c>
      <c r="Q1957" s="4">
        <v>0.61458333333333337</v>
      </c>
      <c r="R1957" s="23"/>
      <c r="S1957" s="16"/>
      <c r="T1957" s="15" t="str">
        <f>IF(OR('Controle de CT'!$R1957= "", 'Controle de CT'!$P1957= ""), "", 'Controle de CT'!$R1957-'Controle de CT'!$P1957)</f>
        <v/>
      </c>
      <c r="U1957" s="1"/>
      <c r="V1957" s="1"/>
      <c r="W1957" s="2"/>
      <c r="X1957" s="2"/>
    </row>
    <row r="1958" spans="11:24" ht="15" hidden="1" customHeight="1">
      <c r="K1958" s="5">
        <v>46154</v>
      </c>
      <c r="L1958" s="8" t="s">
        <v>552</v>
      </c>
      <c r="M1958" s="9" t="str">
        <f>IF(Tabela1[[#This Row],[Motorista]]="","",IFERROR(_xlfn.XLOOKUP(Tabela1[[#This Row],[Motorista]],Base!A:A,Base!B:B),""))</f>
        <v/>
      </c>
      <c r="N1958" s="20" t="str">
        <f t="shared" si="101"/>
        <v>Fila de Carregamento</v>
      </c>
      <c r="O19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8" s="4">
        <v>0.58472222222222225</v>
      </c>
      <c r="Q1958" s="4">
        <v>0.61597222222222225</v>
      </c>
      <c r="R1958" s="23"/>
      <c r="S1958" s="16"/>
      <c r="T1958" s="15" t="str">
        <f>IF(OR('Controle de CT'!$R1958= "", 'Controle de CT'!$P1958= ""), "", 'Controle de CT'!$R1958-'Controle de CT'!$P1958)</f>
        <v/>
      </c>
      <c r="U1958" s="1"/>
      <c r="V1958" s="1" t="s">
        <v>226</v>
      </c>
      <c r="W1958" s="2"/>
      <c r="X1958" s="2"/>
    </row>
    <row r="1959" spans="11:24" ht="15" hidden="1" customHeight="1">
      <c r="K1959" s="5">
        <v>46155</v>
      </c>
      <c r="L1959" s="8" t="s">
        <v>553</v>
      </c>
      <c r="M1959" s="9" t="s">
        <v>63</v>
      </c>
      <c r="N1959" s="20" t="str">
        <f t="shared" si="101"/>
        <v>Fila de Carregamento</v>
      </c>
      <c r="O19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59" s="4">
        <v>0</v>
      </c>
      <c r="Q1959" s="4">
        <v>0.28055555555555556</v>
      </c>
      <c r="R1959" s="23"/>
      <c r="S1959" s="94" t="s">
        <v>254</v>
      </c>
      <c r="T1959" s="15" t="str">
        <f>IF(OR('Controle de CT'!$R1959= "", 'Controle de CT'!$P1959= ""), "", 'Controle de CT'!$R1959-'Controle de CT'!$P1959)</f>
        <v/>
      </c>
      <c r="U1959" s="1"/>
      <c r="V1959" s="1"/>
      <c r="W1959" s="2"/>
      <c r="X1959" s="2"/>
    </row>
    <row r="1960" spans="11:24" ht="15" hidden="1" customHeight="1">
      <c r="K1960" s="5">
        <v>46155</v>
      </c>
      <c r="L1960" s="8" t="s">
        <v>116</v>
      </c>
      <c r="M1960" s="9" t="str">
        <f>IF(Tabela1[[#This Row],[Motorista]]="","",IFERROR(_xlfn.XLOOKUP(Tabela1[[#This Row],[Motorista]],Base!A:A,Base!B:B),""))</f>
        <v xml:space="preserve">CIF </v>
      </c>
      <c r="N1960" s="20" t="str">
        <f t="shared" si="101"/>
        <v>Fila de Carregamento</v>
      </c>
      <c r="O19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0" s="4">
        <v>0.2048611111111111</v>
      </c>
      <c r="Q1960" s="4">
        <v>0.26250000000000001</v>
      </c>
      <c r="R1960" s="23"/>
      <c r="S1960" s="94" t="s">
        <v>254</v>
      </c>
      <c r="T1960" s="15" t="str">
        <f>IF(OR('Controle de CT'!$R1960= "", 'Controle de CT'!$P1960= ""), "", 'Controle de CT'!$R1960-'Controle de CT'!$P1960)</f>
        <v/>
      </c>
      <c r="U1960" s="1"/>
      <c r="V1960" s="1"/>
      <c r="W1960" s="2"/>
      <c r="X1960" s="2"/>
    </row>
    <row r="1961" spans="11:24" ht="15" hidden="1" customHeight="1">
      <c r="K1961" s="5">
        <v>46155</v>
      </c>
      <c r="L1961" s="8" t="s">
        <v>524</v>
      </c>
      <c r="M1961" s="9" t="s">
        <v>62</v>
      </c>
      <c r="N1961" s="20" t="str">
        <f t="shared" si="101"/>
        <v>Fila de Carregamento</v>
      </c>
      <c r="O19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1" s="4">
        <v>0.22013888888888888</v>
      </c>
      <c r="Q1961" s="4">
        <v>0.2673611111111111</v>
      </c>
      <c r="R1961" s="23"/>
      <c r="S1961" s="94" t="s">
        <v>254</v>
      </c>
      <c r="T1961" s="15" t="str">
        <f>IF(OR('Controle de CT'!$R1961= "", 'Controle de CT'!$P1961= ""), "", 'Controle de CT'!$R1961-'Controle de CT'!$P1961)</f>
        <v/>
      </c>
      <c r="U1961" s="1"/>
      <c r="V1961" s="1"/>
      <c r="W1961" s="2"/>
      <c r="X1961" s="2"/>
    </row>
    <row r="1962" spans="11:24" ht="15" hidden="1" customHeight="1">
      <c r="K1962" s="5">
        <v>46155</v>
      </c>
      <c r="L1962" s="8" t="s">
        <v>554</v>
      </c>
      <c r="M1962" s="9" t="s">
        <v>62</v>
      </c>
      <c r="N1962" s="20" t="str">
        <f t="shared" si="101"/>
        <v>Aguardando Entrada</v>
      </c>
      <c r="O19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2" s="4">
        <v>0.25</v>
      </c>
      <c r="Q1962" s="4"/>
      <c r="R1962" s="23"/>
      <c r="S1962" s="16"/>
      <c r="T1962" s="15" t="str">
        <f>IF(OR('Controle de CT'!$R1962= "", 'Controle de CT'!$P1962= ""), "", 'Controle de CT'!$R1962-'Controle de CT'!$P1962)</f>
        <v/>
      </c>
      <c r="U1962" s="1"/>
      <c r="V1962" s="1"/>
      <c r="W1962" s="2"/>
      <c r="X1962" s="2"/>
    </row>
    <row r="1963" spans="11:24" ht="15" hidden="1" customHeight="1">
      <c r="K1963" s="5">
        <v>46155</v>
      </c>
      <c r="L1963" s="8" t="s">
        <v>555</v>
      </c>
      <c r="M1963" s="9" t="s">
        <v>63</v>
      </c>
      <c r="N1963" s="20" t="str">
        <f t="shared" si="101"/>
        <v>Fila de Carregamento</v>
      </c>
      <c r="O19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3" s="4">
        <v>0.25555555555555554</v>
      </c>
      <c r="Q1963" s="4">
        <v>0.30208333333333331</v>
      </c>
      <c r="R1963" s="23"/>
      <c r="S1963" s="16"/>
      <c r="T1963" s="15" t="str">
        <f>IF(OR('Controle de CT'!$R1963= "", 'Controle de CT'!$P1963= ""), "", 'Controle de CT'!$R1963-'Controle de CT'!$P1963)</f>
        <v/>
      </c>
      <c r="U1963" s="1"/>
      <c r="V1963" s="1"/>
      <c r="W1963" s="2"/>
      <c r="X1963" s="2"/>
    </row>
    <row r="1964" spans="11:24" ht="15" hidden="1" customHeight="1">
      <c r="K1964" s="5">
        <v>46155</v>
      </c>
      <c r="L1964" s="8" t="s">
        <v>389</v>
      </c>
      <c r="M1964" s="9" t="s">
        <v>63</v>
      </c>
      <c r="N1964" s="20" t="str">
        <f t="shared" si="101"/>
        <v>Aguardando Entrada</v>
      </c>
      <c r="O19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4" s="4">
        <v>0.25624999999999998</v>
      </c>
      <c r="Q1964" s="4"/>
      <c r="R1964" s="23"/>
      <c r="S1964" s="16"/>
      <c r="T1964" s="15" t="str">
        <f>IF(OR('Controle de CT'!$R1964= "", 'Controle de CT'!$P1964= ""), "", 'Controle de CT'!$R1964-'Controle de CT'!$P1964)</f>
        <v/>
      </c>
      <c r="U1964" s="1"/>
      <c r="V1964" s="1" t="s">
        <v>299</v>
      </c>
      <c r="W1964" s="2"/>
      <c r="X1964" s="2"/>
    </row>
    <row r="1965" spans="11:24" ht="15" hidden="1" customHeight="1">
      <c r="K1965" s="5">
        <v>46155</v>
      </c>
      <c r="L1965" s="8" t="s">
        <v>49</v>
      </c>
      <c r="M1965" s="9" t="str">
        <f>IF(Tabela1[[#This Row],[Motorista]]="","",IFERROR(_xlfn.XLOOKUP(Tabela1[[#This Row],[Motorista]],Base!A:A,Base!B:B),""))</f>
        <v>CIF</v>
      </c>
      <c r="N1965" s="20" t="str">
        <f t="shared" si="101"/>
        <v>Aguardando Entrada</v>
      </c>
      <c r="O19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5" s="4">
        <v>0.25624999999999998</v>
      </c>
      <c r="Q1965" s="4"/>
      <c r="R1965" s="23"/>
      <c r="S1965" s="16"/>
      <c r="T1965" s="15" t="str">
        <f>IF(OR('Controle de CT'!$R1965= "", 'Controle de CT'!$P1965= ""), "", 'Controle de CT'!$R1965-'Controle de CT'!$P1965)</f>
        <v/>
      </c>
      <c r="U1965" s="1"/>
      <c r="V1965" s="1"/>
      <c r="W1965" s="2"/>
      <c r="X1965" s="2"/>
    </row>
    <row r="1966" spans="11:24" ht="15" hidden="1" customHeight="1">
      <c r="K1966" s="5">
        <v>46155</v>
      </c>
      <c r="L1966" t="s">
        <v>52</v>
      </c>
      <c r="M1966" s="9" t="s">
        <v>62</v>
      </c>
      <c r="N1966" s="20" t="str">
        <f t="shared" si="101"/>
        <v>Fila de Carregamento</v>
      </c>
      <c r="O19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6" s="4">
        <v>0.25624999999999998</v>
      </c>
      <c r="Q1966" s="4">
        <v>0.27083333333333331</v>
      </c>
      <c r="R1966" s="23"/>
      <c r="S1966" s="16"/>
      <c r="T1966" s="1"/>
      <c r="U1966" s="1"/>
      <c r="V1966" s="1"/>
      <c r="W1966" s="2"/>
      <c r="X1966" s="2"/>
    </row>
    <row r="1967" spans="11:24" ht="15" hidden="1" customHeight="1">
      <c r="K1967" s="5">
        <v>46155</v>
      </c>
      <c r="L1967" t="s">
        <v>57</v>
      </c>
      <c r="M1967" s="9" t="str">
        <f>IF(Tabela1[[#This Row],[Motorista]]="","",IFERROR(_xlfn.XLOOKUP(Tabela1[[#This Row],[Motorista]],Base!A:A,Base!B:B),""))</f>
        <v>CIF</v>
      </c>
      <c r="N1967" s="20" t="str">
        <f t="shared" si="101"/>
        <v>Aguardando Entrada</v>
      </c>
      <c r="O19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67" s="4">
        <v>0.25763888888888886</v>
      </c>
      <c r="Q1967" s="4"/>
      <c r="R1967" s="23"/>
      <c r="S1967" s="16"/>
      <c r="T1967" s="1"/>
      <c r="U1967" s="1"/>
      <c r="V1967" s="1"/>
      <c r="W1967" s="2"/>
      <c r="X1967" s="2"/>
    </row>
    <row r="1968" spans="11:24" ht="15" hidden="1" customHeight="1">
      <c r="K1968" s="5">
        <v>46155</v>
      </c>
      <c r="L1968" s="8" t="s">
        <v>324</v>
      </c>
      <c r="M1968" s="9" t="s">
        <v>63</v>
      </c>
      <c r="N1968" s="20" t="str">
        <f t="shared" si="101"/>
        <v>Fila de Carregamento</v>
      </c>
      <c r="O19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8" s="4">
        <v>0.26041666666666669</v>
      </c>
      <c r="Q1968" s="4">
        <v>0.30138888888888887</v>
      </c>
      <c r="R1968" s="23"/>
      <c r="S1968" s="16"/>
      <c r="T1968" s="1"/>
      <c r="U1968" s="1"/>
      <c r="V1968" s="1"/>
      <c r="W1968" s="2"/>
      <c r="X1968" s="2"/>
    </row>
    <row r="1969" spans="11:24" ht="15" hidden="1" customHeight="1">
      <c r="K1969" s="5">
        <v>46155</v>
      </c>
      <c r="L1969" t="s">
        <v>278</v>
      </c>
      <c r="M1969" s="9" t="str">
        <f>IF(Tabela1[[#This Row],[Motorista]]="","",IFERROR(_xlfn.XLOOKUP(Tabela1[[#This Row],[Motorista]],Base!A:A,Base!B:B),""))</f>
        <v>FOB</v>
      </c>
      <c r="N1969" s="20" t="str">
        <f t="shared" si="101"/>
        <v>Aguardando Entrada</v>
      </c>
      <c r="O19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69" s="4">
        <v>0.26111111111111113</v>
      </c>
      <c r="Q1969" s="4"/>
      <c r="R1969" s="23"/>
      <c r="S1969" s="16"/>
      <c r="T1969" s="1"/>
      <c r="U1969" s="1"/>
      <c r="V1969" s="1"/>
      <c r="W1969" s="2"/>
      <c r="X1969" s="2"/>
    </row>
    <row r="1970" spans="11:24" ht="15" hidden="1" customHeight="1">
      <c r="K1970" s="5">
        <v>46155</v>
      </c>
      <c r="L1970" t="s">
        <v>46</v>
      </c>
      <c r="M1970" s="9" t="str">
        <f>IF(Tabela1[[#This Row],[Motorista]]="","",IFERROR(_xlfn.XLOOKUP(Tabela1[[#This Row],[Motorista]],Base!A:A,Base!B:B),""))</f>
        <v>CIF</v>
      </c>
      <c r="N1970" s="20" t="str">
        <f t="shared" si="101"/>
        <v>Fila de Carregamento</v>
      </c>
      <c r="O19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70" s="4">
        <v>0.26874999999999999</v>
      </c>
      <c r="Q1970" s="4">
        <v>0.28055555555555556</v>
      </c>
      <c r="R1970" s="23"/>
      <c r="S1970" s="16"/>
      <c r="T1970" s="1"/>
      <c r="U1970" s="1"/>
      <c r="V1970" s="1"/>
      <c r="W1970" s="2"/>
      <c r="X1970" s="2"/>
    </row>
    <row r="1971" spans="11:24" ht="15" hidden="1" customHeight="1">
      <c r="K1971" s="5">
        <v>46155</v>
      </c>
      <c r="L1971" t="s">
        <v>58</v>
      </c>
      <c r="M1971" s="9" t="str">
        <f>IF(Tabela1[[#This Row],[Motorista]]="","",IFERROR(_xlfn.XLOOKUP(Tabela1[[#This Row],[Motorista]],Base!A:A,Base!B:B),""))</f>
        <v xml:space="preserve">CIF </v>
      </c>
      <c r="N1971" s="20" t="str">
        <f t="shared" si="101"/>
        <v>Finalizado</v>
      </c>
      <c r="O19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1" s="4">
        <v>0.26874999999999999</v>
      </c>
      <c r="Q1971" s="4"/>
      <c r="R1971" s="23">
        <v>0.47222222222222221</v>
      </c>
      <c r="S1971" s="16"/>
      <c r="T1971" s="1"/>
      <c r="U1971" s="1"/>
      <c r="V1971" s="1"/>
      <c r="W1971" s="2"/>
      <c r="X1971" s="2"/>
    </row>
    <row r="1972" spans="11:24" ht="15" hidden="1" customHeight="1">
      <c r="K1972" s="5">
        <v>46155</v>
      </c>
      <c r="L1972" s="8" t="s">
        <v>513</v>
      </c>
      <c r="M1972" s="9" t="s">
        <v>63</v>
      </c>
      <c r="N1972" s="20" t="str">
        <f t="shared" si="101"/>
        <v/>
      </c>
      <c r="O19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2" s="4"/>
      <c r="Q1972" s="4"/>
      <c r="R1972" s="23"/>
      <c r="S1972" s="16"/>
      <c r="T1972" s="1"/>
      <c r="U1972" s="1"/>
      <c r="V1972" s="1"/>
      <c r="W1972" s="2"/>
      <c r="X1972" s="2"/>
    </row>
    <row r="1973" spans="11:24" ht="15" hidden="1" customHeight="1">
      <c r="K1973" s="5">
        <v>46155</v>
      </c>
      <c r="L1973" s="8" t="s">
        <v>355</v>
      </c>
      <c r="M1973" s="9" t="str">
        <f>IF(Tabela1[[#This Row],[Motorista]]="","",IFERROR(_xlfn.XLOOKUP(Tabela1[[#This Row],[Motorista]],Base!A:A,Base!B:B),""))</f>
        <v/>
      </c>
      <c r="N1973" s="20" t="str">
        <f t="shared" si="101"/>
        <v/>
      </c>
      <c r="O19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3" s="4"/>
      <c r="Q1973" s="4"/>
      <c r="R1973" s="23"/>
      <c r="S1973" s="16"/>
      <c r="T1973" s="1"/>
      <c r="U1973" s="1"/>
      <c r="V1973" s="1"/>
      <c r="W1973" s="2"/>
      <c r="X1973" s="2"/>
    </row>
    <row r="1974" spans="11:24" ht="15" hidden="1" customHeight="1">
      <c r="K1974" s="5">
        <v>46155</v>
      </c>
      <c r="L1974" s="8" t="s">
        <v>46</v>
      </c>
      <c r="M1974" s="9" t="str">
        <f>IF(Tabela1[[#This Row],[Motorista]]="","",IFERROR(_xlfn.XLOOKUP(Tabela1[[#This Row],[Motorista]],Base!A:A,Base!B:B),""))</f>
        <v>CIF</v>
      </c>
      <c r="N1974" s="20" t="str">
        <f t="shared" si="101"/>
        <v/>
      </c>
      <c r="O19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74" s="4"/>
      <c r="Q1974" s="4"/>
      <c r="R1974" s="23"/>
      <c r="S1974" s="16"/>
      <c r="T1974" s="1"/>
      <c r="U1974" s="1"/>
      <c r="V1974" s="1"/>
      <c r="W1974" s="2"/>
      <c r="X1974" s="2"/>
    </row>
    <row r="1975" spans="11:24" ht="15" hidden="1" customHeight="1">
      <c r="K1975" s="5">
        <v>46155</v>
      </c>
      <c r="L1975" s="8" t="s">
        <v>556</v>
      </c>
      <c r="M1975" s="9" t="str">
        <f>IF(Tabela1[[#This Row],[Motorista]]="","",IFERROR(_xlfn.XLOOKUP(Tabela1[[#This Row],[Motorista]],Base!A:A,Base!B:B),""))</f>
        <v/>
      </c>
      <c r="N1975" s="20" t="str">
        <f t="shared" si="101"/>
        <v/>
      </c>
      <c r="O19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5" s="4"/>
      <c r="Q1975" s="4"/>
      <c r="R1975" s="23"/>
      <c r="S1975" s="16"/>
      <c r="T1975" s="1"/>
      <c r="U1975" s="1"/>
      <c r="V1975" s="1"/>
      <c r="W1975" s="2"/>
      <c r="X1975" s="2"/>
    </row>
    <row r="1976" spans="11:24" ht="15" hidden="1" customHeight="1">
      <c r="K1976" s="5">
        <v>46155</v>
      </c>
      <c r="L1976" s="8" t="s">
        <v>557</v>
      </c>
      <c r="M1976" s="9" t="str">
        <f>IF(Tabela1[[#This Row],[Motorista]]="","",IFERROR(_xlfn.XLOOKUP(Tabela1[[#This Row],[Motorista]],Base!A:A,Base!B:B),""))</f>
        <v/>
      </c>
      <c r="N1976" s="20" t="str">
        <f t="shared" si="101"/>
        <v/>
      </c>
      <c r="O19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6" s="4"/>
      <c r="Q1976" s="4"/>
      <c r="R1976" s="23"/>
      <c r="S1976" s="16"/>
      <c r="T1976" s="1"/>
      <c r="U1976" s="1"/>
      <c r="V1976" s="1"/>
      <c r="W1976" s="2"/>
      <c r="X1976" s="2"/>
    </row>
    <row r="1977" spans="11:24" ht="15" hidden="1" customHeight="1">
      <c r="K1977" s="5">
        <v>46155</v>
      </c>
      <c r="L1977" s="8" t="s">
        <v>558</v>
      </c>
      <c r="M1977" s="9" t="str">
        <f>IF(Tabela1[[#This Row],[Motorista]]="","",IFERROR(_xlfn.XLOOKUP(Tabela1[[#This Row],[Motorista]],Base!A:A,Base!B:B),""))</f>
        <v/>
      </c>
      <c r="N1977" s="20" t="str">
        <f t="shared" si="101"/>
        <v>Fila de Carregamento</v>
      </c>
      <c r="O19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7" s="4">
        <v>0.5</v>
      </c>
      <c r="Q1977" s="4">
        <v>0.60972222222222228</v>
      </c>
      <c r="R1977" s="23"/>
      <c r="S1977" s="94" t="s">
        <v>254</v>
      </c>
      <c r="T1977" s="1"/>
      <c r="U1977" s="1"/>
      <c r="V1977" s="1"/>
      <c r="W1977" s="2"/>
      <c r="X1977" s="2"/>
    </row>
    <row r="1978" spans="11:24" ht="15" hidden="1" customHeight="1">
      <c r="K1978" s="5">
        <v>46155</v>
      </c>
      <c r="L1978" s="8" t="s">
        <v>559</v>
      </c>
      <c r="M1978" s="9" t="str">
        <f>IF(Tabela1[[#This Row],[Motorista]]="","",IFERROR(_xlfn.XLOOKUP(Tabela1[[#This Row],[Motorista]],Base!A:A,Base!B:B),""))</f>
        <v/>
      </c>
      <c r="N1978" s="20" t="str">
        <f t="shared" ref="N1978:N1984" si="102">IF(R1978&lt;&gt;"","Finalizado", IF(Q1978&lt;&gt;"","Fila de Carregamento", IF(P1978&lt;&gt;"","Aguardando Entrada","")))</f>
        <v>Fila de Carregamento</v>
      </c>
      <c r="O19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78" s="4">
        <v>0.57291666666666663</v>
      </c>
      <c r="Q1978" s="4">
        <v>0.58819444444444446</v>
      </c>
      <c r="R1978" s="23"/>
      <c r="S1978" s="94" t="s">
        <v>254</v>
      </c>
      <c r="T1978" s="14" t="str">
        <f>IF(OR(Tabela1[[#This Row],[Entrada]]="",Tabela1[[#This Row],[Saída]]=""), "", Tabela1[[#This Row],[Saída]]-Tabela1[[#This Row],[Entrada]])</f>
        <v/>
      </c>
      <c r="U1978" s="15" t="str">
        <f>IF(OR('Controle de CT'!$R1978= "", 'Controle de CT'!$P1978= ""), "", 'Controle de CT'!$R1978-'Controle de CT'!$P1978)</f>
        <v/>
      </c>
      <c r="V1978" s="1"/>
      <c r="W1978" s="2"/>
      <c r="X1978" s="2"/>
    </row>
    <row r="1979" spans="11:24" ht="15" hidden="1" customHeight="1">
      <c r="K1979" s="5">
        <v>46155</v>
      </c>
      <c r="L1979" s="8" t="s">
        <v>57</v>
      </c>
      <c r="M1979" s="22" t="str">
        <f>IF(Tabela1[[#This Row],[Motorista]]="","",IFERROR(_xlfn.XLOOKUP(Tabela1[[#This Row],[Motorista]],Base!A:A,Base!B:B),""))</f>
        <v>CIF</v>
      </c>
      <c r="N1979" s="20" t="str">
        <f t="shared" si="102"/>
        <v>Finalizado</v>
      </c>
      <c r="O19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79" s="2">
        <v>0.5625</v>
      </c>
      <c r="Q1979" s="2">
        <v>0.61944444444444446</v>
      </c>
      <c r="R1979" s="16">
        <v>0.66666666666666663</v>
      </c>
      <c r="S1979" s="94" t="s">
        <v>254</v>
      </c>
      <c r="T1979" s="14">
        <f>IF(OR(Tabela1[[#This Row],[Entrada]]="",Tabela1[[#This Row],[Saída]]=""), "", Tabela1[[#This Row],[Saída]]-Tabela1[[#This Row],[Entrada]])</f>
        <v>4.7222222222222165E-2</v>
      </c>
      <c r="U1979" s="15">
        <f>IF(OR('Controle de CT'!$R1979= "", 'Controle de CT'!$P1979= ""), "", 'Controle de CT'!$R1979-'Controle de CT'!$P1979)</f>
        <v>0.10416666666666663</v>
      </c>
      <c r="V1979" s="1"/>
      <c r="W1979" s="2"/>
      <c r="X1979" s="2"/>
    </row>
    <row r="1980" spans="11:24" ht="15" hidden="1" customHeight="1">
      <c r="K1980" s="5">
        <v>46155</v>
      </c>
      <c r="L1980" s="8" t="s">
        <v>560</v>
      </c>
      <c r="M1980" s="22" t="str">
        <f>IF(Tabela1[[#This Row],[Motorista]]="","",IFERROR(_xlfn.XLOOKUP(Tabela1[[#This Row],[Motorista]],Base!A:A,Base!B:B),""))</f>
        <v/>
      </c>
      <c r="N1980" s="20" t="str">
        <f t="shared" si="102"/>
        <v>Aguardando Entrada</v>
      </c>
      <c r="O19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0" s="2">
        <v>0.56458333333333333</v>
      </c>
      <c r="R1980" s="16"/>
      <c r="S1980" s="94" t="s">
        <v>254</v>
      </c>
      <c r="T1980" s="14" t="str">
        <f>IF(OR(Tabela1[[#This Row],[Entrada]]="",Tabela1[[#This Row],[Saída]]=""), "", Tabela1[[#This Row],[Saída]]-Tabela1[[#This Row],[Entrada]])</f>
        <v/>
      </c>
      <c r="U1980" s="15" t="str">
        <f>IF(OR('Controle de CT'!$R1980= "", 'Controle de CT'!$P1980= ""), "", 'Controle de CT'!$R1980-'Controle de CT'!$P1980)</f>
        <v/>
      </c>
      <c r="V1980" s="1" t="s">
        <v>170</v>
      </c>
      <c r="W1980" s="2"/>
      <c r="X1980" s="2"/>
    </row>
    <row r="1981" spans="11:24" ht="15" hidden="1" customHeight="1">
      <c r="K1981" s="5">
        <v>46155</v>
      </c>
      <c r="L1981" s="8" t="s">
        <v>561</v>
      </c>
      <c r="M1981" s="22" t="str">
        <f>IF(Tabela1[[#This Row],[Motorista]]="","",IFERROR(_xlfn.XLOOKUP(Tabela1[[#This Row],[Motorista]],Base!A:A,Base!B:B),""))</f>
        <v/>
      </c>
      <c r="N1981" s="20" t="str">
        <f t="shared" si="102"/>
        <v>Fila de Carregamento</v>
      </c>
      <c r="O19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1" s="2">
        <v>0.66180555555555554</v>
      </c>
      <c r="Q1981" s="2">
        <v>0.66805555555555551</v>
      </c>
      <c r="R1981" s="16"/>
      <c r="S1981" s="94" t="s">
        <v>254</v>
      </c>
      <c r="T1981" s="14" t="str">
        <f>IF(OR(Tabela1[[#This Row],[Entrada]]="",Tabela1[[#This Row],[Saída]]=""), "", Tabela1[[#This Row],[Saída]]-Tabela1[[#This Row],[Entrada]])</f>
        <v/>
      </c>
      <c r="U1981" s="15" t="str">
        <f>IF(OR('Controle de CT'!$R1981= "", 'Controle de CT'!$P1981= ""), "", 'Controle de CT'!$R1981-'Controle de CT'!$P1981)</f>
        <v/>
      </c>
      <c r="V1981" s="1"/>
      <c r="W1981" s="2"/>
      <c r="X1981" s="2"/>
    </row>
    <row r="1982" spans="11:24" ht="15" hidden="1" customHeight="1">
      <c r="K1982" s="5">
        <v>46155</v>
      </c>
      <c r="L1982" s="8" t="s">
        <v>562</v>
      </c>
      <c r="M1982" s="22" t="str">
        <f>IF(Tabela1[[#This Row],[Motorista]]="","",IFERROR(_xlfn.XLOOKUP(Tabela1[[#This Row],[Motorista]],Base!A:A,Base!B:B),""))</f>
        <v/>
      </c>
      <c r="N1982" s="20" t="str">
        <f t="shared" si="102"/>
        <v>Fila de Carregamento</v>
      </c>
      <c r="O19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2" s="2">
        <v>0.57847222222222228</v>
      </c>
      <c r="Q1982" s="2">
        <v>0.6791666666666667</v>
      </c>
      <c r="R1982" s="16"/>
      <c r="S1982" s="94" t="s">
        <v>254</v>
      </c>
      <c r="T1982" s="14" t="str">
        <f>IF(OR(Tabela1[[#This Row],[Entrada]]="",Tabela1[[#This Row],[Saída]]=""), "", Tabela1[[#This Row],[Saída]]-Tabela1[[#This Row],[Entrada]])</f>
        <v/>
      </c>
      <c r="U1982" s="15" t="str">
        <f>IF(OR('Controle de CT'!$R1982= "", 'Controle de CT'!$P1982= ""), "", 'Controle de CT'!$R1982-'Controle de CT'!$P1982)</f>
        <v/>
      </c>
      <c r="V1982" s="1"/>
      <c r="W1982" s="2"/>
      <c r="X1982" s="2"/>
    </row>
    <row r="1983" spans="11:24" ht="15" hidden="1" customHeight="1">
      <c r="K1983" s="5">
        <v>46155</v>
      </c>
      <c r="L1983" s="8" t="s">
        <v>563</v>
      </c>
      <c r="M1983" s="22" t="str">
        <f>IF(Tabela1[[#This Row],[Motorista]]="","",IFERROR(_xlfn.XLOOKUP(Tabela1[[#This Row],[Motorista]],Base!A:A,Base!B:B),""))</f>
        <v/>
      </c>
      <c r="N1983" s="20" t="str">
        <f t="shared" si="102"/>
        <v>Fila de Carregamento</v>
      </c>
      <c r="O19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3" s="2">
        <v>0.625</v>
      </c>
      <c r="Q1983" s="2">
        <v>0.68125000000000002</v>
      </c>
      <c r="R1983" s="16"/>
      <c r="S1983" s="94" t="s">
        <v>254</v>
      </c>
      <c r="T1983" s="14" t="str">
        <f>IF(OR(Tabela1[[#This Row],[Entrada]]="",Tabela1[[#This Row],[Saída]]=""), "", Tabela1[[#This Row],[Saída]]-Tabela1[[#This Row],[Entrada]])</f>
        <v/>
      </c>
      <c r="U1983" s="15" t="str">
        <f>IF(OR('Controle de CT'!$R1983= "", 'Controle de CT'!$P1983= ""), "", 'Controle de CT'!$R1983-'Controle de CT'!$P1983)</f>
        <v/>
      </c>
      <c r="V1983" s="1" t="s">
        <v>564</v>
      </c>
      <c r="W1983" s="2"/>
      <c r="X1983" s="2"/>
    </row>
    <row r="1984" spans="11:24" ht="15" hidden="1" customHeight="1">
      <c r="K1984" s="5">
        <v>46155</v>
      </c>
      <c r="L1984" s="8" t="s">
        <v>423</v>
      </c>
      <c r="M1984" s="22" t="str">
        <f>IF(Tabela1[[#This Row],[Motorista]]="","",IFERROR(_xlfn.XLOOKUP(Tabela1[[#This Row],[Motorista]],Base!A:A,Base!B:B),""))</f>
        <v/>
      </c>
      <c r="N1984" s="20" t="str">
        <f t="shared" si="102"/>
        <v>Fila de Carregamento</v>
      </c>
      <c r="O19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4" s="2">
        <v>0.7</v>
      </c>
      <c r="Q1984" s="2">
        <v>0.71458333333333335</v>
      </c>
      <c r="R1984" s="16"/>
      <c r="S1984" s="94" t="s">
        <v>254</v>
      </c>
      <c r="T1984" s="14" t="str">
        <f>IF(OR(Tabela1[[#This Row],[Entrada]]="",Tabela1[[#This Row],[Saída]]=""), "", Tabela1[[#This Row],[Saída]]-Tabela1[[#This Row],[Entrada]])</f>
        <v/>
      </c>
      <c r="U1984" s="15" t="str">
        <f>IF(OR('Controle de CT'!$R1984= "", 'Controle de CT'!$P1984= ""), "", 'Controle de CT'!$R1984-'Controle de CT'!$P1984)</f>
        <v/>
      </c>
      <c r="V1984" s="1"/>
      <c r="W1984" s="2"/>
      <c r="X1984" s="2"/>
    </row>
    <row r="1985" spans="11:24" ht="15" hidden="1" customHeight="1">
      <c r="K1985" s="5">
        <v>46155</v>
      </c>
      <c r="L1985" s="8" t="s">
        <v>420</v>
      </c>
      <c r="M1985" s="9" t="str">
        <f>IF(Tabela1[[#This Row],[Motorista]]="","",IFERROR(_xlfn.XLOOKUP(Tabela1[[#This Row],[Motorista]],Base!A:A,Base!B:B),""))</f>
        <v/>
      </c>
      <c r="N1985" s="20" t="str">
        <f t="shared" ref="N1985:N2004" si="103">IF(R1985&lt;&gt;"","Finalizado", IF(Q1985&lt;&gt;"","Fila de Carregamento", IF(P1985&lt;&gt;"","Aguardando Entrada","")))</f>
        <v>Fila de Carregamento</v>
      </c>
      <c r="O19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5" s="4">
        <v>0.6875</v>
      </c>
      <c r="Q1985" s="4">
        <v>0.7</v>
      </c>
      <c r="R1985" s="23"/>
      <c r="S1985" s="94" t="s">
        <v>254</v>
      </c>
      <c r="T1985" s="14" t="str">
        <f>IF(OR(Tabela1[[#This Row],[Entrada]]="",Tabela1[[#This Row],[Saída]]=""), "", Tabela1[[#This Row],[Saída]]-Tabela1[[#This Row],[Entrada]])</f>
        <v/>
      </c>
      <c r="U1985" s="15" t="str">
        <f>IF(OR('Controle de CT'!$R1985= "", 'Controle de CT'!$P1985= ""), "", 'Controle de CT'!$R1985-'Controle de CT'!$P1985)</f>
        <v/>
      </c>
      <c r="V1985" s="1"/>
      <c r="W1985" s="2"/>
      <c r="X1985" s="2"/>
    </row>
    <row r="1986" spans="11:24" ht="15" hidden="1" customHeight="1">
      <c r="K1986" s="5">
        <v>46156</v>
      </c>
      <c r="L1986" s="8" t="s">
        <v>565</v>
      </c>
      <c r="M1986" s="9" t="s">
        <v>63</v>
      </c>
      <c r="N1986" s="20" t="str">
        <f t="shared" si="103"/>
        <v>Aguardando Entrada</v>
      </c>
      <c r="O19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6" s="4">
        <v>0.19097222222222221</v>
      </c>
      <c r="Q1986" s="4"/>
      <c r="R1986" s="23"/>
      <c r="S1986" s="67"/>
      <c r="T1986" s="15" t="str">
        <f>IF(OR('Controle de CT'!$R1986= "", 'Controle de CT'!$P1986= ""), "", 'Controle de CT'!$R1986-'Controle de CT'!$P1986)</f>
        <v/>
      </c>
      <c r="U1986" s="1"/>
      <c r="V1986" s="1"/>
      <c r="W1986" s="2"/>
      <c r="X1986" s="2"/>
    </row>
    <row r="1987" spans="11:24" ht="15" hidden="1" customHeight="1">
      <c r="K1987" s="5">
        <v>46156</v>
      </c>
      <c r="L1987" s="8" t="s">
        <v>525</v>
      </c>
      <c r="M1987" s="9" t="s">
        <v>63</v>
      </c>
      <c r="N1987" s="20" t="str">
        <f t="shared" si="103"/>
        <v>Finalizado</v>
      </c>
      <c r="O19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7" s="4">
        <v>0.2048611111111111</v>
      </c>
      <c r="Q1987" s="4"/>
      <c r="R1987" s="23">
        <v>0.34375</v>
      </c>
      <c r="S1987" s="67"/>
      <c r="T1987" s="14" t="str">
        <f>IF(OR(Tabela1[[#This Row],[Entrada]]="",Tabela1[[#This Row],[Saída]]=""), "", Tabela1[[#This Row],[Saída]]-Tabela1[[#This Row],[Entrada]])</f>
        <v/>
      </c>
      <c r="U1987" s="15">
        <f>IF(OR('Controle de CT'!$R1987= "", 'Controle de CT'!$P1987= ""), "", 'Controle de CT'!$R1987-'Controle de CT'!$P1987)</f>
        <v>0.1388888888888889</v>
      </c>
      <c r="V1987" s="1"/>
      <c r="W1987" s="2"/>
      <c r="X1987" s="2"/>
    </row>
    <row r="1988" spans="11:24" ht="15" hidden="1" customHeight="1">
      <c r="K1988" s="5">
        <v>46156</v>
      </c>
      <c r="L1988" s="8" t="s">
        <v>116</v>
      </c>
      <c r="M1988" s="9" t="s">
        <v>62</v>
      </c>
      <c r="N1988" s="20" t="str">
        <f t="shared" si="103"/>
        <v>Finalizado</v>
      </c>
      <c r="O19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8" s="4">
        <v>0.2076388888888889</v>
      </c>
      <c r="Q1988" s="4"/>
      <c r="R1988" s="23">
        <v>0.30208333333333331</v>
      </c>
      <c r="S1988" s="67"/>
      <c r="T1988" s="1"/>
      <c r="U1988" s="1"/>
      <c r="V1988" s="1"/>
      <c r="W1988" s="2"/>
      <c r="X1988" s="2"/>
    </row>
    <row r="1989" spans="11:24" ht="15" hidden="1" customHeight="1">
      <c r="K1989" s="5">
        <v>46156</v>
      </c>
      <c r="L1989" s="8" t="s">
        <v>524</v>
      </c>
      <c r="M1989" s="9" t="s">
        <v>62</v>
      </c>
      <c r="N1989" s="20" t="str">
        <f t="shared" si="103"/>
        <v>Finalizado</v>
      </c>
      <c r="O19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89" s="4">
        <v>0.2361111111111111</v>
      </c>
      <c r="Q1989" s="4">
        <v>0.27361111111111114</v>
      </c>
      <c r="R1989" s="23">
        <v>0.30833333333333335</v>
      </c>
      <c r="S1989" s="67"/>
      <c r="T1989" s="1"/>
      <c r="U1989" s="1"/>
      <c r="V1989" s="1"/>
      <c r="W1989" s="2"/>
      <c r="X1989" s="2"/>
    </row>
    <row r="1990" spans="11:24" ht="15" hidden="1" customHeight="1">
      <c r="K1990" s="5">
        <v>46156</v>
      </c>
      <c r="L1990" s="8" t="s">
        <v>513</v>
      </c>
      <c r="M1990" s="9" t="s">
        <v>63</v>
      </c>
      <c r="N1990" s="20" t="str">
        <f t="shared" si="103"/>
        <v>Finalizado</v>
      </c>
      <c r="O19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0" s="4">
        <v>0.23958333333333334</v>
      </c>
      <c r="Q1990" s="4">
        <v>0.28402777777777777</v>
      </c>
      <c r="R1990" s="23">
        <v>0.34375</v>
      </c>
      <c r="S1990" s="67"/>
      <c r="T1990" s="1"/>
      <c r="U1990" s="1"/>
      <c r="V1990" s="1"/>
      <c r="W1990" s="2"/>
      <c r="X1990" s="2"/>
    </row>
    <row r="1991" spans="11:24" ht="15" hidden="1" customHeight="1">
      <c r="K1991" s="5">
        <v>46156</v>
      </c>
      <c r="L1991" s="8" t="s">
        <v>324</v>
      </c>
      <c r="M1991" s="9" t="s">
        <v>63</v>
      </c>
      <c r="N1991" s="20" t="str">
        <f t="shared" si="103"/>
        <v>Finalizado</v>
      </c>
      <c r="O19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1" s="4">
        <v>0.24583333333333332</v>
      </c>
      <c r="Q1991" s="4"/>
      <c r="R1991" s="23">
        <v>0.375</v>
      </c>
      <c r="S1991" s="67"/>
      <c r="T1991" s="1"/>
      <c r="U1991" s="1"/>
      <c r="V1991" s="1" t="s">
        <v>299</v>
      </c>
      <c r="W1991" s="2"/>
      <c r="X1991" s="2"/>
    </row>
    <row r="1992" spans="11:24" ht="15" hidden="1" customHeight="1">
      <c r="K1992" s="5">
        <v>46156</v>
      </c>
      <c r="L1992" s="8" t="s">
        <v>548</v>
      </c>
      <c r="M1992" s="9" t="s">
        <v>63</v>
      </c>
      <c r="N1992" s="20" t="str">
        <f t="shared" si="103"/>
        <v>Finalizado</v>
      </c>
      <c r="O19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2" s="4">
        <v>0.25069444444444444</v>
      </c>
      <c r="Q1992" s="4"/>
      <c r="R1992" s="23">
        <v>0.40902777777777777</v>
      </c>
      <c r="S1992" s="67"/>
      <c r="T1992" s="1"/>
      <c r="U1992" s="1"/>
      <c r="V1992" s="1" t="s">
        <v>299</v>
      </c>
      <c r="W1992" s="2"/>
      <c r="X1992" s="2"/>
    </row>
    <row r="1993" spans="11:24" ht="15" hidden="1" customHeight="1">
      <c r="K1993" s="5">
        <v>46156</v>
      </c>
      <c r="L1993" s="8" t="s">
        <v>476</v>
      </c>
      <c r="M1993" s="9" t="s">
        <v>62</v>
      </c>
      <c r="N1993" s="20" t="str">
        <f t="shared" si="103"/>
        <v>Finalizado</v>
      </c>
      <c r="O19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3" s="4">
        <v>0.24930555555555556</v>
      </c>
      <c r="Q1993" s="4">
        <v>0.29930555555555555</v>
      </c>
      <c r="R1993" s="23">
        <v>0.35625000000000001</v>
      </c>
      <c r="S1993" s="67"/>
      <c r="T1993" s="1"/>
      <c r="U1993" s="1"/>
      <c r="V1993" s="1"/>
      <c r="W1993" s="2"/>
      <c r="X1993" s="2"/>
    </row>
    <row r="1994" spans="11:24" ht="15" hidden="1" customHeight="1">
      <c r="K1994" s="5">
        <v>46156</v>
      </c>
      <c r="L1994" s="8" t="s">
        <v>554</v>
      </c>
      <c r="M1994" s="9" t="s">
        <v>62</v>
      </c>
      <c r="N1994" s="20" t="str">
        <f t="shared" si="103"/>
        <v>Fila de Carregamento</v>
      </c>
      <c r="O19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94" s="4">
        <v>0.25833333333333336</v>
      </c>
      <c r="Q1994" s="4">
        <v>0.3</v>
      </c>
      <c r="R1994" s="23"/>
      <c r="S1994" s="67"/>
      <c r="T1994" s="1"/>
      <c r="U1994" s="1"/>
      <c r="V1994" s="1"/>
      <c r="W1994" s="2"/>
      <c r="X1994" s="2"/>
    </row>
    <row r="1995" spans="11:24" ht="15" hidden="1" customHeight="1">
      <c r="K1995" s="5">
        <v>46156</v>
      </c>
      <c r="L1995" s="8" t="s">
        <v>566</v>
      </c>
      <c r="M1995" s="9" t="s">
        <v>62</v>
      </c>
      <c r="N1995" s="20" t="str">
        <f t="shared" si="103"/>
        <v>Aguardando Entrada</v>
      </c>
      <c r="O19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1995" s="4">
        <v>0.2638888888888889</v>
      </c>
      <c r="Q1995" s="4"/>
      <c r="R1995" s="23"/>
      <c r="S1995" s="67"/>
      <c r="T1995" s="1"/>
      <c r="U1995" s="1"/>
      <c r="V1995" s="1"/>
      <c r="W1995" s="2"/>
      <c r="X1995" s="2"/>
    </row>
    <row r="1996" spans="11:24" ht="15" hidden="1" customHeight="1">
      <c r="K1996" s="5">
        <v>46156</v>
      </c>
      <c r="L1996" s="8" t="s">
        <v>496</v>
      </c>
      <c r="M1996" s="9" t="s">
        <v>62</v>
      </c>
      <c r="N1996" s="20" t="str">
        <f t="shared" si="103"/>
        <v>Aguardando Entrada</v>
      </c>
      <c r="O19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6" s="4">
        <v>0.26458333333333334</v>
      </c>
      <c r="Q1996" s="4"/>
      <c r="R1996" s="23"/>
      <c r="S1996" s="67"/>
      <c r="T1996" s="1"/>
      <c r="U1996" s="1"/>
      <c r="V1996" s="1"/>
      <c r="W1996" s="2"/>
      <c r="X1996" s="2"/>
    </row>
    <row r="1997" spans="11:24" ht="15" hidden="1" customHeight="1">
      <c r="K1997" s="5">
        <v>46156</v>
      </c>
      <c r="L1997" s="8" t="s">
        <v>53</v>
      </c>
      <c r="M1997" s="9" t="str">
        <f>IF(Tabela1[[#This Row],[Motorista]]="","",IFERROR(_xlfn.XLOOKUP(Tabela1[[#This Row],[Motorista]],Base!A:A,Base!B:B),""))</f>
        <v>CIF</v>
      </c>
      <c r="N1997" s="20" t="str">
        <f t="shared" si="103"/>
        <v>Aguardando Entrada</v>
      </c>
      <c r="O19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7" s="4">
        <v>0.27430555555555558</v>
      </c>
      <c r="Q1997" s="4"/>
      <c r="R1997" s="23"/>
      <c r="S1997" s="67"/>
      <c r="T1997" s="1"/>
      <c r="U1997" s="1"/>
      <c r="V1997" s="1"/>
      <c r="W1997" s="2"/>
      <c r="X1997" s="2"/>
    </row>
    <row r="1998" spans="11:24" ht="15" hidden="1" customHeight="1">
      <c r="K1998" s="5">
        <v>46156</v>
      </c>
      <c r="L1998" s="8" t="s">
        <v>567</v>
      </c>
      <c r="M1998" s="9" t="str">
        <f>IF(Tabela1[[#This Row],[Motorista]]="","",IFERROR(_xlfn.XLOOKUP(Tabela1[[#This Row],[Motorista]],Base!A:A,Base!B:B),""))</f>
        <v/>
      </c>
      <c r="N1998" s="20" t="str">
        <f t="shared" si="103"/>
        <v/>
      </c>
      <c r="O19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8" s="4"/>
      <c r="Q1998" s="4"/>
      <c r="R1998" s="23"/>
      <c r="S1998" s="67"/>
      <c r="T1998" s="1"/>
      <c r="U1998" s="1"/>
      <c r="V1998" s="1"/>
      <c r="W1998" s="2"/>
      <c r="X1998" s="2"/>
    </row>
    <row r="1999" spans="11:24" ht="15" hidden="1" customHeight="1">
      <c r="K1999" s="5">
        <v>46156</v>
      </c>
      <c r="L1999" s="8" t="s">
        <v>296</v>
      </c>
      <c r="M1999" s="9" t="str">
        <f>IF(Tabela1[[#This Row],[Motorista]]="","",IFERROR(_xlfn.XLOOKUP(Tabela1[[#This Row],[Motorista]],Base!A:A,Base!B:B),""))</f>
        <v/>
      </c>
      <c r="N1999" s="20" t="str">
        <f t="shared" si="103"/>
        <v>Aguardando Entrada</v>
      </c>
      <c r="O19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1999" s="4">
        <v>0.29652777777777778</v>
      </c>
      <c r="Q1999" s="4"/>
      <c r="R1999" s="23"/>
      <c r="S1999" s="67"/>
      <c r="T1999" s="1"/>
      <c r="U1999" s="1"/>
      <c r="V1999" s="1"/>
      <c r="W1999" s="2"/>
      <c r="X1999" s="2"/>
    </row>
    <row r="2000" spans="11:24" ht="15" hidden="1" customHeight="1">
      <c r="K2000" s="5">
        <v>46156</v>
      </c>
      <c r="L2000" s="8" t="s">
        <v>568</v>
      </c>
      <c r="M2000" s="9" t="str">
        <f>IF(Tabela1[[#This Row],[Motorista]]="","",IFERROR(_xlfn.XLOOKUP(Tabela1[[#This Row],[Motorista]],Base!A:A,Base!B:B),""))</f>
        <v/>
      </c>
      <c r="N2000" s="20" t="str">
        <f t="shared" si="103"/>
        <v>Fila de Carregamento</v>
      </c>
      <c r="O20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0" s="4">
        <v>0.59166666666666667</v>
      </c>
      <c r="Q2000" s="4">
        <v>0.63124999999999998</v>
      </c>
      <c r="R2000" s="23"/>
      <c r="S2000" s="94" t="s">
        <v>254</v>
      </c>
      <c r="T2000" s="1"/>
      <c r="U2000" s="1"/>
      <c r="V2000" s="1"/>
      <c r="W2000" s="2"/>
      <c r="X2000" s="2"/>
    </row>
    <row r="2001" spans="11:24" ht="15" hidden="1" customHeight="1">
      <c r="K2001" s="5">
        <v>46156</v>
      </c>
      <c r="L2001" s="8" t="s">
        <v>554</v>
      </c>
      <c r="M2001" s="9" t="str">
        <f>IF(Tabela1[[#This Row],[Motorista]]="","",IFERROR(_xlfn.XLOOKUP(Tabela1[[#This Row],[Motorista]],Base!A:A,Base!B:B),""))</f>
        <v/>
      </c>
      <c r="N2001" s="20" t="str">
        <f t="shared" si="103"/>
        <v>Finalizado</v>
      </c>
      <c r="O20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01" s="4">
        <v>0.5625</v>
      </c>
      <c r="Q2001" s="4">
        <v>0.5756944444444444</v>
      </c>
      <c r="R2001" s="23">
        <v>0.63194444444444442</v>
      </c>
      <c r="S2001" s="94" t="s">
        <v>254</v>
      </c>
      <c r="T2001" s="1"/>
      <c r="U2001" s="1"/>
      <c r="V2001" s="1"/>
      <c r="W2001" s="2"/>
      <c r="X2001" s="2"/>
    </row>
    <row r="2002" spans="11:24" ht="15" hidden="1" customHeight="1">
      <c r="K2002" s="5">
        <v>46156</v>
      </c>
      <c r="L2002" s="8" t="s">
        <v>569</v>
      </c>
      <c r="M2002" s="9" t="str">
        <f>IF(Tabela1[[#This Row],[Motorista]]="","",IFERROR(_xlfn.XLOOKUP(Tabela1[[#This Row],[Motorista]],Base!A:A,Base!B:B),""))</f>
        <v/>
      </c>
      <c r="N2002" s="20" t="str">
        <f t="shared" si="103"/>
        <v>Aguardando Entrada</v>
      </c>
      <c r="O20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2" s="4">
        <v>0.5</v>
      </c>
      <c r="Q2002" s="4"/>
      <c r="R2002" s="23"/>
      <c r="S2002" s="94" t="s">
        <v>254</v>
      </c>
      <c r="T2002" s="1"/>
      <c r="U2002" s="1"/>
      <c r="V2002" s="1" t="s">
        <v>570</v>
      </c>
      <c r="W2002" s="2"/>
      <c r="X2002" s="2"/>
    </row>
    <row r="2003" spans="11:24" ht="15" hidden="1" customHeight="1">
      <c r="K2003" s="5">
        <v>46156</v>
      </c>
      <c r="L2003" s="8" t="s">
        <v>566</v>
      </c>
      <c r="M2003" s="9" t="str">
        <f>IF(Tabela1[[#This Row],[Motorista]]="","",IFERROR(_xlfn.XLOOKUP(Tabela1[[#This Row],[Motorista]],Base!A:A,Base!B:B),""))</f>
        <v/>
      </c>
      <c r="N2003" s="20" t="str">
        <f t="shared" si="103"/>
        <v>Finalizado</v>
      </c>
      <c r="O20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03" s="4">
        <v>0.54791666666666672</v>
      </c>
      <c r="Q2003" s="4">
        <v>0.5625</v>
      </c>
      <c r="R2003" s="23">
        <v>0.64444444444444449</v>
      </c>
      <c r="S2003" s="94" t="s">
        <v>254</v>
      </c>
      <c r="T2003" s="1"/>
      <c r="U2003" s="1"/>
      <c r="V2003" s="1"/>
      <c r="W2003" s="2"/>
      <c r="X2003" s="2"/>
    </row>
    <row r="2004" spans="11:24" ht="15" hidden="1" customHeight="1">
      <c r="K2004" s="5">
        <v>46156</v>
      </c>
      <c r="L2004" s="8" t="s">
        <v>571</v>
      </c>
      <c r="M2004" s="9" t="str">
        <f>IF(Tabela1[[#This Row],[Motorista]]="","",IFERROR(_xlfn.XLOOKUP(Tabela1[[#This Row],[Motorista]],Base!A:A,Base!B:B),""))</f>
        <v/>
      </c>
      <c r="N2004" s="20" t="str">
        <f t="shared" si="103"/>
        <v/>
      </c>
      <c r="O20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4" s="4"/>
      <c r="Q2004" s="4"/>
      <c r="R2004" s="23"/>
      <c r="S2004" s="67"/>
      <c r="T2004" s="1"/>
      <c r="U2004" s="1"/>
      <c r="V2004" s="1"/>
      <c r="W2004" s="2"/>
      <c r="X2004" s="2"/>
    </row>
    <row r="2005" spans="11:24" ht="15" hidden="1" customHeight="1">
      <c r="K2005" s="5">
        <v>46157</v>
      </c>
      <c r="L2005" s="8" t="s">
        <v>116</v>
      </c>
      <c r="M2005" s="9" t="str">
        <f>IF(Tabela1[[#This Row],[Motorista]]="","",IFERROR(_xlfn.XLOOKUP(Tabela1[[#This Row],[Motorista]],Base!A:A,Base!B:B),""))</f>
        <v xml:space="preserve">CIF </v>
      </c>
      <c r="N2005" s="20" t="str">
        <f>IF(R2005&lt;&gt;"","Finalizado", IF(Q2006&lt;&gt;"","Fila de Carregamento", IF(P2005&lt;&gt;"","Aguardando Entrada","")))</f>
        <v>Fila de Carregamento</v>
      </c>
      <c r="O20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5" s="4">
        <v>0.2013888888888889</v>
      </c>
      <c r="Q2005" s="4"/>
      <c r="R2005" s="23"/>
      <c r="S2005" s="67"/>
      <c r="T2005" s="1"/>
      <c r="U2005" s="1"/>
      <c r="V2005" s="1" t="s">
        <v>226</v>
      </c>
      <c r="W2005" s="2"/>
      <c r="X2005" s="2"/>
    </row>
    <row r="2006" spans="11:24" ht="15" hidden="1" customHeight="1">
      <c r="K2006" s="5">
        <v>46157</v>
      </c>
      <c r="L2006" s="8" t="s">
        <v>483</v>
      </c>
      <c r="M2006" s="9" t="s">
        <v>62</v>
      </c>
      <c r="N2006" s="20" t="str">
        <f>IF(R2006&lt;&gt;"","Finalizado", IF(#REF!&lt;&gt;"","Fila de Carregamento", IF(P2006&lt;&gt;"","Aguardando Entrada","")))</f>
        <v>Finalizado</v>
      </c>
      <c r="O20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6" s="4">
        <v>0.22361111111111112</v>
      </c>
      <c r="Q2006" s="4">
        <v>0.25694444444444442</v>
      </c>
      <c r="R2006" s="23">
        <v>0.29166666666666669</v>
      </c>
      <c r="S2006" s="67"/>
      <c r="T2006" s="1"/>
      <c r="U2006" s="1"/>
      <c r="V2006" s="1"/>
      <c r="W2006" s="2"/>
      <c r="X2006" s="2"/>
    </row>
    <row r="2007" spans="11:24" ht="15" hidden="1" customHeight="1">
      <c r="K2007" s="5">
        <v>46157</v>
      </c>
      <c r="L2007" s="8" t="s">
        <v>572</v>
      </c>
      <c r="M2007" s="9" t="s">
        <v>62</v>
      </c>
      <c r="N2007" s="20" t="str">
        <f t="shared" ref="N2007:N2038" si="104">IF(R2007&lt;&gt;"","Finalizado", IF(Q2007&lt;&gt;"","Fila de Carregamento", IF(P2007&lt;&gt;"","Aguardando Entrada","")))</f>
        <v>Finalizado</v>
      </c>
      <c r="O20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7" s="4">
        <v>0.24374999999999999</v>
      </c>
      <c r="Q2007" s="4">
        <v>0.26805555555555555</v>
      </c>
      <c r="R2007" s="23">
        <v>0.31597222222222221</v>
      </c>
      <c r="S2007" s="67"/>
      <c r="T2007" s="1"/>
      <c r="U2007" s="1"/>
      <c r="V2007" s="1"/>
      <c r="W2007" s="2"/>
      <c r="X2007" s="2"/>
    </row>
    <row r="2008" spans="11:24" ht="15" hidden="1" customHeight="1">
      <c r="K2008" s="5">
        <v>46157</v>
      </c>
      <c r="L2008" t="s">
        <v>52</v>
      </c>
      <c r="M2008" s="9" t="str">
        <f>IF(Tabela1[[#This Row],[Motorista]]="","",IFERROR(_xlfn.XLOOKUP(Tabela1[[#This Row],[Motorista]],Base!A:A,Base!B:B),""))</f>
        <v>CIF</v>
      </c>
      <c r="N2008" s="20" t="str">
        <f t="shared" si="104"/>
        <v>Fila de Carregamento</v>
      </c>
      <c r="O20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8" s="4">
        <v>0.25138888888888888</v>
      </c>
      <c r="Q2008" s="4">
        <v>0.27152777777777776</v>
      </c>
      <c r="R2008" s="23"/>
      <c r="S2008" s="67"/>
      <c r="T2008" s="1"/>
      <c r="U2008" s="1"/>
      <c r="V2008" s="1"/>
      <c r="W2008" s="2"/>
      <c r="X2008" s="2"/>
    </row>
    <row r="2009" spans="11:24" ht="15" hidden="1" customHeight="1">
      <c r="K2009" s="5">
        <v>46157</v>
      </c>
      <c r="L2009" s="8" t="s">
        <v>573</v>
      </c>
      <c r="M2009" s="9" t="str">
        <f>IF(Tabela1[[#This Row],[Motorista]]="","",IFERROR(_xlfn.XLOOKUP(Tabela1[[#This Row],[Motorista]],Base!A:A,Base!B:B),""))</f>
        <v/>
      </c>
      <c r="N2009" s="20" t="str">
        <f t="shared" si="104"/>
        <v>Fila de Carregamento</v>
      </c>
      <c r="O20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09" s="4">
        <v>0.25555555555555554</v>
      </c>
      <c r="Q2009" s="4">
        <v>0.27986111111111112</v>
      </c>
      <c r="R2009" s="23"/>
      <c r="S2009" s="67"/>
      <c r="T2009" s="1"/>
      <c r="U2009" s="1"/>
      <c r="V2009" s="1" t="s">
        <v>226</v>
      </c>
      <c r="W2009" s="2"/>
      <c r="X2009" s="2"/>
    </row>
    <row r="2010" spans="11:24" ht="15" hidden="1" customHeight="1">
      <c r="K2010" s="5">
        <v>46157</v>
      </c>
      <c r="L2010" s="8" t="s">
        <v>574</v>
      </c>
      <c r="M2010" s="9" t="str">
        <f>IF(Tabela1[[#This Row],[Motorista]]="","",IFERROR(_xlfn.XLOOKUP(Tabela1[[#This Row],[Motorista]],Base!A:A,Base!B:B),""))</f>
        <v/>
      </c>
      <c r="N2010" s="20" t="str">
        <f t="shared" si="104"/>
        <v>Fila de Carregamento</v>
      </c>
      <c r="O20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0" s="4">
        <v>0.26319444444444445</v>
      </c>
      <c r="Q2010" s="4">
        <v>0.2951388888888889</v>
      </c>
      <c r="R2010" s="23"/>
      <c r="S2010" s="67"/>
      <c r="T2010" s="1"/>
      <c r="U2010" s="1"/>
      <c r="V2010" s="1" t="s">
        <v>220</v>
      </c>
      <c r="W2010" s="2"/>
      <c r="X2010" s="2"/>
    </row>
    <row r="2011" spans="11:24" ht="15" hidden="1" customHeight="1">
      <c r="K2011" s="5">
        <v>46157</v>
      </c>
      <c r="L2011" s="8" t="s">
        <v>575</v>
      </c>
      <c r="M2011" s="9" t="str">
        <f>IF(Tabela1[[#This Row],[Motorista]]="","",IFERROR(_xlfn.XLOOKUP(Tabela1[[#This Row],[Motorista]],Base!A:A,Base!B:B),""))</f>
        <v/>
      </c>
      <c r="N2011" s="20" t="str">
        <f t="shared" si="104"/>
        <v>Aguardando Entrada</v>
      </c>
      <c r="O20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1" s="4">
        <v>0.2722222222222222</v>
      </c>
      <c r="Q2011" s="4"/>
      <c r="R2011" s="23"/>
      <c r="S2011" s="67"/>
      <c r="T2011" s="1"/>
      <c r="U2011" s="1"/>
      <c r="V2011" s="1"/>
      <c r="W2011" s="2"/>
      <c r="X2011" s="2"/>
    </row>
    <row r="2012" spans="11:24" ht="15" hidden="1" customHeight="1">
      <c r="K2012" s="5">
        <v>46157</v>
      </c>
      <c r="L2012" s="8" t="s">
        <v>296</v>
      </c>
      <c r="M2012" s="9" t="s">
        <v>63</v>
      </c>
      <c r="N2012" s="20" t="str">
        <f t="shared" si="104"/>
        <v>Aguardando Entrada</v>
      </c>
      <c r="O20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2" s="4">
        <v>0.28472222222222221</v>
      </c>
      <c r="Q2012" s="4"/>
      <c r="R2012" s="23"/>
      <c r="S2012" s="67"/>
      <c r="T2012" s="1"/>
      <c r="U2012" s="1"/>
      <c r="V2012" s="1"/>
      <c r="W2012" s="2"/>
      <c r="X2012" s="2"/>
    </row>
    <row r="2013" spans="11:24" ht="15" hidden="1" customHeight="1">
      <c r="K2013" s="5">
        <v>46157</v>
      </c>
      <c r="L2013" s="100" t="s">
        <v>576</v>
      </c>
      <c r="M2013" s="9" t="str">
        <f>IF(Tabela1[[#This Row],[Motorista]]="","",IFERROR(_xlfn.XLOOKUP(Tabela1[[#This Row],[Motorista]],Base!A:A,Base!B:B),""))</f>
        <v/>
      </c>
      <c r="N2013" s="20" t="str">
        <f t="shared" si="104"/>
        <v/>
      </c>
      <c r="O20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3" s="4"/>
      <c r="Q2013" s="4"/>
      <c r="R2013" s="23"/>
      <c r="S2013" s="67"/>
      <c r="T2013" s="1"/>
      <c r="U2013" s="1"/>
      <c r="V2013" s="1"/>
      <c r="W2013" s="2"/>
      <c r="X2013" s="2"/>
    </row>
    <row r="2014" spans="11:24" ht="15" hidden="1" customHeight="1">
      <c r="K2014" s="5">
        <v>46157</v>
      </c>
      <c r="L2014" s="8" t="s">
        <v>577</v>
      </c>
      <c r="M2014" s="9" t="str">
        <f>IF(Tabela1[[#This Row],[Motorista]]="","",IFERROR(_xlfn.XLOOKUP(Tabela1[[#This Row],[Motorista]],Base!A:A,Base!B:B),""))</f>
        <v/>
      </c>
      <c r="N2014" s="20" t="str">
        <f t="shared" si="104"/>
        <v/>
      </c>
      <c r="O20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4" s="4"/>
      <c r="Q2014" s="4"/>
      <c r="R2014" s="23"/>
      <c r="S2014" s="67"/>
      <c r="T2014" s="1"/>
      <c r="U2014" s="1"/>
      <c r="V2014" s="1"/>
      <c r="W2014" s="2"/>
      <c r="X2014" s="2"/>
    </row>
    <row r="2015" spans="11:24" ht="15" hidden="1" customHeight="1">
      <c r="K2015" s="5">
        <v>46157</v>
      </c>
      <c r="L2015" s="8" t="s">
        <v>578</v>
      </c>
      <c r="M2015" s="9" t="str">
        <f>IF(Tabela1[[#This Row],[Motorista]]="","",IFERROR(_xlfn.XLOOKUP(Tabela1[[#This Row],[Motorista]],Base!A:A,Base!B:B),""))</f>
        <v/>
      </c>
      <c r="N2015" s="20" t="str">
        <f t="shared" si="104"/>
        <v>Fila de Carregamento</v>
      </c>
      <c r="O20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5" s="4">
        <v>0.60416666666666663</v>
      </c>
      <c r="Q2015" s="4">
        <v>0.6166666666666667</v>
      </c>
      <c r="R2015" s="23"/>
      <c r="S2015" s="67"/>
      <c r="T2015" s="1"/>
      <c r="U2015" s="1"/>
      <c r="V2015" s="1"/>
      <c r="W2015" s="2"/>
      <c r="X2015" s="2"/>
    </row>
    <row r="2016" spans="11:24" ht="15" hidden="1" customHeight="1">
      <c r="K2016" s="5">
        <v>46157</v>
      </c>
      <c r="L2016" s="8" t="s">
        <v>352</v>
      </c>
      <c r="M2016" s="9" t="str">
        <f>IF(Tabela1[[#This Row],[Motorista]]="","",IFERROR(_xlfn.XLOOKUP(Tabela1[[#This Row],[Motorista]],Base!A:A,Base!B:B),""))</f>
        <v/>
      </c>
      <c r="N2016" s="20" t="str">
        <f t="shared" si="104"/>
        <v>Aguardando Entrada</v>
      </c>
      <c r="O20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6" s="4">
        <v>0.625</v>
      </c>
      <c r="Q2016" s="4"/>
      <c r="R2016" s="23"/>
      <c r="S2016" s="67"/>
      <c r="T2016" s="1"/>
      <c r="U2016" s="1"/>
      <c r="V2016" s="1"/>
      <c r="W2016" s="2"/>
      <c r="X2016" s="2"/>
    </row>
    <row r="2017" spans="11:24" ht="15" hidden="1" customHeight="1">
      <c r="K2017" s="5">
        <v>46157</v>
      </c>
      <c r="L2017" s="8" t="s">
        <v>579</v>
      </c>
      <c r="M2017" s="9" t="str">
        <f>IF(Tabela1[[#This Row],[Motorista]]="","",IFERROR(_xlfn.XLOOKUP(Tabela1[[#This Row],[Motorista]],Base!A:A,Base!B:B),""))</f>
        <v/>
      </c>
      <c r="N2017" s="20" t="str">
        <f t="shared" si="104"/>
        <v>Aguardando Entrada</v>
      </c>
      <c r="O20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7" s="4">
        <v>0.64652777777777781</v>
      </c>
      <c r="Q2017" s="4"/>
      <c r="R2017" s="23"/>
      <c r="S2017" s="67"/>
      <c r="T2017" s="1"/>
      <c r="U2017" s="1"/>
      <c r="V2017" s="1"/>
      <c r="W2017" s="2"/>
      <c r="X2017" s="2"/>
    </row>
    <row r="2018" spans="11:24" ht="15" hidden="1" customHeight="1">
      <c r="K2018" s="5">
        <v>46157</v>
      </c>
      <c r="L2018" s="8" t="s">
        <v>580</v>
      </c>
      <c r="M2018" s="9" t="str">
        <f>IF(Tabela1[[#This Row],[Motorista]]="","",IFERROR(_xlfn.XLOOKUP(Tabela1[[#This Row],[Motorista]],Base!A:A,Base!B:B),""))</f>
        <v/>
      </c>
      <c r="N2018" s="20" t="str">
        <f t="shared" si="104"/>
        <v>Fila de Carregamento</v>
      </c>
      <c r="O20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8" s="4">
        <v>0.6166666666666667</v>
      </c>
      <c r="Q2018" s="4">
        <v>0.66527777777777775</v>
      </c>
      <c r="R2018" s="23"/>
      <c r="S2018" s="67"/>
      <c r="T2018" s="1"/>
      <c r="U2018" s="1"/>
      <c r="V2018" s="1"/>
      <c r="W2018" s="2"/>
      <c r="X2018" s="2"/>
    </row>
    <row r="2019" spans="11:24" ht="15" hidden="1" customHeight="1">
      <c r="K2019" s="5">
        <v>46158</v>
      </c>
      <c r="L2019" t="s">
        <v>52</v>
      </c>
      <c r="M2019" s="9" t="str">
        <f>IF(Tabela1[[#This Row],[Motorista]]="","",IFERROR(_xlfn.XLOOKUP(Tabela1[[#This Row],[Motorista]],Base!A:A,Base!B:B),""))</f>
        <v>CIF</v>
      </c>
      <c r="N2019" s="20" t="str">
        <f t="shared" si="104"/>
        <v>Fila de Carregamento</v>
      </c>
      <c r="O20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19" s="4">
        <v>0.24305555555555555</v>
      </c>
      <c r="Q2019" s="4">
        <v>0.27916666666666667</v>
      </c>
      <c r="R2019" s="23"/>
      <c r="S2019" s="67"/>
      <c r="T2019" s="1"/>
      <c r="U2019" s="1"/>
      <c r="V2019" s="1" t="s">
        <v>226</v>
      </c>
      <c r="W2019" s="2"/>
      <c r="X2019" s="2"/>
    </row>
    <row r="2020" spans="11:24" ht="15" hidden="1" customHeight="1">
      <c r="K2020" s="5">
        <v>46158</v>
      </c>
      <c r="L2020" s="8" t="s">
        <v>581</v>
      </c>
      <c r="M2020" s="9" t="str">
        <f>IF(Tabela1[[#This Row],[Motorista]]="","",IFERROR(_xlfn.XLOOKUP(Tabela1[[#This Row],[Motorista]],Base!A:A,Base!B:B),""))</f>
        <v>CIF</v>
      </c>
      <c r="N2020" s="20" t="str">
        <f t="shared" si="104"/>
        <v>Aguardando Entrada</v>
      </c>
      <c r="O20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0" s="4">
        <v>0.24513888888888888</v>
      </c>
      <c r="Q2020" s="4"/>
      <c r="R2020" s="23"/>
      <c r="S2020" s="67"/>
      <c r="T2020" s="1"/>
      <c r="U2020" s="1"/>
      <c r="V2020" s="1" t="s">
        <v>226</v>
      </c>
      <c r="W2020" s="2"/>
      <c r="X2020" s="2"/>
    </row>
    <row r="2021" spans="11:24" ht="15" hidden="1" customHeight="1">
      <c r="K2021" s="5">
        <v>46158</v>
      </c>
      <c r="L2021" s="8" t="s">
        <v>513</v>
      </c>
      <c r="M2021" s="9" t="s">
        <v>63</v>
      </c>
      <c r="N2021" s="20" t="str">
        <f t="shared" si="104"/>
        <v>Fila de Carregamento</v>
      </c>
      <c r="O20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1" s="4">
        <v>0.22569444444444445</v>
      </c>
      <c r="Q2021" s="4">
        <v>0.28749999999999998</v>
      </c>
      <c r="R2021" s="23"/>
      <c r="S2021" s="67"/>
      <c r="T2021" s="1"/>
      <c r="U2021" s="1"/>
      <c r="V2021" s="1" t="s">
        <v>226</v>
      </c>
      <c r="W2021" s="2"/>
      <c r="X2021" s="2"/>
    </row>
    <row r="2022" spans="11:24" ht="15" hidden="1" customHeight="1">
      <c r="K2022" s="5">
        <v>46160</v>
      </c>
      <c r="L2022" t="s">
        <v>128</v>
      </c>
      <c r="M2022" s="9" t="s">
        <v>63</v>
      </c>
      <c r="N2022" s="20" t="str">
        <f t="shared" si="104"/>
        <v>Aguardando Entrada</v>
      </c>
      <c r="O20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2" s="4">
        <v>0</v>
      </c>
      <c r="Q2022" s="4"/>
      <c r="R2022" s="23"/>
      <c r="S2022" s="67"/>
      <c r="T2022" s="1"/>
      <c r="U2022" s="1"/>
      <c r="V2022" s="1" t="s">
        <v>582</v>
      </c>
      <c r="W2022" s="2"/>
      <c r="X2022" s="2"/>
    </row>
    <row r="2023" spans="11:24" ht="15" hidden="1" customHeight="1">
      <c r="K2023" s="5">
        <v>46160</v>
      </c>
      <c r="L2023" t="s">
        <v>114</v>
      </c>
      <c r="M2023" s="9" t="str">
        <f>IF(Tabela1[[#This Row],[Motorista]]="","",IFERROR(_xlfn.XLOOKUP(Tabela1[[#This Row],[Motorista]],Base!A:A,Base!B:B),""))</f>
        <v>FOB</v>
      </c>
      <c r="N2023" s="20" t="str">
        <f t="shared" si="104"/>
        <v>Aguardando Entrada</v>
      </c>
      <c r="O20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3" s="4">
        <v>6.9444444444444447E-4</v>
      </c>
      <c r="Q2023" s="4"/>
      <c r="R2023" s="23"/>
      <c r="S2023" s="67"/>
      <c r="T2023" s="1"/>
      <c r="U2023" s="1"/>
      <c r="V2023" s="1" t="s">
        <v>582</v>
      </c>
      <c r="W2023" s="2"/>
      <c r="X2023" s="2"/>
    </row>
    <row r="2024" spans="11:24" ht="15" hidden="1" customHeight="1">
      <c r="K2024" s="5">
        <v>46160</v>
      </c>
      <c r="L2024" s="8" t="s">
        <v>116</v>
      </c>
      <c r="M2024" s="9" t="str">
        <f>IF(Tabela1[[#This Row],[Motorista]]="","",IFERROR(_xlfn.XLOOKUP(Tabela1[[#This Row],[Motorista]],Base!A:A,Base!B:B),""))</f>
        <v xml:space="preserve">CIF </v>
      </c>
      <c r="N2024" s="20" t="str">
        <f t="shared" si="104"/>
        <v>Finalizado</v>
      </c>
      <c r="O20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4" s="4">
        <v>0.21041666666666667</v>
      </c>
      <c r="Q2024" s="4">
        <v>0.26874999999999999</v>
      </c>
      <c r="R2024" s="23">
        <v>0.29444444444444445</v>
      </c>
      <c r="S2024" s="94" t="s">
        <v>254</v>
      </c>
      <c r="T2024" s="1"/>
      <c r="U2024" s="1"/>
      <c r="V2024" s="1"/>
      <c r="W2024" s="2"/>
      <c r="X2024" s="2"/>
    </row>
    <row r="2025" spans="11:24" ht="15" hidden="1" customHeight="1">
      <c r="K2025" s="5">
        <v>46160</v>
      </c>
      <c r="L2025" s="8" t="s">
        <v>483</v>
      </c>
      <c r="M2025" s="9" t="s">
        <v>62</v>
      </c>
      <c r="N2025" s="20" t="str">
        <f t="shared" si="104"/>
        <v>Fila de Carregamento</v>
      </c>
      <c r="O20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5" s="4">
        <v>0.23125000000000001</v>
      </c>
      <c r="Q2025" s="4">
        <v>0.27083333333333331</v>
      </c>
      <c r="R2025" s="23"/>
      <c r="S2025" s="94" t="s">
        <v>254</v>
      </c>
      <c r="T2025" s="1"/>
      <c r="U2025" s="1"/>
      <c r="V2025" s="1"/>
      <c r="W2025" s="2"/>
      <c r="X2025" s="2"/>
    </row>
    <row r="2026" spans="11:24" ht="15" hidden="1" customHeight="1">
      <c r="K2026" s="5">
        <v>46160</v>
      </c>
      <c r="L2026" t="s">
        <v>181</v>
      </c>
      <c r="M2026" s="9" t="str">
        <f>IF(Tabela1[[#This Row],[Motorista]]="","",IFERROR(_xlfn.XLOOKUP(Tabela1[[#This Row],[Motorista]],Base!A:A,Base!B:B),""))</f>
        <v>FOB</v>
      </c>
      <c r="N2026" s="20" t="str">
        <f t="shared" si="104"/>
        <v>Aguardando Entrada</v>
      </c>
      <c r="O20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6" s="4">
        <v>0.24652777777777779</v>
      </c>
      <c r="Q2026" s="4"/>
      <c r="R2026" s="23"/>
      <c r="S2026" s="67"/>
      <c r="T2026" s="1"/>
      <c r="U2026" s="1"/>
      <c r="V2026" s="1"/>
      <c r="W2026" s="2"/>
      <c r="X2026" s="2"/>
    </row>
    <row r="2027" spans="11:24" ht="15" hidden="1" customHeight="1">
      <c r="K2027" s="5">
        <v>46160</v>
      </c>
      <c r="L2027" t="s">
        <v>117</v>
      </c>
      <c r="M2027" s="9" t="str">
        <f>IF(Tabela1[[#This Row],[Motorista]]="","",IFERROR(_xlfn.XLOOKUP(Tabela1[[#This Row],[Motorista]],Base!A:A,Base!B:B),""))</f>
        <v>FOB</v>
      </c>
      <c r="N2027" s="20" t="str">
        <f t="shared" si="104"/>
        <v>Fila de Carregamento</v>
      </c>
      <c r="O20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7" s="4">
        <v>0.24791666666666667</v>
      </c>
      <c r="Q2027" s="4">
        <v>0.30555555555555558</v>
      </c>
      <c r="R2027" s="23"/>
      <c r="S2027" s="67"/>
      <c r="T2027" s="1"/>
      <c r="U2027" s="1"/>
      <c r="V2027" s="1"/>
      <c r="W2027" s="2"/>
      <c r="X2027" s="2"/>
    </row>
    <row r="2028" spans="11:24" ht="15" hidden="1" customHeight="1">
      <c r="K2028" s="5">
        <v>46160</v>
      </c>
      <c r="L2028" t="s">
        <v>92</v>
      </c>
      <c r="M2028" s="9" t="str">
        <f>IF(Tabela1[[#This Row],[Motorista]]="","",IFERROR(_xlfn.XLOOKUP(Tabela1[[#This Row],[Motorista]],Base!A:A,Base!B:B),""))</f>
        <v>FOB</v>
      </c>
      <c r="N2028" s="20" t="str">
        <f t="shared" si="104"/>
        <v>Aguardando Entrada</v>
      </c>
      <c r="O20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28" s="4">
        <v>0.24861111111111112</v>
      </c>
      <c r="Q2028" s="4"/>
      <c r="R2028" s="23"/>
      <c r="S2028" s="67"/>
      <c r="T2028" s="1"/>
      <c r="U2028" s="1"/>
      <c r="V2028" s="1"/>
      <c r="W2028" s="2"/>
      <c r="X2028" s="2"/>
    </row>
    <row r="2029" spans="11:24" ht="14.45" hidden="1">
      <c r="K2029" s="5">
        <v>46160</v>
      </c>
      <c r="L2029" t="s">
        <v>52</v>
      </c>
      <c r="M2029" s="9" t="str">
        <f>IF(Tabela1[[#This Row],[Motorista]]="","",IFERROR(_xlfn.XLOOKUP(Tabela1[[#This Row],[Motorista]],Base!A:A,Base!B:B),""))</f>
        <v>CIF</v>
      </c>
      <c r="N2029" s="20" t="str">
        <f t="shared" si="104"/>
        <v>Finalizado</v>
      </c>
      <c r="O20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29" s="4">
        <v>0.25624999999999998</v>
      </c>
      <c r="Q2029" s="4">
        <v>0.27361111111111114</v>
      </c>
      <c r="R2029" s="23">
        <v>0.30902777777777779</v>
      </c>
      <c r="S2029" s="94" t="s">
        <v>254</v>
      </c>
      <c r="T2029" s="1"/>
      <c r="U2029" s="1"/>
      <c r="V2029" s="1"/>
      <c r="W2029" s="2"/>
      <c r="X2029" s="2"/>
    </row>
    <row r="2030" spans="11:24" ht="14.45" hidden="1">
      <c r="K2030" s="5">
        <v>46160</v>
      </c>
      <c r="L2030" s="8" t="s">
        <v>49</v>
      </c>
      <c r="M2030" s="9" t="str">
        <f>IF(Tabela1[[#This Row],[Motorista]]="","",IFERROR(_xlfn.XLOOKUP(Tabela1[[#This Row],[Motorista]],Base!A:A,Base!B:B),""))</f>
        <v>CIF</v>
      </c>
      <c r="N2030" s="20" t="str">
        <f t="shared" si="104"/>
        <v>Finalizado</v>
      </c>
      <c r="O20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0" s="4">
        <v>0.25833333333333336</v>
      </c>
      <c r="Q2030" s="4">
        <v>0.28055555555555556</v>
      </c>
      <c r="R2030" s="23">
        <v>0.33055555555555555</v>
      </c>
      <c r="S2030" s="94" t="s">
        <v>254</v>
      </c>
      <c r="T2030" s="1"/>
      <c r="U2030" s="1"/>
      <c r="V2030" s="1"/>
      <c r="W2030" s="2"/>
      <c r="X2030" s="2"/>
    </row>
    <row r="2031" spans="11:24" ht="14.45" hidden="1">
      <c r="K2031" s="5">
        <v>46160</v>
      </c>
      <c r="L2031" t="s">
        <v>57</v>
      </c>
      <c r="M2031" s="9" t="str">
        <f>IF(Tabela1[[#This Row],[Motorista]]="","",IFERROR(_xlfn.XLOOKUP(Tabela1[[#This Row],[Motorista]],Base!A:A,Base!B:B),""))</f>
        <v>CIF</v>
      </c>
      <c r="N2031" s="20" t="str">
        <f t="shared" si="104"/>
        <v>Finalizado</v>
      </c>
      <c r="O20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1" s="4">
        <v>0.25972222222222224</v>
      </c>
      <c r="Q2031" s="4">
        <v>0.28680555555555554</v>
      </c>
      <c r="R2031" s="23">
        <v>0.34236111111111112</v>
      </c>
      <c r="S2031" s="94" t="s">
        <v>254</v>
      </c>
      <c r="T2031" s="1"/>
      <c r="U2031" s="1"/>
      <c r="V2031" s="1"/>
      <c r="W2031" s="2"/>
      <c r="X2031" s="2"/>
    </row>
    <row r="2032" spans="11:24" ht="15" hidden="1" customHeight="1">
      <c r="K2032" s="5">
        <v>46160</v>
      </c>
      <c r="L2032" t="s">
        <v>54</v>
      </c>
      <c r="M2032" s="9" t="str">
        <f>IF(Tabela1[[#This Row],[Motorista]]="","",IFERROR(_xlfn.XLOOKUP(Tabela1[[#This Row],[Motorista]],Base!A:A,Base!B:B),""))</f>
        <v>CIF</v>
      </c>
      <c r="N2032" s="20" t="str">
        <f t="shared" si="104"/>
        <v>Fila de Carregamento</v>
      </c>
      <c r="O20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2" s="4">
        <v>0.26874999999999999</v>
      </c>
      <c r="Q2032" s="4">
        <v>0.28819444444444442</v>
      </c>
      <c r="R2032" s="23"/>
      <c r="S2032" s="67"/>
      <c r="T2032" s="1"/>
      <c r="U2032" s="1"/>
      <c r="V2032" s="1" t="s">
        <v>226</v>
      </c>
      <c r="W2032" s="2"/>
      <c r="X2032" s="2"/>
    </row>
    <row r="2033" spans="11:24" ht="15" hidden="1" customHeight="1">
      <c r="K2033" s="5">
        <v>46160</v>
      </c>
      <c r="L2033" s="8" t="s">
        <v>473</v>
      </c>
      <c r="M2033" s="9" t="s">
        <v>63</v>
      </c>
      <c r="N2033" s="20" t="str">
        <f t="shared" si="104"/>
        <v>Finalizado</v>
      </c>
      <c r="O20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3" s="4">
        <v>0.2722222222222222</v>
      </c>
      <c r="Q2033" s="4">
        <v>0.31111111111111112</v>
      </c>
      <c r="R2033" s="23">
        <v>0.38194444444444442</v>
      </c>
      <c r="S2033" s="67" t="s">
        <v>254</v>
      </c>
      <c r="T2033" s="1"/>
      <c r="U2033" s="1"/>
      <c r="V2033" s="1"/>
      <c r="W2033" s="2"/>
      <c r="X2033" s="2"/>
    </row>
    <row r="2034" spans="11:24" ht="15" hidden="1" customHeight="1">
      <c r="K2034" s="5">
        <v>46160</v>
      </c>
      <c r="L2034" t="s">
        <v>46</v>
      </c>
      <c r="M2034" s="9" t="str">
        <f>IF(Tabela1[[#This Row],[Motorista]]="","",IFERROR(_xlfn.XLOOKUP(Tabela1[[#This Row],[Motorista]],Base!A:A,Base!B:B),""))</f>
        <v>CIF</v>
      </c>
      <c r="N2034" s="20" t="str">
        <f t="shared" si="104"/>
        <v>Fila de Carregamento</v>
      </c>
      <c r="O20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34" s="4">
        <v>0.27638888888888891</v>
      </c>
      <c r="Q2034" s="4">
        <v>0.28888888888888886</v>
      </c>
      <c r="R2034" s="23"/>
      <c r="S2034" s="94" t="s">
        <v>254</v>
      </c>
      <c r="T2034" s="1"/>
      <c r="U2034" s="1"/>
      <c r="V2034" s="1"/>
      <c r="W2034" s="2"/>
      <c r="X2034" s="2"/>
    </row>
    <row r="2035" spans="11:24" ht="15" hidden="1" customHeight="1">
      <c r="K2035" s="5">
        <v>46160</v>
      </c>
      <c r="L2035" t="s">
        <v>375</v>
      </c>
      <c r="M2035" s="9" t="str">
        <f>IF(Tabela1[[#This Row],[Motorista]]="","",IFERROR(_xlfn.XLOOKUP(Tabela1[[#This Row],[Motorista]],Base!A:A,Base!B:B),""))</f>
        <v>FOB</v>
      </c>
      <c r="N2035" s="20" t="str">
        <f t="shared" si="104"/>
        <v>Finalizado</v>
      </c>
      <c r="O20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5" s="4">
        <v>0.28263888888888888</v>
      </c>
      <c r="Q2035" s="4">
        <v>0.32569444444444445</v>
      </c>
      <c r="R2035" s="23">
        <v>0.38819444444444445</v>
      </c>
      <c r="S2035" s="67"/>
      <c r="T2035" s="1"/>
      <c r="U2035" s="1"/>
      <c r="V2035" s="1"/>
      <c r="W2035" s="2"/>
      <c r="X2035" s="2"/>
    </row>
    <row r="2036" spans="11:24" ht="15" hidden="1" customHeight="1">
      <c r="K2036" s="5">
        <v>46160</v>
      </c>
      <c r="L2036" s="8" t="s">
        <v>521</v>
      </c>
      <c r="M2036" s="9" t="str">
        <f>IF(Tabela1[[#This Row],[Motorista]]="","",IFERROR(_xlfn.XLOOKUP(Tabela1[[#This Row],[Motorista]],Base!A:A,Base!B:B),""))</f>
        <v/>
      </c>
      <c r="N2036" s="20" t="str">
        <f t="shared" si="104"/>
        <v>Aguardando Entrada</v>
      </c>
      <c r="O20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6" s="4">
        <v>0.33333333333333331</v>
      </c>
      <c r="Q2036" s="4"/>
      <c r="R2036" s="23"/>
      <c r="S2036" s="67"/>
      <c r="T2036" s="1"/>
      <c r="U2036" s="1"/>
      <c r="V2036" s="1"/>
      <c r="W2036" s="2"/>
      <c r="X2036" s="2"/>
    </row>
    <row r="2037" spans="11:24" ht="15" hidden="1" customHeight="1">
      <c r="K2037" s="5">
        <v>46160</v>
      </c>
      <c r="L2037" s="8" t="s">
        <v>583</v>
      </c>
      <c r="M2037" s="9" t="str">
        <f>IF(Tabela1[[#This Row],[Motorista]]="","",IFERROR(_xlfn.XLOOKUP(Tabela1[[#This Row],[Motorista]],Base!A:A,Base!B:B),""))</f>
        <v/>
      </c>
      <c r="N2037" s="20" t="str">
        <f t="shared" si="104"/>
        <v>Aguardando Entrada</v>
      </c>
      <c r="O20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7" s="4">
        <v>0.33333333333333331</v>
      </c>
      <c r="Q2037" s="4"/>
      <c r="R2037" s="23"/>
      <c r="S2037" s="67"/>
      <c r="T2037" s="1"/>
      <c r="U2037" s="1"/>
      <c r="V2037" s="1"/>
      <c r="W2037" s="2"/>
      <c r="X2037" s="2"/>
    </row>
    <row r="2038" spans="11:24" ht="15" hidden="1" customHeight="1">
      <c r="K2038" s="5">
        <v>46160</v>
      </c>
      <c r="L2038" s="8" t="s">
        <v>584</v>
      </c>
      <c r="M2038" s="9" t="str">
        <f>IF(Tabela1[[#This Row],[Motorista]]="","",IFERROR(_xlfn.XLOOKUP(Tabela1[[#This Row],[Motorista]],Base!A:A,Base!B:B),""))</f>
        <v/>
      </c>
      <c r="N2038" s="20" t="str">
        <f t="shared" si="104"/>
        <v/>
      </c>
      <c r="O20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8" s="4"/>
      <c r="Q2038" s="4"/>
      <c r="R2038" s="23"/>
      <c r="S2038" s="67"/>
      <c r="T2038" s="1"/>
      <c r="U2038" s="1"/>
      <c r="V2038" s="1"/>
      <c r="W2038" s="2"/>
      <c r="X2038" s="2"/>
    </row>
    <row r="2039" spans="11:24" ht="15" hidden="1" customHeight="1">
      <c r="K2039" s="5">
        <v>46160</v>
      </c>
      <c r="L2039" s="8" t="s">
        <v>546</v>
      </c>
      <c r="M2039" s="9" t="str">
        <f>IF(Tabela1[[#This Row],[Motorista]]="","",IFERROR(_xlfn.XLOOKUP(Tabela1[[#This Row],[Motorista]],Base!A:A,Base!B:B),""))</f>
        <v/>
      </c>
      <c r="N2039" s="20" t="str">
        <f t="shared" ref="N2039:N2073" si="105">IF(R2039&lt;&gt;"","Finalizado", IF(Q2039&lt;&gt;"","Fila de Carregamento", IF(P2039&lt;&gt;"","Aguardando Entrada","")))</f>
        <v/>
      </c>
      <c r="O20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39" s="4"/>
      <c r="Q2039" s="4"/>
      <c r="R2039" s="23"/>
      <c r="S2039" s="67"/>
      <c r="T2039" s="1"/>
      <c r="U2039" s="1"/>
      <c r="V2039" s="1"/>
      <c r="W2039" s="2"/>
      <c r="X2039" s="2"/>
    </row>
    <row r="2040" spans="11:24" ht="15" hidden="1" customHeight="1">
      <c r="K2040" s="5">
        <v>46160</v>
      </c>
      <c r="L2040" s="8" t="s">
        <v>92</v>
      </c>
      <c r="M2040" s="9" t="str">
        <f>IF(Tabela1[[#This Row],[Motorista]]="","",IFERROR(_xlfn.XLOOKUP(Tabela1[[#This Row],[Motorista]],Base!A:A,Base!B:B),""))</f>
        <v>FOB</v>
      </c>
      <c r="N2040" s="20" t="str">
        <f t="shared" si="105"/>
        <v/>
      </c>
      <c r="O20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40" s="4"/>
      <c r="Q2040" s="4"/>
      <c r="R2040" s="23"/>
      <c r="S2040" s="67"/>
      <c r="T2040" s="1"/>
      <c r="U2040" s="1"/>
      <c r="V2040" s="1"/>
      <c r="W2040" s="2"/>
      <c r="X2040" s="2"/>
    </row>
    <row r="2041" spans="11:24" ht="15" hidden="1" customHeight="1">
      <c r="K2041" s="5">
        <v>46160</v>
      </c>
      <c r="L2041" s="8" t="s">
        <v>585</v>
      </c>
      <c r="M2041" s="9" t="str">
        <f>IF(Tabela1[[#This Row],[Motorista]]="","",IFERROR(_xlfn.XLOOKUP(Tabela1[[#This Row],[Motorista]],Base!A:A,Base!B:B),""))</f>
        <v/>
      </c>
      <c r="N2041" s="20" t="str">
        <f t="shared" si="105"/>
        <v/>
      </c>
      <c r="O20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1" s="4"/>
      <c r="Q2041" s="4"/>
      <c r="R2041" s="23"/>
      <c r="S2041" s="67"/>
      <c r="T2041" s="1"/>
      <c r="U2041" s="1"/>
      <c r="V2041" s="1"/>
      <c r="W2041" s="2"/>
      <c r="X2041" s="2"/>
    </row>
    <row r="2042" spans="11:24" ht="15" hidden="1" customHeight="1">
      <c r="K2042" s="5">
        <v>46160</v>
      </c>
      <c r="L2042" s="8" t="s">
        <v>586</v>
      </c>
      <c r="M2042" s="9" t="str">
        <f>IF(Tabela1[[#This Row],[Motorista]]="","",IFERROR(_xlfn.XLOOKUP(Tabela1[[#This Row],[Motorista]],Base!A:A,Base!B:B),""))</f>
        <v/>
      </c>
      <c r="N2042" s="20" t="str">
        <f t="shared" si="105"/>
        <v>Finalizado</v>
      </c>
      <c r="O20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2" s="4">
        <v>0.625</v>
      </c>
      <c r="Q2042" s="4">
        <v>0.67083333333333328</v>
      </c>
      <c r="R2042" s="23">
        <v>0.72638888888888886</v>
      </c>
      <c r="S2042" s="94" t="s">
        <v>254</v>
      </c>
      <c r="T2042" s="14">
        <f>IF(OR(Tabela1[[#This Row],[Entrada]]="",Tabela1[[#This Row],[Saída]]=""), "", Tabela1[[#This Row],[Saída]]-Tabela1[[#This Row],[Entrada]])</f>
        <v>5.555555555555558E-2</v>
      </c>
      <c r="U2042" s="15">
        <f>IF(OR('Controle de CT'!$R2042= "", 'Controle de CT'!$P2042= ""), "", 'Controle de CT'!$R2042-'Controle de CT'!$P2042)</f>
        <v>0.10138888888888886</v>
      </c>
      <c r="V2042" s="1"/>
      <c r="W2042" s="2"/>
      <c r="X2042" s="2"/>
    </row>
    <row r="2043" spans="11:24" ht="15" hidden="1" customHeight="1">
      <c r="K2043" s="5">
        <v>46160</v>
      </c>
      <c r="L2043" s="8" t="s">
        <v>559</v>
      </c>
      <c r="M2043" s="9" t="str">
        <f>IF(Tabela1[[#This Row],[Motorista]]="","",IFERROR(_xlfn.XLOOKUP(Tabela1[[#This Row],[Motorista]],Base!A:A,Base!B:B),""))</f>
        <v/>
      </c>
      <c r="N2043" s="20" t="str">
        <f t="shared" si="105"/>
        <v>Finalizado</v>
      </c>
      <c r="O20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3" s="4">
        <v>0.65138888888888891</v>
      </c>
      <c r="Q2043" s="4">
        <v>0.6694444444444444</v>
      </c>
      <c r="R2043" s="23">
        <v>0.83333333333333337</v>
      </c>
      <c r="S2043" s="94" t="s">
        <v>254</v>
      </c>
      <c r="T2043" s="14">
        <f>IF(OR(Tabela1[[#This Row],[Entrada]]="",Tabela1[[#This Row],[Saída]]=""), "", Tabela1[[#This Row],[Saída]]-Tabela1[[#This Row],[Entrada]])</f>
        <v>0.16388888888888897</v>
      </c>
      <c r="U2043" s="15">
        <f>IF(OR('Controle de CT'!$R2043= "", 'Controle de CT'!$P2043= ""), "", 'Controle de CT'!$R2043-'Controle de CT'!$P2043)</f>
        <v>0.18194444444444446</v>
      </c>
      <c r="V2043" s="1" t="s">
        <v>226</v>
      </c>
      <c r="W2043" s="2"/>
      <c r="X2043" s="2"/>
    </row>
    <row r="2044" spans="11:24" ht="15" hidden="1" customHeight="1">
      <c r="K2044" s="5">
        <v>46160</v>
      </c>
      <c r="L2044" s="8" t="s">
        <v>46</v>
      </c>
      <c r="M2044" s="9" t="str">
        <f>IF(Tabela1[[#This Row],[Motorista]]="","",IFERROR(_xlfn.XLOOKUP(Tabela1[[#This Row],[Motorista]],Base!A:A,Base!B:B),""))</f>
        <v>CIF</v>
      </c>
      <c r="N2044" s="20" t="str">
        <f t="shared" si="105"/>
        <v>Finalizado</v>
      </c>
      <c r="O20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44" s="4">
        <v>0.64166666666666672</v>
      </c>
      <c r="Q2044" s="4">
        <v>0.66597222222222219</v>
      </c>
      <c r="R2044" s="23">
        <v>0.7006944444444444</v>
      </c>
      <c r="S2044" s="94" t="s">
        <v>254</v>
      </c>
      <c r="T2044" s="14">
        <f>IF(OR(Tabela1[[#This Row],[Entrada]]="",Tabela1[[#This Row],[Saída]]=""), "", Tabela1[[#This Row],[Saída]]-Tabela1[[#This Row],[Entrada]])</f>
        <v>3.472222222222221E-2</v>
      </c>
      <c r="U2044" s="15">
        <f>IF(OR('Controle de CT'!$R2044= "", 'Controle de CT'!$P2044= ""), "", 'Controle de CT'!$R2044-'Controle de CT'!$P2044)</f>
        <v>5.9027777777777679E-2</v>
      </c>
      <c r="V2044" s="1"/>
      <c r="W2044" s="2"/>
      <c r="X2044" s="2"/>
    </row>
    <row r="2045" spans="11:24" ht="15" hidden="1" customHeight="1">
      <c r="K2045" s="5">
        <v>46160</v>
      </c>
      <c r="L2045" s="8" t="s">
        <v>587</v>
      </c>
      <c r="M2045" s="9" t="str">
        <f>IF(Tabela1[[#This Row],[Motorista]]="","",IFERROR(_xlfn.XLOOKUP(Tabela1[[#This Row],[Motorista]],Base!A:A,Base!B:B),""))</f>
        <v/>
      </c>
      <c r="N2045" s="20" t="str">
        <f t="shared" si="105"/>
        <v>Fila de Carregamento</v>
      </c>
      <c r="O20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5" s="4">
        <v>0.65625</v>
      </c>
      <c r="Q2045" s="4">
        <v>0.69861111111111107</v>
      </c>
      <c r="R2045" s="23"/>
      <c r="S2045" s="94" t="s">
        <v>254</v>
      </c>
      <c r="T2045" s="14" t="str">
        <f>IF(OR(Tabela1[[#This Row],[Entrada]]="",Tabela1[[#This Row],[Saída]]=""), "", Tabela1[[#This Row],[Saída]]-Tabela1[[#This Row],[Entrada]])</f>
        <v/>
      </c>
      <c r="U2045" s="15" t="str">
        <f>IF(OR('Controle de CT'!$R2045= "", 'Controle de CT'!$P2045= ""), "", 'Controle de CT'!$R2045-'Controle de CT'!$P2045)</f>
        <v/>
      </c>
      <c r="V2045" s="1" t="s">
        <v>220</v>
      </c>
      <c r="W2045" s="2"/>
      <c r="X2045" s="2"/>
    </row>
    <row r="2046" spans="11:24" ht="15" hidden="1" customHeight="1">
      <c r="K2046" s="5">
        <v>46160</v>
      </c>
      <c r="L2046" s="8" t="s">
        <v>588</v>
      </c>
      <c r="M2046" s="9" t="str">
        <f>IF(Tabela1[[#This Row],[Motorista]]="","",IFERROR(_xlfn.XLOOKUP(Tabela1[[#This Row],[Motorista]],Base!A:A,Base!B:B),""))</f>
        <v/>
      </c>
      <c r="N2046" s="20" t="str">
        <f t="shared" si="105"/>
        <v>Fila de Carregamento</v>
      </c>
      <c r="O20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6" s="4">
        <v>0.62708333333333333</v>
      </c>
      <c r="Q2046" s="4">
        <v>0.82777777777777772</v>
      </c>
      <c r="R2046" s="23"/>
      <c r="S2046" s="94" t="s">
        <v>254</v>
      </c>
      <c r="T2046" s="14" t="str">
        <f>IF(OR(Tabela1[[#This Row],[Entrada]]="",Tabela1[[#This Row],[Saída]]=""), "", Tabela1[[#This Row],[Saída]]-Tabela1[[#This Row],[Entrada]])</f>
        <v/>
      </c>
      <c r="U2046" s="15" t="str">
        <f>IF(OR('Controle de CT'!$R2046= "", 'Controle de CT'!$P2046= ""), "", 'Controle de CT'!$R2046-'Controle de CT'!$P2046)</f>
        <v/>
      </c>
      <c r="V2046" s="1"/>
      <c r="W2046" s="2"/>
      <c r="X2046" s="2"/>
    </row>
    <row r="2047" spans="11:24" ht="15" hidden="1" customHeight="1">
      <c r="K2047" s="5">
        <v>46160</v>
      </c>
      <c r="L2047" s="8" t="s">
        <v>561</v>
      </c>
      <c r="M2047" s="9" t="str">
        <f>IF(Tabela1[[#This Row],[Motorista]]="","",IFERROR(_xlfn.XLOOKUP(Tabela1[[#This Row],[Motorista]],Base!A:A,Base!B:B),""))</f>
        <v/>
      </c>
      <c r="N2047" s="20" t="str">
        <f t="shared" si="105"/>
        <v>Finalizado</v>
      </c>
      <c r="O20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7" s="4">
        <v>0.70416666666666672</v>
      </c>
      <c r="Q2047" s="4">
        <v>0.74652777777777779</v>
      </c>
      <c r="R2047" s="23">
        <v>0.81666666666666665</v>
      </c>
      <c r="S2047" s="94" t="s">
        <v>254</v>
      </c>
      <c r="T2047" s="14">
        <f>IF(OR(Tabela1[[#This Row],[Entrada]]="",Tabela1[[#This Row],[Saída]]=""), "", Tabela1[[#This Row],[Saída]]-Tabela1[[#This Row],[Entrada]])</f>
        <v>7.0138888888888862E-2</v>
      </c>
      <c r="U2047" s="15">
        <f>IF(OR('Controle de CT'!$R2047= "", 'Controle de CT'!$P2047= ""), "", 'Controle de CT'!$R2047-'Controle de CT'!$P2047)</f>
        <v>0.11249999999999993</v>
      </c>
      <c r="V2047" s="1" t="s">
        <v>220</v>
      </c>
      <c r="W2047" s="2"/>
      <c r="X2047" s="2"/>
    </row>
    <row r="2048" spans="11:24" ht="15" hidden="1" customHeight="1">
      <c r="K2048" s="5">
        <v>46160</v>
      </c>
      <c r="L2048" s="8" t="s">
        <v>589</v>
      </c>
      <c r="M2048" s="9" t="str">
        <f>IF(Tabela1[[#This Row],[Motorista]]="","",IFERROR(_xlfn.XLOOKUP(Tabela1[[#This Row],[Motorista]],Base!A:A,Base!B:B),""))</f>
        <v/>
      </c>
      <c r="N2048" s="20" t="str">
        <f t="shared" si="105"/>
        <v>Fila de Carregamento</v>
      </c>
      <c r="O20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8" s="4">
        <v>0.69791666666666663</v>
      </c>
      <c r="Q2048" s="4">
        <v>0.74305555555555558</v>
      </c>
      <c r="R2048" s="23"/>
      <c r="S2048" s="94" t="s">
        <v>254</v>
      </c>
      <c r="T2048" s="14" t="str">
        <f>IF(OR(Tabela1[[#This Row],[Entrada]]="",Tabela1[[#This Row],[Saída]]=""), "", Tabela1[[#This Row],[Saída]]-Tabela1[[#This Row],[Entrada]])</f>
        <v/>
      </c>
      <c r="U2048" s="15" t="str">
        <f>IF(OR('Controle de CT'!$R2048= "", 'Controle de CT'!$P2048= ""), "", 'Controle de CT'!$R2048-'Controle de CT'!$P2048)</f>
        <v/>
      </c>
      <c r="V2048" s="1" t="s">
        <v>220</v>
      </c>
      <c r="W2048" s="2"/>
      <c r="X2048" s="2"/>
    </row>
    <row r="2049" spans="11:24" ht="15" hidden="1" customHeight="1">
      <c r="K2049" s="5">
        <v>46160</v>
      </c>
      <c r="L2049" s="8" t="s">
        <v>590</v>
      </c>
      <c r="M2049" s="9" t="str">
        <f>IF(Tabela1[[#This Row],[Motorista]]="","",IFERROR(_xlfn.XLOOKUP(Tabela1[[#This Row],[Motorista]],Base!A:A,Base!B:B),""))</f>
        <v/>
      </c>
      <c r="N2049" s="20" t="str">
        <f t="shared" si="105"/>
        <v>Fila de Carregamento</v>
      </c>
      <c r="O20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49" s="4">
        <v>0.70625000000000004</v>
      </c>
      <c r="Q2049" s="4">
        <v>0.75</v>
      </c>
      <c r="R2049" s="23"/>
      <c r="S2049" s="94" t="s">
        <v>254</v>
      </c>
      <c r="T2049" s="14" t="str">
        <f>IF(OR(Tabela1[[#This Row],[Entrada]]="",Tabela1[[#This Row],[Saída]]=""), "", Tabela1[[#This Row],[Saída]]-Tabela1[[#This Row],[Entrada]])</f>
        <v/>
      </c>
      <c r="U2049" s="15" t="str">
        <f>IF(OR('Controle de CT'!$R2049= "", 'Controle de CT'!$P2049= ""), "", 'Controle de CT'!$R2049-'Controle de CT'!$P2049)</f>
        <v/>
      </c>
      <c r="V2049" s="1" t="s">
        <v>220</v>
      </c>
      <c r="W2049" s="2"/>
      <c r="X2049" s="2"/>
    </row>
    <row r="2050" spans="11:24" ht="15" hidden="1" customHeight="1">
      <c r="K2050" s="5">
        <v>46160</v>
      </c>
      <c r="L2050" s="8" t="s">
        <v>591</v>
      </c>
      <c r="M2050" s="9" t="str">
        <f>IF(Tabela1[[#This Row],[Motorista]]="","",IFERROR(_xlfn.XLOOKUP(Tabela1[[#This Row],[Motorista]],Base!A:A,Base!B:B),""))</f>
        <v/>
      </c>
      <c r="N2050" s="20" t="str">
        <f t="shared" si="105"/>
        <v>Finalizado</v>
      </c>
      <c r="O20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0" s="4">
        <v>0.72916666666666663</v>
      </c>
      <c r="Q2050" s="4">
        <v>0.77500000000000002</v>
      </c>
      <c r="R2050" s="23">
        <v>0.83819444444444446</v>
      </c>
      <c r="S2050" s="94" t="s">
        <v>254</v>
      </c>
      <c r="T2050" s="14">
        <f>IF(OR(Tabela1[[#This Row],[Entrada]]="",Tabela1[[#This Row],[Saída]]=""), "", Tabela1[[#This Row],[Saída]]-Tabela1[[#This Row],[Entrada]])</f>
        <v>6.3194444444444442E-2</v>
      </c>
      <c r="U2050" s="15">
        <f>IF(OR('Controle de CT'!$R2050= "", 'Controle de CT'!$P2050= ""), "", 'Controle de CT'!$R2050-'Controle de CT'!$P2050)</f>
        <v>0.10902777777777783</v>
      </c>
      <c r="V2050" s="1"/>
      <c r="W2050" s="2"/>
      <c r="X2050" s="2"/>
    </row>
    <row r="2051" spans="11:24" ht="15" hidden="1" customHeight="1">
      <c r="K2051" s="5">
        <v>46160</v>
      </c>
      <c r="L2051" s="8" t="s">
        <v>592</v>
      </c>
      <c r="M2051" s="9" t="str">
        <f>IF(Tabela1[[#This Row],[Motorista]]="","",IFERROR(_xlfn.XLOOKUP(Tabela1[[#This Row],[Motorista]],Base!A:A,Base!B:B),""))</f>
        <v/>
      </c>
      <c r="N2051" s="20" t="str">
        <f t="shared" si="105"/>
        <v>Aguardando Entrada</v>
      </c>
      <c r="O20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1" s="4">
        <v>0.73888888888888893</v>
      </c>
      <c r="Q2051" s="4"/>
      <c r="R2051" s="23"/>
      <c r="S2051" s="94" t="s">
        <v>254</v>
      </c>
      <c r="T2051" s="14" t="str">
        <f>IF(OR(Tabela1[[#This Row],[Entrada]]="",Tabela1[[#This Row],[Saída]]=""), "", Tabela1[[#This Row],[Saída]]-Tabela1[[#This Row],[Entrada]])</f>
        <v/>
      </c>
      <c r="U2051" s="15" t="str">
        <f>IF(OR('Controle de CT'!$R2051= "", 'Controle de CT'!$P2051= ""), "", 'Controle de CT'!$R2051-'Controle de CT'!$P2051)</f>
        <v/>
      </c>
      <c r="V2051" s="1"/>
      <c r="W2051" s="2"/>
      <c r="X2051" s="2"/>
    </row>
    <row r="2052" spans="11:24" ht="15" hidden="1" customHeight="1">
      <c r="K2052" s="5">
        <v>46160</v>
      </c>
      <c r="L2052" s="8" t="s">
        <v>593</v>
      </c>
      <c r="M2052" s="9" t="str">
        <f>IF(Tabela1[[#This Row],[Motorista]]="","",IFERROR(_xlfn.XLOOKUP(Tabela1[[#This Row],[Motorista]],Base!A:A,Base!B:B),""))</f>
        <v/>
      </c>
      <c r="N2052" s="20" t="str">
        <f t="shared" si="105"/>
        <v>Fila de Carregamento</v>
      </c>
      <c r="O20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2" s="4">
        <v>0.74722222222222223</v>
      </c>
      <c r="Q2052" s="4">
        <v>0.77152777777777781</v>
      </c>
      <c r="R2052" s="23"/>
      <c r="S2052" s="94" t="s">
        <v>254</v>
      </c>
      <c r="T2052" s="14" t="str">
        <f>IF(OR(Tabela1[[#This Row],[Entrada]]="",Tabela1[[#This Row],[Saída]]=""), "", Tabela1[[#This Row],[Saída]]-Tabela1[[#This Row],[Entrada]])</f>
        <v/>
      </c>
      <c r="U2052" s="15" t="str">
        <f>IF(OR('Controle de CT'!$R2052= "", 'Controle de CT'!$P2052= ""), "", 'Controle de CT'!$R2052-'Controle de CT'!$P2052)</f>
        <v/>
      </c>
      <c r="V2052" s="1"/>
      <c r="W2052" s="2"/>
      <c r="X2052" s="2"/>
    </row>
    <row r="2053" spans="11:24" ht="15" hidden="1" customHeight="1">
      <c r="K2053" s="5">
        <v>46160</v>
      </c>
      <c r="L2053" s="8" t="s">
        <v>223</v>
      </c>
      <c r="M2053" s="9" t="str">
        <f>IF(Tabela1[[#This Row],[Motorista]]="","",IFERROR(_xlfn.XLOOKUP(Tabela1[[#This Row],[Motorista]],Base!A:A,Base!B:B),""))</f>
        <v/>
      </c>
      <c r="N2053" s="20" t="str">
        <f t="shared" si="105"/>
        <v>Fila de Carregamento</v>
      </c>
      <c r="O20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3" s="4">
        <v>0.74861111111111112</v>
      </c>
      <c r="Q2053" s="4">
        <v>0.76597222222222228</v>
      </c>
      <c r="R2053" s="23"/>
      <c r="S2053" s="94" t="s">
        <v>254</v>
      </c>
      <c r="T2053" s="14" t="str">
        <f>IF(OR(Tabela1[[#This Row],[Entrada]]="",Tabela1[[#This Row],[Saída]]=""), "", Tabela1[[#This Row],[Saída]]-Tabela1[[#This Row],[Entrada]])</f>
        <v/>
      </c>
      <c r="U2053" s="15" t="str">
        <f>IF(OR('Controle de CT'!$R2053= "", 'Controle de CT'!$P2053= ""), "", 'Controle de CT'!$R2053-'Controle de CT'!$P2053)</f>
        <v/>
      </c>
      <c r="V2053" s="1" t="s">
        <v>226</v>
      </c>
      <c r="W2053" s="2"/>
      <c r="X2053" s="2"/>
    </row>
    <row r="2054" spans="11:24" ht="15" hidden="1" customHeight="1">
      <c r="K2054" s="5">
        <v>46160</v>
      </c>
      <c r="L2054" s="8" t="s">
        <v>594</v>
      </c>
      <c r="M2054" s="9" t="str">
        <f>IF(Tabela1[[#This Row],[Motorista]]="","",IFERROR(_xlfn.XLOOKUP(Tabela1[[#This Row],[Motorista]],Base!A:A,Base!B:B),""))</f>
        <v/>
      </c>
      <c r="N2054" s="20" t="str">
        <f t="shared" si="105"/>
        <v>Fila de Carregamento</v>
      </c>
      <c r="O20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4" s="4">
        <v>0.80486111111111114</v>
      </c>
      <c r="Q2054" s="4">
        <v>0.81388888888888888</v>
      </c>
      <c r="R2054" s="23"/>
      <c r="S2054" s="94" t="s">
        <v>254</v>
      </c>
      <c r="T2054" s="14" t="str">
        <f>IF(OR(Tabela1[[#This Row],[Entrada]]="",Tabela1[[#This Row],[Saída]]=""), "", Tabela1[[#This Row],[Saída]]-Tabela1[[#This Row],[Entrada]])</f>
        <v/>
      </c>
      <c r="U2054" s="15" t="str">
        <f>IF(OR('Controle de CT'!$R2054= "", 'Controle de CT'!$P2054= ""), "", 'Controle de CT'!$R2054-'Controle de CT'!$P2054)</f>
        <v/>
      </c>
      <c r="V2054" s="1" t="s">
        <v>226</v>
      </c>
      <c r="W2054" s="2"/>
      <c r="X2054" s="2"/>
    </row>
    <row r="2055" spans="11:24" ht="15" hidden="1" customHeight="1">
      <c r="K2055" s="5">
        <v>46160</v>
      </c>
      <c r="L2055" s="8" t="s">
        <v>423</v>
      </c>
      <c r="M2055" s="9" t="str">
        <f>IF(Tabela1[[#This Row],[Motorista]]="","",IFERROR(_xlfn.XLOOKUP(Tabela1[[#This Row],[Motorista]],Base!A:A,Base!B:B),""))</f>
        <v/>
      </c>
      <c r="N2055" s="20" t="str">
        <f t="shared" si="105"/>
        <v>Fila de Carregamento</v>
      </c>
      <c r="O20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5" s="4">
        <v>0.74236111111111114</v>
      </c>
      <c r="Q2055" s="4">
        <v>0.83888888888888891</v>
      </c>
      <c r="R2055" s="23"/>
      <c r="S2055" s="94" t="s">
        <v>254</v>
      </c>
      <c r="T2055" s="14" t="str">
        <f>IF(OR(Tabela1[[#This Row],[Entrada]]="",Tabela1[[#This Row],[Saída]]=""), "", Tabela1[[#This Row],[Saída]]-Tabela1[[#This Row],[Entrada]])</f>
        <v/>
      </c>
      <c r="U2055" s="15" t="str">
        <f>IF(OR('Controle de CT'!$R2055= "", 'Controle de CT'!$P2055= ""), "", 'Controle de CT'!$R2055-'Controle de CT'!$P2055)</f>
        <v/>
      </c>
      <c r="V2055" s="1"/>
      <c r="W2055" s="2"/>
      <c r="X2055" s="2"/>
    </row>
    <row r="2056" spans="11:24" ht="15" hidden="1" customHeight="1">
      <c r="K2056" s="5">
        <v>46161</v>
      </c>
      <c r="L2056" s="8" t="s">
        <v>116</v>
      </c>
      <c r="M2056" s="9" t="str">
        <f>IF(Tabela1[[#This Row],[Motorista]]="","",IFERROR(_xlfn.XLOOKUP(Tabela1[[#This Row],[Motorista]],Base!A:A,Base!B:B),""))</f>
        <v xml:space="preserve">CIF </v>
      </c>
      <c r="N2056" s="20" t="str">
        <f t="shared" si="105"/>
        <v>Finalizado</v>
      </c>
      <c r="O20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56" s="4">
        <v>0.1986111111111111</v>
      </c>
      <c r="Q2056" s="4">
        <v>0.26666666666666666</v>
      </c>
      <c r="R2056" s="23">
        <v>0.29583333333333334</v>
      </c>
      <c r="S2056" s="67"/>
      <c r="T2056" s="15">
        <f>IF(OR('Controle de CT'!$R2056= "", 'Controle de CT'!$P2056= ""), "", 'Controle de CT'!$R2056-'Controle de CT'!$P2056)</f>
        <v>9.7222222222222238E-2</v>
      </c>
      <c r="U2056" s="1"/>
      <c r="V2056" s="1"/>
      <c r="W2056" s="2"/>
      <c r="X2056" s="2"/>
    </row>
    <row r="2057" spans="11:24" ht="15" hidden="1" customHeight="1">
      <c r="K2057" s="5">
        <v>46161</v>
      </c>
      <c r="L2057" s="8" t="s">
        <v>595</v>
      </c>
      <c r="M2057" s="9" t="s">
        <v>63</v>
      </c>
      <c r="N2057" s="20" t="str">
        <f t="shared" si="105"/>
        <v>Aguardando Entrada</v>
      </c>
      <c r="O20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7" s="4">
        <v>0.24791666666666667</v>
      </c>
      <c r="Q2057" s="4"/>
      <c r="R2057" s="23"/>
      <c r="S2057" s="67"/>
      <c r="T2057" s="1"/>
      <c r="U2057" s="1"/>
      <c r="V2057" s="1"/>
      <c r="W2057" s="2"/>
      <c r="X2057" s="2"/>
    </row>
    <row r="2058" spans="11:24" ht="15" hidden="1" customHeight="1">
      <c r="K2058" s="5">
        <v>46161</v>
      </c>
      <c r="L2058" s="8" t="s">
        <v>596</v>
      </c>
      <c r="M2058" s="9" t="str">
        <f>IF(Tabela1[[#This Row],[Motorista]]="","",IFERROR(_xlfn.XLOOKUP(Tabela1[[#This Row],[Motorista]],Base!A:A,Base!B:B),""))</f>
        <v/>
      </c>
      <c r="N2058" s="20" t="str">
        <f t="shared" si="105"/>
        <v>Finalizado</v>
      </c>
      <c r="O20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58" s="4">
        <v>0.25</v>
      </c>
      <c r="Q2058" s="4">
        <v>0.27291666666666664</v>
      </c>
      <c r="R2058" s="23">
        <v>0.30833333333333335</v>
      </c>
      <c r="S2058" s="67"/>
      <c r="T2058" s="1"/>
      <c r="U2058" s="1"/>
      <c r="V2058" s="1"/>
      <c r="W2058" s="2"/>
      <c r="X2058" s="2"/>
    </row>
    <row r="2059" spans="11:24" ht="15" hidden="1" customHeight="1">
      <c r="K2059" s="5">
        <v>46161</v>
      </c>
      <c r="L2059" s="8" t="s">
        <v>597</v>
      </c>
      <c r="M2059" s="9" t="str">
        <f>IF(Tabela1[[#This Row],[Motorista]]="","",IFERROR(_xlfn.XLOOKUP(Tabela1[[#This Row],[Motorista]],Base!A:A,Base!B:B),""))</f>
        <v/>
      </c>
      <c r="N2059" s="20" t="str">
        <f t="shared" si="105"/>
        <v>Finalizado</v>
      </c>
      <c r="O20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59" s="4">
        <v>0.25277777777777777</v>
      </c>
      <c r="Q2059" s="4">
        <v>0.27847222222222223</v>
      </c>
      <c r="R2059" s="23">
        <v>0.32083333333333336</v>
      </c>
      <c r="S2059" s="67"/>
      <c r="T2059" s="1"/>
      <c r="U2059" s="1"/>
      <c r="V2059" s="1"/>
      <c r="W2059" s="2"/>
      <c r="X2059" s="2"/>
    </row>
    <row r="2060" spans="11:24" ht="15" hidden="1" customHeight="1">
      <c r="K2060" s="5">
        <v>46161</v>
      </c>
      <c r="L2060" s="8" t="s">
        <v>574</v>
      </c>
      <c r="M2060" s="9" t="str">
        <f>IF(Tabela1[[#This Row],[Motorista]]="","",IFERROR(_xlfn.XLOOKUP(Tabela1[[#This Row],[Motorista]],Base!A:A,Base!B:B),""))</f>
        <v/>
      </c>
      <c r="N2060" s="20" t="str">
        <f t="shared" si="105"/>
        <v>Finalizado</v>
      </c>
      <c r="O20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60" s="4">
        <v>0.25416666666666665</v>
      </c>
      <c r="Q2060" s="4">
        <v>0.28888888888888886</v>
      </c>
      <c r="R2060" s="23">
        <v>0.33680555555555558</v>
      </c>
      <c r="S2060" s="67"/>
      <c r="T2060" s="1"/>
      <c r="U2060" s="1"/>
      <c r="V2060" s="1"/>
      <c r="W2060" s="2"/>
      <c r="X2060" s="2"/>
    </row>
    <row r="2061" spans="11:24" ht="15" hidden="1" customHeight="1">
      <c r="K2061" s="5">
        <v>46161</v>
      </c>
      <c r="L2061" s="8" t="s">
        <v>566</v>
      </c>
      <c r="M2061" s="9" t="str">
        <f>IF(Tabela1[[#This Row],[Motorista]]="","",IFERROR(_xlfn.XLOOKUP(Tabela1[[#This Row],[Motorista]],Base!A:A,Base!B:B),""))</f>
        <v/>
      </c>
      <c r="N2061" s="20" t="str">
        <f t="shared" si="105"/>
        <v>Finalizado</v>
      </c>
      <c r="O20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1" s="4">
        <v>0.25416666666666665</v>
      </c>
      <c r="Q2061" s="4">
        <v>0.29236111111111113</v>
      </c>
      <c r="R2061" s="23">
        <v>0.33888888888888891</v>
      </c>
      <c r="S2061" s="67"/>
      <c r="T2061" s="1"/>
      <c r="U2061" s="1"/>
      <c r="V2061" s="1"/>
      <c r="W2061" s="2"/>
      <c r="X2061" s="2"/>
    </row>
    <row r="2062" spans="11:24" ht="15" hidden="1" customHeight="1">
      <c r="K2062" s="5">
        <v>46161</v>
      </c>
      <c r="L2062" s="8" t="s">
        <v>575</v>
      </c>
      <c r="M2062" s="9" t="str">
        <f>IF(Tabela1[[#This Row],[Motorista]]="","",IFERROR(_xlfn.XLOOKUP(Tabela1[[#This Row],[Motorista]],Base!A:A,Base!B:B),""))</f>
        <v/>
      </c>
      <c r="N2062" s="20" t="str">
        <f t="shared" si="105"/>
        <v>Aguardando Entrada</v>
      </c>
      <c r="O20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2" s="4">
        <v>0.26944444444444443</v>
      </c>
      <c r="Q2062" s="4"/>
      <c r="R2062" s="23"/>
      <c r="S2062" s="67"/>
      <c r="T2062" s="1"/>
      <c r="U2062" s="1"/>
      <c r="V2062" s="1" t="s">
        <v>226</v>
      </c>
      <c r="W2062" s="2"/>
      <c r="X2062" s="2"/>
    </row>
    <row r="2063" spans="11:24" ht="15" hidden="1" customHeight="1">
      <c r="K2063" s="5">
        <v>46161</v>
      </c>
      <c r="L2063" s="8" t="s">
        <v>497</v>
      </c>
      <c r="M2063" s="9" t="str">
        <f>IF(Tabela1[[#This Row],[Motorista]]="","",IFERROR(_xlfn.XLOOKUP(Tabela1[[#This Row],[Motorista]],Base!A:A,Base!B:B),""))</f>
        <v/>
      </c>
      <c r="N2063" s="20" t="str">
        <f t="shared" si="105"/>
        <v>Aguardando Entrada</v>
      </c>
      <c r="O20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3" s="4">
        <v>0.28611111111111109</v>
      </c>
      <c r="Q2063" s="4"/>
      <c r="R2063" s="23"/>
      <c r="S2063" s="67"/>
      <c r="T2063" s="1"/>
      <c r="U2063" s="1"/>
      <c r="V2063" s="1"/>
      <c r="W2063" s="2"/>
      <c r="X2063" s="2"/>
    </row>
    <row r="2064" spans="11:24" ht="15" hidden="1" customHeight="1">
      <c r="K2064" s="5">
        <v>46161</v>
      </c>
      <c r="L2064" s="8" t="s">
        <v>568</v>
      </c>
      <c r="M2064" s="9" t="str">
        <f>IF(Tabela1[[#This Row],[Motorista]]="","",IFERROR(_xlfn.XLOOKUP(Tabela1[[#This Row],[Motorista]],Base!A:A,Base!B:B),""))</f>
        <v/>
      </c>
      <c r="N2064" s="20" t="str">
        <f t="shared" si="105"/>
        <v>Aguardando Entrada</v>
      </c>
      <c r="O20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64" s="4">
        <v>0.2986111111111111</v>
      </c>
      <c r="Q2064" s="4"/>
      <c r="R2064" s="23"/>
      <c r="S2064" s="67"/>
      <c r="T2064" s="1"/>
      <c r="U2064" s="1"/>
      <c r="V2064" s="1"/>
      <c r="W2064" s="2"/>
      <c r="X2064" s="2"/>
    </row>
    <row r="2065" spans="11:24" ht="15" hidden="1" customHeight="1">
      <c r="K2065" s="5">
        <v>46161</v>
      </c>
      <c r="L2065" s="8" t="s">
        <v>296</v>
      </c>
      <c r="M2065" s="9" t="str">
        <f>IF(Tabela1[[#This Row],[Motorista]]="","",IFERROR(_xlfn.XLOOKUP(Tabela1[[#This Row],[Motorista]],Base!A:A,Base!B:B),""))</f>
        <v/>
      </c>
      <c r="N2065" s="20" t="str">
        <f t="shared" si="105"/>
        <v>Finalizado</v>
      </c>
      <c r="O20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65" s="4">
        <v>0.32430555555555557</v>
      </c>
      <c r="Q2065" s="4">
        <v>0.36458333333333331</v>
      </c>
      <c r="R2065" s="23">
        <v>0.41041666666666665</v>
      </c>
      <c r="S2065" s="67"/>
      <c r="T2065" s="1"/>
      <c r="U2065" s="1"/>
      <c r="V2065" s="1"/>
      <c r="W2065" s="2"/>
      <c r="X2065" s="2"/>
    </row>
    <row r="2066" spans="11:24" ht="15" hidden="1" customHeight="1">
      <c r="K2066" s="5">
        <v>46161</v>
      </c>
      <c r="L2066" s="8" t="s">
        <v>509</v>
      </c>
      <c r="M2066" s="9" t="str">
        <f>IF(Tabela1[[#This Row],[Motorista]]="","",IFERROR(_xlfn.XLOOKUP(Tabela1[[#This Row],[Motorista]],Base!A:A,Base!B:B),""))</f>
        <v/>
      </c>
      <c r="N2066" s="20" t="str">
        <f t="shared" si="105"/>
        <v>Aguardando Entrada</v>
      </c>
      <c r="O20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6" s="4">
        <v>0.33680555555555558</v>
      </c>
      <c r="Q2066" s="4"/>
      <c r="R2066" s="23"/>
      <c r="S2066" s="67"/>
      <c r="T2066" s="1"/>
      <c r="U2066" s="1"/>
      <c r="V2066" s="1"/>
      <c r="W2066" s="2"/>
      <c r="X2066" s="2"/>
    </row>
    <row r="2067" spans="11:24" ht="15" hidden="1" customHeight="1">
      <c r="K2067" s="5">
        <v>46161</v>
      </c>
      <c r="L2067" s="8" t="s">
        <v>473</v>
      </c>
      <c r="M2067" s="9" t="str">
        <f>IF(Tabela1[[#This Row],[Motorista]]="","",IFERROR(_xlfn.XLOOKUP(Tabela1[[#This Row],[Motorista]],Base!A:A,Base!B:B),""))</f>
        <v/>
      </c>
      <c r="N2067" s="20" t="str">
        <f t="shared" si="105"/>
        <v>Finalizado</v>
      </c>
      <c r="O20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7" s="4">
        <v>0.36388888888888887</v>
      </c>
      <c r="Q2067" s="4"/>
      <c r="R2067" s="23">
        <v>0.42291666666666666</v>
      </c>
      <c r="S2067" s="67"/>
      <c r="T2067" s="1"/>
      <c r="U2067" s="1"/>
      <c r="V2067" s="1"/>
      <c r="W2067" s="2"/>
      <c r="X2067" s="2"/>
    </row>
    <row r="2068" spans="11:24" ht="15" hidden="1" customHeight="1">
      <c r="K2068" s="5">
        <v>46161</v>
      </c>
      <c r="L2068" s="8" t="s">
        <v>598</v>
      </c>
      <c r="M2068" s="9" t="str">
        <f>IF(Tabela1[[#This Row],[Motorista]]="","",IFERROR(_xlfn.XLOOKUP(Tabela1[[#This Row],[Motorista]],Base!A:A,Base!B:B),""))</f>
        <v/>
      </c>
      <c r="N2068" s="20" t="str">
        <f t="shared" si="105"/>
        <v>Finalizado</v>
      </c>
      <c r="O20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8" s="4"/>
      <c r="Q2068" s="4"/>
      <c r="R2068" s="23">
        <v>100</v>
      </c>
      <c r="S2068" s="67"/>
      <c r="T2068" s="1"/>
      <c r="U2068" s="1"/>
      <c r="V2068" s="1"/>
      <c r="W2068" s="2"/>
      <c r="X2068" s="2"/>
    </row>
    <row r="2069" spans="11:24" ht="15" hidden="1" customHeight="1">
      <c r="K2069" s="5">
        <v>46161</v>
      </c>
      <c r="L2069" s="8" t="s">
        <v>419</v>
      </c>
      <c r="M2069" s="9" t="str">
        <f>IF(Tabela1[[#This Row],[Motorista]]="","",IFERROR(_xlfn.XLOOKUP(Tabela1[[#This Row],[Motorista]],Base!A:A,Base!B:B),""))</f>
        <v/>
      </c>
      <c r="N2069" s="20" t="str">
        <f t="shared" si="105"/>
        <v>Aguardando Entrada</v>
      </c>
      <c r="O20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69" s="4">
        <v>0.41805555555555557</v>
      </c>
      <c r="Q2069" s="4"/>
      <c r="R2069" s="23"/>
      <c r="S2069" s="67"/>
      <c r="T2069" s="1"/>
      <c r="U2069" s="1"/>
      <c r="V2069" s="1"/>
      <c r="W2069" s="2"/>
      <c r="X2069" s="2"/>
    </row>
    <row r="2070" spans="11:24" ht="15" hidden="1" customHeight="1">
      <c r="K2070" s="5">
        <v>46161</v>
      </c>
      <c r="L2070" s="8" t="s">
        <v>116</v>
      </c>
      <c r="M2070" s="9" t="str">
        <f>IF(Tabela1[[#This Row],[Motorista]]="","",IFERROR(_xlfn.XLOOKUP(Tabela1[[#This Row],[Motorista]],Base!A:A,Base!B:B),""))</f>
        <v xml:space="preserve">CIF </v>
      </c>
      <c r="N2070" s="20" t="str">
        <f t="shared" si="105"/>
        <v>Aguardando Entrada</v>
      </c>
      <c r="O2070" s="9"/>
      <c r="P2070" s="4">
        <v>0.37361111111111112</v>
      </c>
      <c r="Q2070" s="4"/>
      <c r="R2070" s="23"/>
      <c r="S2070" s="67"/>
      <c r="T2070" s="1"/>
      <c r="U2070" s="1"/>
      <c r="V2070" s="1"/>
      <c r="W2070" s="2"/>
      <c r="X2070" s="2"/>
    </row>
    <row r="2071" spans="11:24" ht="15" hidden="1" customHeight="1">
      <c r="K2071" s="5">
        <v>46161</v>
      </c>
      <c r="L2071" s="8" t="s">
        <v>599</v>
      </c>
      <c r="M2071" s="9" t="str">
        <f>IF(Tabela1[[#This Row],[Motorista]]="","",IFERROR(_xlfn.XLOOKUP(Tabela1[[#This Row],[Motorista]],Base!A:A,Base!B:B),""))</f>
        <v/>
      </c>
      <c r="N2071" s="20" t="str">
        <f t="shared" si="105"/>
        <v>Aguardando Entrada</v>
      </c>
      <c r="O20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71" s="4">
        <v>0.44097222222222221</v>
      </c>
      <c r="Q2071" s="4"/>
      <c r="R2071" s="23"/>
      <c r="S2071" s="67"/>
      <c r="T2071" s="1"/>
      <c r="U2071" s="1"/>
      <c r="V2071" s="1"/>
      <c r="W2071" s="2"/>
      <c r="X2071" s="2"/>
    </row>
    <row r="2072" spans="11:24" ht="15" hidden="1" customHeight="1">
      <c r="K2072" s="5">
        <v>46161</v>
      </c>
      <c r="L2072" s="8" t="s">
        <v>568</v>
      </c>
      <c r="M2072" s="9" t="str">
        <f>IF(Tabela1[[#This Row],[Motorista]]="","",IFERROR(_xlfn.XLOOKUP(Tabela1[[#This Row],[Motorista]],Base!A:A,Base!B:B),""))</f>
        <v/>
      </c>
      <c r="N2072" s="20" t="str">
        <f t="shared" si="105"/>
        <v>Aguardando Entrada</v>
      </c>
      <c r="O20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72" s="4">
        <v>0.45624999999999999</v>
      </c>
      <c r="Q2072" s="4"/>
      <c r="R2072" s="23"/>
      <c r="S2072" s="67"/>
      <c r="T2072" s="1"/>
      <c r="U2072" s="1"/>
      <c r="V2072" s="1"/>
      <c r="W2072" s="2"/>
      <c r="X2072" s="2"/>
    </row>
    <row r="2073" spans="11:24" ht="15" hidden="1" customHeight="1">
      <c r="K2073" s="5">
        <v>46161</v>
      </c>
      <c r="L2073" s="8" t="s">
        <v>296</v>
      </c>
      <c r="M2073" s="9" t="str">
        <f>IF(Tabela1[[#This Row],[Motorista]]="","",IFERROR(_xlfn.XLOOKUP(Tabela1[[#This Row],[Motorista]],Base!A:A,Base!B:B),""))</f>
        <v/>
      </c>
      <c r="N2073" s="20" t="str">
        <f t="shared" si="105"/>
        <v/>
      </c>
      <c r="O20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73" s="4"/>
      <c r="Q2073" s="4"/>
      <c r="R2073" s="23"/>
      <c r="S2073" s="67"/>
      <c r="T2073" s="1"/>
      <c r="U2073" s="1"/>
      <c r="V2073" s="1"/>
      <c r="W2073" s="2"/>
      <c r="X2073" s="2"/>
    </row>
    <row r="2074" spans="11:24" ht="15" hidden="1" customHeight="1">
      <c r="K2074" s="5">
        <v>46161</v>
      </c>
      <c r="L2074" s="8" t="s">
        <v>600</v>
      </c>
      <c r="M2074" s="9" t="str">
        <f>IF(Tabela1[[#This Row],[Motorista]]="","",IFERROR(_xlfn.XLOOKUP(Tabela1[[#This Row],[Motorista]],Base!A:A,Base!B:B),""))</f>
        <v/>
      </c>
      <c r="N2074" s="20" t="str">
        <f t="shared" ref="N2074:N2078" si="106">IF(R2074&lt;&gt;"","Finalizado", IF(Q2074&lt;&gt;"","Fila de Carregamento", IF(P2074&lt;&gt;"","Aguardando Entrada","")))</f>
        <v/>
      </c>
      <c r="O20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4" s="4"/>
      <c r="Q2074" s="4"/>
      <c r="R2074" s="23"/>
      <c r="S2074" s="67"/>
      <c r="T2074" s="14" t="str">
        <f>IF(OR(Tabela1[[#This Row],[Entrada]]="",Tabela1[[#This Row],[Saída]]=""), "", Tabela1[[#This Row],[Saída]]-Tabela1[[#This Row],[Entrada]])</f>
        <v/>
      </c>
      <c r="U2074" s="15" t="str">
        <f>IF(OR('Controle de CT'!$R2074= "", 'Controle de CT'!$P2074= ""), "", 'Controle de CT'!$R2074-'Controle de CT'!$P2074)</f>
        <v/>
      </c>
      <c r="V2074" s="1"/>
      <c r="W2074" s="2"/>
      <c r="X2074" s="2"/>
    </row>
    <row r="2075" spans="11:24" ht="15" hidden="1" customHeight="1">
      <c r="K2075" s="5">
        <v>46161</v>
      </c>
      <c r="L2075" s="8" t="s">
        <v>574</v>
      </c>
      <c r="M2075" s="22" t="str">
        <f>IF(Tabela1[[#This Row],[Motorista]]="","",IFERROR(_xlfn.XLOOKUP(Tabela1[[#This Row],[Motorista]],Base!A:A,Base!B:B),""))</f>
        <v/>
      </c>
      <c r="N2075" s="20" t="str">
        <f t="shared" si="106"/>
        <v/>
      </c>
      <c r="O20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R2075" s="16"/>
      <c r="S2075" s="67"/>
      <c r="T2075" s="14" t="str">
        <f>IF(OR(Tabela1[[#This Row],[Entrada]]="",Tabela1[[#This Row],[Saída]]=""), "", Tabela1[[#This Row],[Saída]]-Tabela1[[#This Row],[Entrada]])</f>
        <v/>
      </c>
      <c r="U2075" s="15" t="str">
        <f>IF(OR('Controle de CT'!$R2075= "", 'Controle de CT'!$P2075= ""), "", 'Controle de CT'!$R2075-'Controle de CT'!$P2075)</f>
        <v/>
      </c>
      <c r="V2075" s="1"/>
      <c r="W2075" s="2"/>
      <c r="X2075" s="2"/>
    </row>
    <row r="2076" spans="11:24" ht="15" hidden="1" customHeight="1">
      <c r="K2076" s="5">
        <v>46161</v>
      </c>
      <c r="L2076" s="8" t="s">
        <v>559</v>
      </c>
      <c r="M2076" s="22" t="str">
        <f>IF(Tabela1[[#This Row],[Motorista]]="","",IFERROR(_xlfn.XLOOKUP(Tabela1[[#This Row],[Motorista]],Base!A:A,Base!B:B),""))</f>
        <v/>
      </c>
      <c r="N2076" s="20" t="str">
        <f t="shared" si="106"/>
        <v>Finalizado</v>
      </c>
      <c r="O20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6" s="2">
        <v>0.62638888888888888</v>
      </c>
      <c r="Q2076" s="2">
        <v>0.64930555555555558</v>
      </c>
      <c r="R2076" s="16">
        <v>0.69652777777777775</v>
      </c>
      <c r="S2076" s="67"/>
      <c r="T2076" s="14">
        <f>IF(OR(Tabela1[[#This Row],[Entrada]]="",Tabela1[[#This Row],[Saída]]=""), "", Tabela1[[#This Row],[Saída]]-Tabela1[[#This Row],[Entrada]])</f>
        <v>4.7222222222222165E-2</v>
      </c>
      <c r="U2076" s="15">
        <f>IF(OR('Controle de CT'!$R2076= "", 'Controle de CT'!$P2076= ""), "", 'Controle de CT'!$R2076-'Controle de CT'!$P2076)</f>
        <v>7.0138888888888862E-2</v>
      </c>
      <c r="V2076" s="1"/>
      <c r="W2076" s="2"/>
      <c r="X2076" s="2"/>
    </row>
    <row r="2077" spans="11:24" ht="15" hidden="1" customHeight="1">
      <c r="K2077" s="5">
        <v>46161</v>
      </c>
      <c r="L2077" s="8" t="s">
        <v>590</v>
      </c>
      <c r="M2077" s="22" t="str">
        <f>IF(Tabela1[[#This Row],[Motorista]]="","",IFERROR(_xlfn.XLOOKUP(Tabela1[[#This Row],[Motorista]],Base!A:A,Base!B:B),""))</f>
        <v/>
      </c>
      <c r="N2077" s="20" t="str">
        <f t="shared" si="106"/>
        <v>Finalizado</v>
      </c>
      <c r="O207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7" s="2">
        <v>0.58333333333333337</v>
      </c>
      <c r="Q2077" s="2">
        <v>0.6381944444444444</v>
      </c>
      <c r="R2077" s="16">
        <v>0.71319444444444446</v>
      </c>
      <c r="S2077" s="67"/>
      <c r="T2077" s="14">
        <f>IF(OR(Tabela1[[#This Row],[Entrada]]="",Tabela1[[#This Row],[Saída]]=""), "", Tabela1[[#This Row],[Saída]]-Tabela1[[#This Row],[Entrada]])</f>
        <v>7.5000000000000067E-2</v>
      </c>
      <c r="U2077" s="15">
        <f>IF(OR('Controle de CT'!$R2077= "", 'Controle de CT'!$P2077= ""), "", 'Controle de CT'!$R2077-'Controle de CT'!$P2077)</f>
        <v>0.12986111111111109</v>
      </c>
      <c r="V2077" s="1"/>
      <c r="W2077" s="2"/>
      <c r="X2077" s="2"/>
    </row>
    <row r="2078" spans="11:24" ht="15" hidden="1" customHeight="1">
      <c r="K2078" s="5">
        <v>46161</v>
      </c>
      <c r="L2078" s="8" t="s">
        <v>601</v>
      </c>
      <c r="M2078" s="22" t="str">
        <f>IF(Tabela1[[#This Row],[Motorista]]="","",IFERROR(_xlfn.XLOOKUP(Tabela1[[#This Row],[Motorista]],Base!A:A,Base!B:B),""))</f>
        <v/>
      </c>
      <c r="N2078" s="20" t="str">
        <f t="shared" si="106"/>
        <v>Finalizado</v>
      </c>
      <c r="O207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8" s="2">
        <v>0.56805555555555554</v>
      </c>
      <c r="Q2078" s="2">
        <v>0.65347222222222223</v>
      </c>
      <c r="R2078" s="16">
        <v>0.68611111111111112</v>
      </c>
      <c r="S2078" s="67"/>
      <c r="T2078" s="14">
        <f>IF(OR(Tabela1[[#This Row],[Entrada]]="",Tabela1[[#This Row],[Saída]]=""), "", Tabela1[[#This Row],[Saída]]-Tabela1[[#This Row],[Entrada]])</f>
        <v>3.2638888888888884E-2</v>
      </c>
      <c r="U2078" s="15">
        <f>IF(OR('Controle de CT'!$R2078= "", 'Controle de CT'!$P2078= ""), "", 'Controle de CT'!$R2078-'Controle de CT'!$P2078)</f>
        <v>0.11805555555555558</v>
      </c>
      <c r="V2078" s="1"/>
      <c r="W2078" s="2"/>
      <c r="X2078" s="2"/>
    </row>
    <row r="2079" spans="11:24" ht="15" hidden="1" customHeight="1">
      <c r="K2079" s="5">
        <v>46161</v>
      </c>
      <c r="L2079" s="8" t="s">
        <v>602</v>
      </c>
      <c r="M2079" s="9" t="str">
        <f>IF(Tabela1[[#This Row],[Motorista]]="","",IFERROR(_xlfn.XLOOKUP(Tabela1[[#This Row],[Motorista]],Base!A:A,Base!B:B),""))</f>
        <v/>
      </c>
      <c r="N2079" s="20" t="str">
        <f t="shared" ref="N2079:N2099" si="107">IF(R2079&lt;&gt;"","Finalizado", IF(Q2079&lt;&gt;"","Fila de Carregamento", IF(P2079&lt;&gt;"","Aguardando Entrada","")))</f>
        <v>Finalizado</v>
      </c>
      <c r="O207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79" s="4">
        <v>0.64027777777777772</v>
      </c>
      <c r="Q2079" s="4">
        <v>0.65138888888888891</v>
      </c>
      <c r="R2079" s="23">
        <v>0.67083333333333328</v>
      </c>
      <c r="S2079" s="16"/>
      <c r="T2079" s="14">
        <f>IF(OR(Tabela1[[#This Row],[Entrada]]="",Tabela1[[#This Row],[Saída]]=""), "", Tabela1[[#This Row],[Saída]]-Tabela1[[#This Row],[Entrada]])</f>
        <v>1.9444444444444375E-2</v>
      </c>
      <c r="U2079" s="15">
        <f>IF(OR('Controle de CT'!$R2079= "", 'Controle de CT'!$P2079= ""), "", 'Controle de CT'!$R2079-'Controle de CT'!$P2079)</f>
        <v>3.0555555555555558E-2</v>
      </c>
      <c r="V2079" s="1"/>
      <c r="W2079" s="2"/>
      <c r="X2079" s="2"/>
    </row>
    <row r="2080" spans="11:24" ht="15" hidden="1" customHeight="1">
      <c r="K2080" s="5">
        <v>46162</v>
      </c>
      <c r="L2080" s="8" t="s">
        <v>116</v>
      </c>
      <c r="M2080" s="9" t="str">
        <f>IF(Tabela1[[#This Row],[Motorista]]="","",IFERROR(_xlfn.XLOOKUP(Tabela1[[#This Row],[Motorista]],Base!A:A,Base!B:B),""))</f>
        <v xml:space="preserve">CIF </v>
      </c>
      <c r="N2080" s="20" t="str">
        <f t="shared" si="107"/>
        <v>Finalizado</v>
      </c>
      <c r="O208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80" s="4">
        <v>0.20416666666666666</v>
      </c>
      <c r="Q2080" s="4">
        <v>0.2638888888888889</v>
      </c>
      <c r="R2080" s="23">
        <v>0.37291666666666667</v>
      </c>
      <c r="S2080" s="94" t="s">
        <v>254</v>
      </c>
      <c r="T2080" s="15">
        <f>IF(OR('Controle de CT'!$R2080= "", 'Controle de CT'!$P2080= ""), "", 'Controle de CT'!$R2080-'Controle de CT'!$P2080)</f>
        <v>0.16875000000000001</v>
      </c>
      <c r="U2080" s="1"/>
      <c r="V2080" s="1"/>
      <c r="W2080" s="2"/>
      <c r="X2080" s="2"/>
    </row>
    <row r="2081" spans="11:24" ht="15" hidden="1" customHeight="1">
      <c r="K2081" s="5">
        <v>46162</v>
      </c>
      <c r="L2081" t="s">
        <v>45</v>
      </c>
      <c r="M2081" s="9" t="str">
        <f>IF(Tabela1[[#This Row],[Motorista]]="","",IFERROR(_xlfn.XLOOKUP(Tabela1[[#This Row],[Motorista]],Base!A:A,Base!B:B),""))</f>
        <v>CIF</v>
      </c>
      <c r="N2081" s="20" t="str">
        <f t="shared" si="107"/>
        <v>Finalizado</v>
      </c>
      <c r="O208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1" s="4">
        <v>0.21944444444444444</v>
      </c>
      <c r="Q2081" s="4">
        <v>0.27361111111111114</v>
      </c>
      <c r="R2081" s="23">
        <v>0.30902777777777779</v>
      </c>
      <c r="S2081" s="94" t="s">
        <v>254</v>
      </c>
      <c r="T2081" s="1"/>
      <c r="U2081" s="1"/>
      <c r="V2081" s="1"/>
      <c r="W2081" s="2"/>
      <c r="X2081" s="2"/>
    </row>
    <row r="2082" spans="11:24" ht="15" hidden="1" customHeight="1">
      <c r="K2082" s="5">
        <v>46162</v>
      </c>
      <c r="L2082" s="8" t="s">
        <v>324</v>
      </c>
      <c r="M2082" s="9" t="s">
        <v>63</v>
      </c>
      <c r="N2082" s="20" t="str">
        <f t="shared" si="107"/>
        <v>Fila de Carregamento</v>
      </c>
      <c r="O208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2" s="4">
        <v>0.23958333333333334</v>
      </c>
      <c r="Q2082" s="4">
        <v>0.55208333333333337</v>
      </c>
      <c r="R2082" s="23"/>
      <c r="S2082" s="16"/>
      <c r="T2082" s="1"/>
      <c r="U2082" s="1"/>
      <c r="V2082" s="1" t="s">
        <v>299</v>
      </c>
      <c r="W2082" s="2"/>
      <c r="X2082" s="2"/>
    </row>
    <row r="2083" spans="11:24" ht="15" hidden="1" customHeight="1">
      <c r="K2083" s="5">
        <v>46162</v>
      </c>
      <c r="L2083" t="s">
        <v>90</v>
      </c>
      <c r="M2083" s="9" t="str">
        <f>IF(Tabela1[[#This Row],[Motorista]]="","",IFERROR(_xlfn.XLOOKUP(Tabela1[[#This Row],[Motorista]],Base!A:A,Base!B:B),""))</f>
        <v>FOB</v>
      </c>
      <c r="N2083" s="20" t="str">
        <f t="shared" si="107"/>
        <v>Finalizado</v>
      </c>
      <c r="O208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3" s="4">
        <v>0.24930555555555556</v>
      </c>
      <c r="Q2083" s="4">
        <v>0.30486111111111114</v>
      </c>
      <c r="R2083" s="23">
        <v>0.37916666666666665</v>
      </c>
      <c r="S2083" s="94" t="s">
        <v>254</v>
      </c>
      <c r="T2083" s="1"/>
      <c r="U2083" s="1"/>
      <c r="V2083" s="1"/>
      <c r="W2083" s="2"/>
      <c r="X2083" s="2"/>
    </row>
    <row r="2084" spans="11:24" ht="15" hidden="1" customHeight="1">
      <c r="K2084" s="5">
        <v>46162</v>
      </c>
      <c r="L2084" t="s">
        <v>117</v>
      </c>
      <c r="M2084" s="9" t="str">
        <f>IF(Tabela1[[#This Row],[Motorista]]="","",IFERROR(_xlfn.XLOOKUP(Tabela1[[#This Row],[Motorista]],Base!A:A,Base!B:B),""))</f>
        <v>FOB</v>
      </c>
      <c r="N2084" s="20" t="str">
        <f t="shared" si="107"/>
        <v>Finalizado</v>
      </c>
      <c r="O208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4" s="4">
        <v>0.24930555555555556</v>
      </c>
      <c r="Q2084" s="4">
        <v>0.34305555555555556</v>
      </c>
      <c r="R2084" s="23">
        <v>0.4201388888888889</v>
      </c>
      <c r="S2084" s="94" t="s">
        <v>254</v>
      </c>
      <c r="T2084" s="1"/>
      <c r="U2084" s="1"/>
      <c r="V2084" s="1"/>
      <c r="W2084" s="2"/>
      <c r="X2084" s="2"/>
    </row>
    <row r="2085" spans="11:24" ht="15" hidden="1" customHeight="1">
      <c r="K2085" s="5">
        <v>46162</v>
      </c>
      <c r="L2085" s="8" t="s">
        <v>49</v>
      </c>
      <c r="M2085" s="9" t="str">
        <f>IF(Tabela1[[#This Row],[Motorista]]="","",IFERROR(_xlfn.XLOOKUP(Tabela1[[#This Row],[Motorista]],Base!A:A,Base!B:B),""))</f>
        <v>CIF</v>
      </c>
      <c r="N2085" s="20" t="str">
        <f t="shared" si="107"/>
        <v>Finalizado</v>
      </c>
      <c r="O208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85" s="4">
        <v>0.25208333333333333</v>
      </c>
      <c r="Q2085" s="4">
        <v>0.27708333333333335</v>
      </c>
      <c r="R2085" s="23">
        <v>0.31180555555555556</v>
      </c>
      <c r="S2085" s="94" t="s">
        <v>254</v>
      </c>
      <c r="T2085" s="1"/>
      <c r="U2085" s="1"/>
      <c r="V2085" s="1"/>
      <c r="W2085" s="2"/>
      <c r="X2085" s="2"/>
    </row>
    <row r="2086" spans="11:24" ht="15" hidden="1" customHeight="1">
      <c r="K2086" s="5">
        <v>46162</v>
      </c>
      <c r="L2086" t="s">
        <v>46</v>
      </c>
      <c r="M2086" s="9" t="str">
        <f>IF(Tabela1[[#This Row],[Motorista]]="","",IFERROR(_xlfn.XLOOKUP(Tabela1[[#This Row],[Motorista]],Base!A:A,Base!B:B),""))</f>
        <v>CIF</v>
      </c>
      <c r="N2086" s="20" t="str">
        <f t="shared" si="107"/>
        <v>Finalizado</v>
      </c>
      <c r="O208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86" s="4">
        <v>0.25972222222222224</v>
      </c>
      <c r="Q2086" s="4">
        <v>0.28958333333333336</v>
      </c>
      <c r="R2086" s="23">
        <v>0.34583333333333333</v>
      </c>
      <c r="S2086" s="94" t="s">
        <v>254</v>
      </c>
      <c r="T2086" s="1"/>
      <c r="U2086" s="1"/>
      <c r="V2086" s="1"/>
      <c r="W2086" s="2"/>
      <c r="X2086" s="2"/>
    </row>
    <row r="2087" spans="11:24" ht="15" hidden="1" customHeight="1">
      <c r="K2087" s="5">
        <v>46162</v>
      </c>
      <c r="L2087" t="s">
        <v>52</v>
      </c>
      <c r="M2087" s="9" t="str">
        <f>IF(Tabela1[[#This Row],[Motorista]]="","",IFERROR(_xlfn.XLOOKUP(Tabela1[[#This Row],[Motorista]],Base!A:A,Base!B:B),""))</f>
        <v>CIF</v>
      </c>
      <c r="N2087" s="20" t="str">
        <f t="shared" si="107"/>
        <v>Finalizado</v>
      </c>
      <c r="O208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87" s="4">
        <v>0.25972222222222224</v>
      </c>
      <c r="Q2087" s="4">
        <v>0.28611111111111109</v>
      </c>
      <c r="R2087" s="23">
        <v>0.37430555555555556</v>
      </c>
      <c r="S2087" s="94" t="s">
        <v>254</v>
      </c>
      <c r="T2087" s="1"/>
      <c r="U2087" s="1"/>
      <c r="V2087" s="1"/>
      <c r="W2087" s="2"/>
      <c r="X2087" s="2"/>
    </row>
    <row r="2088" spans="11:24" ht="15" hidden="1" customHeight="1">
      <c r="K2088" s="5">
        <v>46162</v>
      </c>
      <c r="L2088" t="s">
        <v>57</v>
      </c>
      <c r="M2088" s="9" t="str">
        <f>IF(Tabela1[[#This Row],[Motorista]]="","",IFERROR(_xlfn.XLOOKUP(Tabela1[[#This Row],[Motorista]],Base!A:A,Base!B:B),""))</f>
        <v>CIF</v>
      </c>
      <c r="N2088" s="20" t="str">
        <f t="shared" si="107"/>
        <v>Aguardando Entrada</v>
      </c>
      <c r="O208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8" s="4">
        <v>0.25972222222222224</v>
      </c>
      <c r="Q2088" s="4"/>
      <c r="R2088" s="23"/>
      <c r="S2088" s="16"/>
      <c r="T2088" s="1"/>
      <c r="U2088" s="1"/>
      <c r="V2088" s="1" t="s">
        <v>603</v>
      </c>
      <c r="W2088" s="2"/>
      <c r="X2088" s="2"/>
    </row>
    <row r="2089" spans="11:24" ht="15" hidden="1" customHeight="1">
      <c r="K2089" s="5">
        <v>46162</v>
      </c>
      <c r="L2089" s="8" t="s">
        <v>521</v>
      </c>
      <c r="M2089" s="9" t="s">
        <v>63</v>
      </c>
      <c r="N2089" s="20" t="str">
        <f t="shared" si="107"/>
        <v>Aguardando Entrada</v>
      </c>
      <c r="O208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89" s="4">
        <v>0.26597222222222222</v>
      </c>
      <c r="Q2089" s="4"/>
      <c r="R2089" s="23"/>
      <c r="S2089" s="16"/>
      <c r="T2089" s="1"/>
      <c r="U2089" s="1"/>
      <c r="V2089" s="1" t="s">
        <v>299</v>
      </c>
      <c r="W2089" s="2"/>
      <c r="X2089" s="2"/>
    </row>
    <row r="2090" spans="11:24" ht="15" hidden="1" customHeight="1">
      <c r="K2090" s="5">
        <v>46162</v>
      </c>
      <c r="L2090" s="8" t="s">
        <v>604</v>
      </c>
      <c r="M2090" s="9" t="s">
        <v>63</v>
      </c>
      <c r="N2090" s="20" t="str">
        <f t="shared" si="107"/>
        <v>Finalizado</v>
      </c>
      <c r="O209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0" s="4">
        <v>0.27013888888888887</v>
      </c>
      <c r="Q2090" s="4">
        <v>0.2902777777777778</v>
      </c>
      <c r="R2090" s="23">
        <v>0.37777777777777777</v>
      </c>
      <c r="S2090" s="94" t="s">
        <v>254</v>
      </c>
      <c r="T2090" s="1"/>
      <c r="U2090" s="1"/>
      <c r="V2090" s="1"/>
      <c r="W2090" s="2"/>
      <c r="X2090" s="2"/>
    </row>
    <row r="2091" spans="11:24" ht="15" hidden="1" customHeight="1">
      <c r="K2091" s="5">
        <v>46162</v>
      </c>
      <c r="L2091" t="s">
        <v>98</v>
      </c>
      <c r="M2091" s="9" t="str">
        <f>IF(Tabela1[[#This Row],[Motorista]]="","",IFERROR(_xlfn.XLOOKUP(Tabela1[[#This Row],[Motorista]],Base!A:A,Base!B:B),""))</f>
        <v>FOB</v>
      </c>
      <c r="N2091" s="20" t="str">
        <f t="shared" si="107"/>
        <v>Finalizado</v>
      </c>
      <c r="O209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91" s="4">
        <v>0.33194444444444443</v>
      </c>
      <c r="Q2091" s="4">
        <v>0.35</v>
      </c>
      <c r="R2091" s="23">
        <v>0.44027777777777777</v>
      </c>
      <c r="S2091" s="94" t="s">
        <v>254</v>
      </c>
      <c r="T2091" s="1"/>
      <c r="U2091" s="1"/>
      <c r="V2091" s="1"/>
      <c r="W2091" s="2"/>
      <c r="X2091" s="2"/>
    </row>
    <row r="2092" spans="11:24" ht="15" hidden="1" customHeight="1">
      <c r="K2092" s="5">
        <v>46162</v>
      </c>
      <c r="L2092" s="8" t="s">
        <v>49</v>
      </c>
      <c r="M2092" s="9" t="str">
        <f>IF(Tabela1[[#This Row],[Motorista]]="","",IFERROR(_xlfn.XLOOKUP(Tabela1[[#This Row],[Motorista]],Base!A:A,Base!B:B),""))</f>
        <v>CIF</v>
      </c>
      <c r="N2092" s="20" t="str">
        <f t="shared" si="107"/>
        <v>Finalizado</v>
      </c>
      <c r="O209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2" s="4">
        <v>0.39861111111111114</v>
      </c>
      <c r="Q2092" s="4">
        <v>0.43958333333333333</v>
      </c>
      <c r="R2092" s="23">
        <v>0.48749999999999999</v>
      </c>
      <c r="S2092" s="94" t="s">
        <v>254</v>
      </c>
      <c r="T2092" s="1"/>
      <c r="U2092" s="1"/>
      <c r="V2092" s="1"/>
      <c r="W2092" s="2"/>
      <c r="X2092" s="2"/>
    </row>
    <row r="2093" spans="11:24" ht="15" hidden="1" customHeight="1">
      <c r="K2093" s="5">
        <v>46162</v>
      </c>
      <c r="L2093" t="s">
        <v>153</v>
      </c>
      <c r="M2093" s="9" t="str">
        <f>IF(Tabela1[[#This Row],[Motorista]]="","",IFERROR(_xlfn.XLOOKUP(Tabela1[[#This Row],[Motorista]],Base!A:A,Base!B:B),""))</f>
        <v>FOB</v>
      </c>
      <c r="N2093" s="20" t="str">
        <f t="shared" si="107"/>
        <v>Finalizado</v>
      </c>
      <c r="O209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93" s="4">
        <v>0.43125000000000002</v>
      </c>
      <c r="Q2093" s="4">
        <v>0.44930555555555557</v>
      </c>
      <c r="R2093" s="23">
        <v>0.50486111111111109</v>
      </c>
      <c r="S2093" s="94" t="s">
        <v>254</v>
      </c>
      <c r="T2093" s="1"/>
      <c r="U2093" s="1"/>
      <c r="V2093" s="1"/>
      <c r="W2093" s="2"/>
      <c r="X2093" s="2"/>
    </row>
    <row r="2094" spans="11:24" ht="15" hidden="1" customHeight="1">
      <c r="K2094" s="5">
        <v>46162</v>
      </c>
      <c r="L2094" s="8" t="s">
        <v>46</v>
      </c>
      <c r="M2094" s="9" t="str">
        <f>IF(Tabela1[[#This Row],[Motorista]]="","",IFERROR(_xlfn.XLOOKUP(Tabela1[[#This Row],[Motorista]],Base!A:A,Base!B:B),""))</f>
        <v>CIF</v>
      </c>
      <c r="N2094" s="20" t="str">
        <f t="shared" si="107"/>
        <v>Finalizado</v>
      </c>
      <c r="O209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4" s="4">
        <v>0.45069444444444445</v>
      </c>
      <c r="Q2094" s="4">
        <v>0.47916666666666669</v>
      </c>
      <c r="R2094" s="23">
        <v>0.52847222222222223</v>
      </c>
      <c r="S2094" s="94" t="s">
        <v>254</v>
      </c>
      <c r="T2094" s="1"/>
      <c r="U2094" s="1"/>
      <c r="V2094" s="1"/>
      <c r="W2094" s="2"/>
      <c r="X2094" s="2"/>
    </row>
    <row r="2095" spans="11:24" ht="15" hidden="1" customHeight="1">
      <c r="K2095" s="5">
        <v>46162</v>
      </c>
      <c r="L2095" t="s">
        <v>375</v>
      </c>
      <c r="M2095" s="9" t="s">
        <v>63</v>
      </c>
      <c r="N2095" s="20" t="str">
        <f t="shared" si="107"/>
        <v>Finalizado</v>
      </c>
      <c r="O209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95" s="4">
        <v>0.4513888888888889</v>
      </c>
      <c r="Q2095" s="4">
        <v>0.4513888888888889</v>
      </c>
      <c r="R2095" s="23">
        <v>0.51458333333333328</v>
      </c>
      <c r="S2095" s="94" t="s">
        <v>254</v>
      </c>
      <c r="T2095" s="1"/>
      <c r="U2095" s="1"/>
      <c r="V2095" s="1"/>
      <c r="W2095" s="2"/>
      <c r="X2095" s="2"/>
    </row>
    <row r="2096" spans="11:24" ht="15" hidden="1" customHeight="1">
      <c r="K2096" s="5">
        <v>46162</v>
      </c>
      <c r="L2096" s="8" t="s">
        <v>604</v>
      </c>
      <c r="M2096" s="9" t="str">
        <f>IF(Tabela1[[#This Row],[Motorista]]="","",IFERROR(_xlfn.XLOOKUP(Tabela1[[#This Row],[Motorista]],Base!A:A,Base!B:B),""))</f>
        <v/>
      </c>
      <c r="N2096" s="20" t="str">
        <f t="shared" si="107"/>
        <v>Finalizado</v>
      </c>
      <c r="O209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6" s="4">
        <v>0.46527777777777779</v>
      </c>
      <c r="Q2096" s="4">
        <v>0.48333333333333334</v>
      </c>
      <c r="R2096" s="23">
        <v>0.52986111111111112</v>
      </c>
      <c r="S2096" s="94" t="s">
        <v>254</v>
      </c>
      <c r="T2096" s="1"/>
      <c r="U2096" s="1"/>
      <c r="V2096" s="1"/>
      <c r="W2096" s="2"/>
      <c r="X2096" s="2"/>
    </row>
    <row r="2097" spans="11:24" ht="15" hidden="1" customHeight="1">
      <c r="K2097" s="5">
        <v>46162</v>
      </c>
      <c r="L2097" s="8" t="s">
        <v>52</v>
      </c>
      <c r="M2097" s="9" t="str">
        <f>IF(Tabela1[[#This Row],[Motorista]]="","",IFERROR(_xlfn.XLOOKUP(Tabela1[[#This Row],[Motorista]],Base!A:A,Base!B:B),""))</f>
        <v>CIF</v>
      </c>
      <c r="N2097" s="20" t="str">
        <f t="shared" si="107"/>
        <v>Finalizado</v>
      </c>
      <c r="O209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7" s="4">
        <v>0.50347222222222221</v>
      </c>
      <c r="Q2097" s="4">
        <v>0.56458333333333333</v>
      </c>
      <c r="R2097" s="23">
        <v>0.63263888888888886</v>
      </c>
      <c r="S2097" s="94" t="s">
        <v>254</v>
      </c>
      <c r="T2097" s="1"/>
      <c r="U2097" s="1"/>
      <c r="V2097" s="1"/>
      <c r="W2097" s="2"/>
      <c r="X2097" s="2"/>
    </row>
    <row r="2098" spans="11:24" ht="15" hidden="1" customHeight="1">
      <c r="K2098" s="5">
        <v>46162</v>
      </c>
      <c r="L2098" s="8" t="s">
        <v>116</v>
      </c>
      <c r="M2098" s="9" t="str">
        <f>IF(Tabela1[[#This Row],[Motorista]]="","",IFERROR(_xlfn.XLOOKUP(Tabela1[[#This Row],[Motorista]],Base!A:A,Base!B:B),""))</f>
        <v xml:space="preserve">CIF </v>
      </c>
      <c r="N2098" s="20" t="str">
        <f t="shared" si="107"/>
        <v>Finalizado</v>
      </c>
      <c r="O209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098" s="4">
        <v>0.51527777777777772</v>
      </c>
      <c r="Q2098" s="4">
        <v>0.58958333333333335</v>
      </c>
      <c r="R2098" s="23">
        <v>0.61805555555555558</v>
      </c>
      <c r="S2098" s="94" t="s">
        <v>254</v>
      </c>
      <c r="T2098" s="1"/>
      <c r="U2098" s="1"/>
      <c r="V2098" s="1"/>
      <c r="W2098" s="2"/>
      <c r="X2098" s="2"/>
    </row>
    <row r="2099" spans="11:24" ht="13.5" hidden="1" customHeight="1">
      <c r="K2099" s="5">
        <v>46162</v>
      </c>
      <c r="L2099" s="8" t="s">
        <v>605</v>
      </c>
      <c r="M2099" s="9" t="str">
        <f>IF(Tabela1[[#This Row],[Motorista]]="","",IFERROR(_xlfn.XLOOKUP(Tabela1[[#This Row],[Motorista]],Base!A:A,Base!B:B),""))</f>
        <v/>
      </c>
      <c r="N2099" s="20" t="str">
        <f t="shared" si="107"/>
        <v>Finalizado</v>
      </c>
      <c r="O209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099" s="4">
        <v>0.58819444444444446</v>
      </c>
      <c r="Q2099" s="4">
        <v>0.62083333333333335</v>
      </c>
      <c r="R2099" s="23">
        <v>0.63888888888888884</v>
      </c>
      <c r="S2099" s="94" t="s">
        <v>254</v>
      </c>
      <c r="T2099" s="1"/>
      <c r="U2099" s="1"/>
      <c r="V2099" s="1"/>
      <c r="W2099" s="2"/>
      <c r="X2099" s="2"/>
    </row>
    <row r="2100" spans="11:24" ht="15" hidden="1" customHeight="1">
      <c r="K2100" s="5">
        <v>46162</v>
      </c>
      <c r="L2100" s="8" t="s">
        <v>606</v>
      </c>
      <c r="M2100" s="9" t="str">
        <f>IF(Tabela1[[#This Row],[Motorista]]="","",IFERROR(_xlfn.XLOOKUP(Tabela1[[#This Row],[Motorista]],Base!A:A,Base!B:B),""))</f>
        <v/>
      </c>
      <c r="N2100" s="20" t="str">
        <f>IF(R2100&lt;&gt;"","Finalizado", IF(Q2100&lt;&gt;"","Fila de Carregamento", IF(P2100&lt;&gt;"","Aguardando Entrada","")))</f>
        <v>Finalizado</v>
      </c>
      <c r="O210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0" s="4">
        <v>0.6166666666666667</v>
      </c>
      <c r="Q2100" s="4">
        <v>0.625</v>
      </c>
      <c r="R2100" s="23">
        <v>0.7</v>
      </c>
      <c r="S2100" s="94" t="s">
        <v>254</v>
      </c>
      <c r="T2100" s="14">
        <f>IF(OR(Tabela1[[#This Row],[Entrada]]="",Tabela1[[#This Row],[Saída]]=""), "", Tabela1[[#This Row],[Saída]]-Tabela1[[#This Row],[Entrada]])</f>
        <v>7.4999999999999956E-2</v>
      </c>
      <c r="U2100" s="15">
        <f>IF(OR('Controle de CT'!$R2100= "", 'Controle de CT'!$P2100= ""), "", 'Controle de CT'!$R2100-'Controle de CT'!$P2100)</f>
        <v>8.3333333333333259E-2</v>
      </c>
      <c r="V2100" s="1" t="s">
        <v>220</v>
      </c>
      <c r="W2100" s="2"/>
      <c r="X2100" s="2"/>
    </row>
    <row r="2101" spans="11:24" ht="15" hidden="1" customHeight="1">
      <c r="K2101" s="5">
        <v>46163</v>
      </c>
      <c r="L2101" s="8" t="s">
        <v>116</v>
      </c>
      <c r="M2101" s="9" t="str">
        <f>IF(Tabela1[[#This Row],[Motorista]]="","",IFERROR(_xlfn.XLOOKUP(Tabela1[[#This Row],[Motorista]],Base!A:A,Base!B:B),""))</f>
        <v xml:space="preserve">CIF </v>
      </c>
      <c r="N2101" s="20" t="str">
        <f>IF(R2101&lt;&gt;"","Finalizado", IF(Q2101&lt;&gt;"","Fila de Carregamento", IF(P2101&lt;&gt;"","Aguardando Entrada","")))</f>
        <v>Finalizado</v>
      </c>
      <c r="O210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01" s="4">
        <v>0.21111111111111111</v>
      </c>
      <c r="Q2101" s="4">
        <v>0.33819444444444446</v>
      </c>
      <c r="R2101" s="23">
        <v>0.375</v>
      </c>
      <c r="S2101" s="94" t="s">
        <v>254</v>
      </c>
      <c r="T2101" s="14">
        <f>IF(OR(Tabela1[[#This Row],[Entrada]]="",Tabela1[[#This Row],[Saída]]=""), "", Tabela1[[#This Row],[Saída]]-Tabela1[[#This Row],[Entrada]])</f>
        <v>3.6805555555555536E-2</v>
      </c>
      <c r="U2101" s="15">
        <f>IF(OR('Controle de CT'!$R2101= "", 'Controle de CT'!$P2101= ""), "", 'Controle de CT'!$R2101-'Controle de CT'!$P2101)</f>
        <v>0.16388888888888889</v>
      </c>
      <c r="V2101" s="1" t="s">
        <v>607</v>
      </c>
      <c r="W2101" s="2"/>
      <c r="X2101" s="2"/>
    </row>
    <row r="2102" spans="11:24" ht="15" hidden="1" customHeight="1">
      <c r="K2102" s="5">
        <v>46163</v>
      </c>
      <c r="L2102" s="8" t="s">
        <v>483</v>
      </c>
      <c r="M2102" s="22" t="s">
        <v>62</v>
      </c>
      <c r="N2102" s="20" t="str">
        <f>IF(R2102&lt;&gt;"","Finalizado", IF(Q2102&lt;&gt;"","Fila de Carregamento", IF(P2102&lt;&gt;"","Aguardando Entrada","")))</f>
        <v>Finalizado</v>
      </c>
      <c r="O210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02" s="2">
        <v>0.23125000000000001</v>
      </c>
      <c r="Q2102" s="2">
        <v>0.27500000000000002</v>
      </c>
      <c r="R2102" s="16">
        <v>0.30763888888888891</v>
      </c>
      <c r="S2102" s="94" t="s">
        <v>254</v>
      </c>
      <c r="T2102" s="14">
        <f>IF(OR(Tabela1[[#This Row],[Entrada]]="",Tabela1[[#This Row],[Saída]]=""), "", Tabela1[[#This Row],[Saída]]-Tabela1[[#This Row],[Entrada]])</f>
        <v>3.2638888888888884E-2</v>
      </c>
      <c r="U2102" s="15">
        <f>IF(OR('Controle de CT'!$R2102= "", 'Controle de CT'!$P2102= ""), "", 'Controle de CT'!$R2102-'Controle de CT'!$P2102)</f>
        <v>7.6388888888888895E-2</v>
      </c>
      <c r="V2102" s="1" t="s">
        <v>299</v>
      </c>
      <c r="W2102" s="2"/>
      <c r="X2102" s="2"/>
    </row>
    <row r="2103" spans="11:24" ht="15" hidden="1" customHeight="1">
      <c r="K2103" s="5">
        <v>46163</v>
      </c>
      <c r="L2103" s="8" t="s">
        <v>291</v>
      </c>
      <c r="M2103" s="9" t="str">
        <f>IF(Tabela1[[#This Row],[Motorista]]="","",IFERROR(_xlfn.XLOOKUP(Tabela1[[#This Row],[Motorista]],Base!A:A,Base!B:B),""))</f>
        <v>FOB</v>
      </c>
      <c r="N2103" s="20" t="str">
        <f>IF(R2103&lt;&gt;"","Finalizado", IF(Q2103&lt;&gt;"","Fila de Carregamento", IF(P2103&lt;&gt;"","Aguardando Entrada","")))</f>
        <v>Finalizado</v>
      </c>
      <c r="O210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3" s="4">
        <v>0.23333333333333334</v>
      </c>
      <c r="Q2103" s="4">
        <v>0.3</v>
      </c>
      <c r="R2103" s="23">
        <v>0.35555555555555557</v>
      </c>
      <c r="S2103" s="94" t="s">
        <v>254</v>
      </c>
      <c r="T2103" s="15">
        <f>IF(OR('Controle de CT'!$R2103= "", 'Controle de CT'!$P2103= ""), "", 'Controle de CT'!$R2103-'Controle de CT'!$P2103)</f>
        <v>0.12222222222222223</v>
      </c>
      <c r="U2103" s="1"/>
      <c r="V2103" s="1" t="s">
        <v>608</v>
      </c>
      <c r="W2103" s="2"/>
      <c r="X2103" s="2"/>
    </row>
    <row r="2104" spans="11:24" ht="15" hidden="1" customHeight="1">
      <c r="K2104" s="5">
        <v>46163</v>
      </c>
      <c r="L2104" s="8" t="s">
        <v>609</v>
      </c>
      <c r="M2104" s="9" t="s">
        <v>63</v>
      </c>
      <c r="N2104" s="20" t="str">
        <f>IF(R2104&lt;&gt;"","Finalizado", IF(Q2104&lt;&gt;"","Fila de Carregamento", IF(P2104&lt;&gt;"","Aguardando Entrada","")))</f>
        <v>Finalizado</v>
      </c>
      <c r="O210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4" s="4">
        <v>0.24236111111111111</v>
      </c>
      <c r="Q2104" s="4">
        <v>0.4861111111111111</v>
      </c>
      <c r="R2104" s="23">
        <v>0.5229166666666667</v>
      </c>
      <c r="S2104" s="94" t="s">
        <v>254</v>
      </c>
      <c r="T2104" s="15">
        <f>IF(OR('Controle de CT'!$R2104= "", 'Controle de CT'!$P2104= ""), "", 'Controle de CT'!$R2104-'Controle de CT'!$P2104)</f>
        <v>0.28055555555555556</v>
      </c>
      <c r="U2104" s="1"/>
      <c r="V2104" s="1" t="s">
        <v>299</v>
      </c>
      <c r="W2104" s="2"/>
      <c r="X2104" s="2"/>
    </row>
    <row r="2105" spans="11:24" ht="15" hidden="1" customHeight="1">
      <c r="K2105" s="5">
        <v>46163</v>
      </c>
      <c r="L2105" s="8" t="s">
        <v>115</v>
      </c>
      <c r="M2105" s="9" t="s">
        <v>62</v>
      </c>
      <c r="N2105" s="20" t="str">
        <f>IF(R2105&lt;&gt;"","Finalizado", IF(Q2105&lt;&gt;"","Fila de Carregamento", IF(P2105&lt;&gt;"","Aguardando Entrada","")))</f>
        <v>Finalizado</v>
      </c>
      <c r="O210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5" s="4">
        <v>0.24374999999999999</v>
      </c>
      <c r="Q2105" s="4">
        <v>0.40902777777777777</v>
      </c>
      <c r="R2105" s="23">
        <v>0.41111111111111109</v>
      </c>
      <c r="S2105" s="94" t="s">
        <v>254</v>
      </c>
      <c r="T2105" s="15">
        <f>IF(OR('Controle de CT'!$R2105= "", 'Controle de CT'!$P2105= ""), "", 'Controle de CT'!$R2105-'Controle de CT'!$P2105)</f>
        <v>0.1673611111111111</v>
      </c>
      <c r="U2105" s="1"/>
      <c r="V2105" s="1" t="s">
        <v>226</v>
      </c>
      <c r="W2105" s="2"/>
      <c r="X2105" s="2"/>
    </row>
    <row r="2106" spans="11:24" ht="15" hidden="1" customHeight="1">
      <c r="K2106" s="5">
        <v>46163</v>
      </c>
      <c r="L2106" s="8" t="s">
        <v>548</v>
      </c>
      <c r="M2106" s="9" t="s">
        <v>63</v>
      </c>
      <c r="N2106" s="20" t="str">
        <f>IF(R2106&lt;&gt;"","Finalizado", IF(Q2106&lt;&gt;"","Fila de Carregamento", IF(P2106&lt;&gt;"","Aguardando Entrada","")))</f>
        <v>Finalizado</v>
      </c>
      <c r="O210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6" s="4">
        <v>0.24444444444444444</v>
      </c>
      <c r="Q2106" s="4">
        <v>0.49027777777777776</v>
      </c>
      <c r="R2106" s="23">
        <v>0.52847222222222223</v>
      </c>
      <c r="S2106" s="94" t="s">
        <v>254</v>
      </c>
      <c r="T2106" s="15">
        <f>IF(OR('Controle de CT'!$R2106= "", 'Controle de CT'!$P2106= ""), "", 'Controle de CT'!$R2106-'Controle de CT'!$P2106)</f>
        <v>0.28402777777777777</v>
      </c>
      <c r="U2106" s="1"/>
      <c r="V2106" s="1" t="s">
        <v>299</v>
      </c>
      <c r="W2106" s="2"/>
      <c r="X2106" s="2"/>
    </row>
    <row r="2107" spans="11:24" ht="15" hidden="1" customHeight="1">
      <c r="K2107" s="5">
        <v>46163</v>
      </c>
      <c r="L2107" t="s">
        <v>135</v>
      </c>
      <c r="M2107" s="9" t="str">
        <f>IF(Tabela1[[#This Row],[Motorista]]="","",IFERROR(_xlfn.XLOOKUP(Tabela1[[#This Row],[Motorista]],Base!A:A,Base!B:B),""))</f>
        <v>Transferência</v>
      </c>
      <c r="N2107" s="20" t="str">
        <f>IF(R2107&lt;&gt;"","Finalizado", IF(Q2107&lt;&gt;"","Fila de Carregamento", IF(P2107&lt;&gt;"","Aguardando Entrada","")))</f>
        <v>Finalizado</v>
      </c>
      <c r="O210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07" s="4">
        <v>0.24861111111111112</v>
      </c>
      <c r="Q2107" s="4">
        <v>0.28194444444444444</v>
      </c>
      <c r="R2107" s="23">
        <v>0.37430555555555556</v>
      </c>
      <c r="S2107" s="94" t="s">
        <v>254</v>
      </c>
      <c r="T2107" s="15">
        <f>IF(OR('Controle de CT'!$R2107= "", 'Controle de CT'!$P2107= ""), "", 'Controle de CT'!$R2107-'Controle de CT'!$P2107)</f>
        <v>0.12569444444444444</v>
      </c>
      <c r="U2107" s="1"/>
      <c r="V2107" s="1"/>
      <c r="W2107" s="2"/>
      <c r="X2107" s="2"/>
    </row>
    <row r="2108" spans="11:24" ht="15" hidden="1" customHeight="1">
      <c r="K2108" s="5">
        <v>46163</v>
      </c>
      <c r="L2108" s="8" t="s">
        <v>49</v>
      </c>
      <c r="M2108" s="9" t="str">
        <f>IF(Tabela1[[#This Row],[Motorista]]="","",IFERROR(_xlfn.XLOOKUP(Tabela1[[#This Row],[Motorista]],Base!A:A,Base!B:B),""))</f>
        <v>CIF</v>
      </c>
      <c r="N2108" s="20" t="str">
        <f>IF(R2108&lt;&gt;"","Finalizado", IF(Q2108&lt;&gt;"","Fila de Carregamento", IF(P2108&lt;&gt;"","Aguardando Entrada","")))</f>
        <v>Finalizado</v>
      </c>
      <c r="O210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08" s="4">
        <v>0.25416666666666665</v>
      </c>
      <c r="Q2108" s="4">
        <v>0.28125</v>
      </c>
      <c r="R2108" s="23">
        <v>0.3263888888888889</v>
      </c>
      <c r="S2108" s="94" t="s">
        <v>254</v>
      </c>
      <c r="T2108" s="15">
        <f>IF(OR('Controle de CT'!$R2108= "", 'Controle de CT'!$P2108= ""), "", 'Controle de CT'!$R2108-'Controle de CT'!$P2108)</f>
        <v>7.2222222222222243E-2</v>
      </c>
      <c r="U2108" s="1"/>
      <c r="V2108" s="1"/>
      <c r="W2108" s="2"/>
      <c r="X2108" s="2"/>
    </row>
    <row r="2109" spans="11:24" ht="15" hidden="1" customHeight="1">
      <c r="K2109" s="5">
        <v>46163</v>
      </c>
      <c r="L2109" t="s">
        <v>89</v>
      </c>
      <c r="M2109" s="9" t="str">
        <f>IF(Tabela1[[#This Row],[Motorista]]="","",IFERROR(_xlfn.XLOOKUP(Tabela1[[#This Row],[Motorista]],Base!A:A,Base!B:B),""))</f>
        <v>FOB</v>
      </c>
      <c r="N2109" s="20" t="str">
        <f>IF(R2109&lt;&gt;"","Finalizado", IF(Q2109&lt;&gt;"","Fila de Carregamento", IF(P2109&lt;&gt;"","Aguardando Entrada","")))</f>
        <v>Finalizado</v>
      </c>
      <c r="O210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09" s="4">
        <v>0.25555555555555554</v>
      </c>
      <c r="Q2109" s="4">
        <v>0.31319444444444444</v>
      </c>
      <c r="R2109" s="23">
        <v>0.37916666666666665</v>
      </c>
      <c r="S2109" s="94" t="s">
        <v>254</v>
      </c>
      <c r="T2109" s="15">
        <f>IF(OR('Controle de CT'!$R2109= "", 'Controle de CT'!$P2109= ""), "", 'Controle de CT'!$R2109-'Controle de CT'!$P2109)</f>
        <v>0.12361111111111112</v>
      </c>
      <c r="U2109" s="1"/>
      <c r="V2109" s="1"/>
      <c r="W2109" s="2"/>
      <c r="X2109" s="2"/>
    </row>
    <row r="2110" spans="11:24" ht="15" hidden="1" customHeight="1">
      <c r="K2110" s="5">
        <v>46163</v>
      </c>
      <c r="L2110" t="s">
        <v>46</v>
      </c>
      <c r="M2110" s="9" t="str">
        <f>IF(Tabela1[[#This Row],[Motorista]]="","",IFERROR(_xlfn.XLOOKUP(Tabela1[[#This Row],[Motorista]],Base!A:A,Base!B:B),""))</f>
        <v>CIF</v>
      </c>
      <c r="N2110" s="20" t="str">
        <f>IF(R2110&lt;&gt;"","Finalizado", IF(Q2110&lt;&gt;"","Fila de Carregamento", IF(P2110&lt;&gt;"","Aguardando Entrada","")))</f>
        <v>Finalizado</v>
      </c>
      <c r="O211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10" s="4">
        <v>0.2638888888888889</v>
      </c>
      <c r="Q2110" s="4">
        <v>0.28541666666666665</v>
      </c>
      <c r="R2110" s="23">
        <v>0.32847222222222222</v>
      </c>
      <c r="S2110" s="94" t="s">
        <v>254</v>
      </c>
      <c r="T2110" s="15">
        <f>IF(OR('Controle de CT'!$R2110= "", 'Controle de CT'!$P2110= ""), "", 'Controle de CT'!$R2110-'Controle de CT'!$P2110)</f>
        <v>6.4583333333333326E-2</v>
      </c>
      <c r="U2110" s="1"/>
      <c r="V2110" s="1"/>
      <c r="W2110" s="2"/>
      <c r="X2110" s="2"/>
    </row>
    <row r="2111" spans="11:24" ht="15" hidden="1" customHeight="1">
      <c r="K2111" s="5">
        <v>46163</v>
      </c>
      <c r="L2111" s="8" t="s">
        <v>610</v>
      </c>
      <c r="M2111" s="9" t="s">
        <v>63</v>
      </c>
      <c r="N2111" s="20" t="str">
        <f>IF(R2111&lt;&gt;"","Finalizado", IF(Q2111&lt;&gt;"","Fila de Carregamento", IF(P2111&lt;&gt;"","Aguardando Entrada","")))</f>
        <v>Aguardando Entrada</v>
      </c>
      <c r="O211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1" s="4">
        <v>0.2673611111111111</v>
      </c>
      <c r="Q2111" s="4"/>
      <c r="R2111" s="23"/>
      <c r="S2111" s="16"/>
      <c r="T2111" s="15" t="str">
        <f>IF(OR('Controle de CT'!$R2111= "", 'Controle de CT'!$P2111= ""), "", 'Controle de CT'!$R2111-'Controle de CT'!$P2111)</f>
        <v/>
      </c>
      <c r="U2111" s="1"/>
      <c r="V2111" s="1" t="s">
        <v>299</v>
      </c>
      <c r="W2111" s="2"/>
      <c r="X2111" s="2"/>
    </row>
    <row r="2112" spans="11:24" ht="15" hidden="1" customHeight="1">
      <c r="K2112" s="5">
        <v>46163</v>
      </c>
      <c r="L2112" s="8" t="s">
        <v>611</v>
      </c>
      <c r="M2112" s="9" t="s">
        <v>63</v>
      </c>
      <c r="N2112" s="20" t="str">
        <f>IF(R2112&lt;&gt;"","Finalizado", IF(Q2112&lt;&gt;"","Fila de Carregamento", IF(P2112&lt;&gt;"","Aguardando Entrada","")))</f>
        <v>Finalizado</v>
      </c>
      <c r="O211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2" s="4">
        <v>0.29097222222222224</v>
      </c>
      <c r="Q2112" s="4">
        <v>0.42638888888888887</v>
      </c>
      <c r="R2112" s="23">
        <v>0.45069444444444445</v>
      </c>
      <c r="S2112" s="94" t="s">
        <v>254</v>
      </c>
      <c r="T2112" s="15">
        <f>IF(OR('Controle de CT'!$R2112= "", 'Controle de CT'!$P2112= ""), "", 'Controle de CT'!$R2112-'Controle de CT'!$P2112)</f>
        <v>0.15972222222222221</v>
      </c>
      <c r="U2112" s="1"/>
      <c r="V2112" s="1" t="s">
        <v>170</v>
      </c>
      <c r="W2112" s="2"/>
      <c r="X2112" s="2"/>
    </row>
    <row r="2113" spans="11:24" ht="15" hidden="1" customHeight="1">
      <c r="K2113" s="5">
        <v>46163</v>
      </c>
      <c r="L2113" s="8" t="s">
        <v>612</v>
      </c>
      <c r="M2113" s="9" t="s">
        <v>63</v>
      </c>
      <c r="N2113" s="20" t="str">
        <f>IF(R2113&lt;&gt;"","Finalizado", IF(Q2113&lt;&gt;"","Fila de Carregamento", IF(P2113&lt;&gt;"","Aguardando Entrada","")))</f>
        <v>Finalizado</v>
      </c>
      <c r="O211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13" s="4">
        <v>0.37291666666666667</v>
      </c>
      <c r="Q2113" s="4">
        <v>0.39305555555555555</v>
      </c>
      <c r="R2113" s="23">
        <v>0.46597222222222223</v>
      </c>
      <c r="S2113" s="94" t="s">
        <v>254</v>
      </c>
      <c r="T2113" s="15">
        <f>IF(OR('Controle de CT'!$R2113= "", 'Controle de CT'!$P2113= ""), "", 'Controle de CT'!$R2113-'Controle de CT'!$P2113)</f>
        <v>9.3055555555555558E-2</v>
      </c>
      <c r="U2113" s="1"/>
      <c r="V2113" s="1"/>
      <c r="W2113" s="2"/>
      <c r="X2113" s="2"/>
    </row>
    <row r="2114" spans="11:24" ht="15" hidden="1" customHeight="1">
      <c r="K2114" s="5">
        <v>46163</v>
      </c>
      <c r="L2114" s="8" t="s">
        <v>483</v>
      </c>
      <c r="M2114" s="9" t="s">
        <v>62</v>
      </c>
      <c r="N2114" s="20" t="str">
        <f>IF(R2114&lt;&gt;"","Finalizado", IF(Q2114&lt;&gt;"","Fila de Carregamento", IF(P2114&lt;&gt;"","Aguardando Entrada","")))</f>
        <v>Finalizado</v>
      </c>
      <c r="O211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14" s="4">
        <v>0.38611111111111113</v>
      </c>
      <c r="Q2114" s="4">
        <v>0.44097222222222221</v>
      </c>
      <c r="R2114" s="23">
        <v>0.46666666666666667</v>
      </c>
      <c r="S2114" s="94" t="s">
        <v>254</v>
      </c>
      <c r="T2114" s="15">
        <f>IF(OR('Controle de CT'!$R2114= "", 'Controle de CT'!$P2114= ""), "", 'Controle de CT'!$R2114-'Controle de CT'!$P2114)</f>
        <v>8.0555555555555547E-2</v>
      </c>
      <c r="U2114" s="1"/>
      <c r="V2114" s="1"/>
      <c r="W2114" s="2"/>
      <c r="X2114" s="2"/>
    </row>
    <row r="2115" spans="11:24" ht="15" hidden="1" customHeight="1">
      <c r="K2115" s="5">
        <v>46163</v>
      </c>
      <c r="L2115" s="8" t="s">
        <v>613</v>
      </c>
      <c r="M2115" s="9" t="s">
        <v>63</v>
      </c>
      <c r="N2115" s="20" t="str">
        <f>IF(R2115&lt;&gt;"","Finalizado", IF(Q2115&lt;&gt;"","Fila de Carregamento", IF(P2115&lt;&gt;"","Aguardando Entrada","")))</f>
        <v>Finalizado</v>
      </c>
      <c r="O211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5" s="4">
        <v>0.45069444444444445</v>
      </c>
      <c r="Q2115" s="4">
        <v>0.46527777777777779</v>
      </c>
      <c r="R2115" s="23">
        <v>0.54583333333333328</v>
      </c>
      <c r="S2115" s="94" t="s">
        <v>254</v>
      </c>
      <c r="T2115" s="15">
        <f>IF(OR('Controle de CT'!$R2115= "", 'Controle de CT'!$P2115= ""), "", 'Controle de CT'!$R2115-'Controle de CT'!$P2115)</f>
        <v>9.5138888888888828E-2</v>
      </c>
      <c r="U2115" s="1"/>
      <c r="V2115" s="1"/>
      <c r="W2115" s="2"/>
      <c r="X2115" s="2"/>
    </row>
    <row r="2116" spans="11:24" ht="15" hidden="1" customHeight="1">
      <c r="K2116" s="5">
        <v>46163</v>
      </c>
      <c r="L2116" t="s">
        <v>57</v>
      </c>
      <c r="M2116" s="9" t="str">
        <f>IF(Tabela1[[#This Row],[Motorista]]="","",IFERROR(_xlfn.XLOOKUP(Tabela1[[#This Row],[Motorista]],Base!A:A,Base!B:B),""))</f>
        <v>CIF</v>
      </c>
      <c r="N2116" s="20" t="str">
        <f>IF(R2116&lt;&gt;"","Finalizado", IF(Q2116&lt;&gt;"","Fila de Carregamento", IF(P2116&lt;&gt;"","Aguardando Entrada","")))</f>
        <v>Finalizado</v>
      </c>
      <c r="O211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6" s="4">
        <v>0.47569444444444442</v>
      </c>
      <c r="Q2116" s="4">
        <v>0.53611111111111109</v>
      </c>
      <c r="R2116" s="23">
        <v>0.5541666666666667</v>
      </c>
      <c r="S2116" s="94" t="s">
        <v>254</v>
      </c>
      <c r="T2116" s="14">
        <f>IF(OR(Tabela1[[#This Row],[Entrada]]="",Tabela1[[#This Row],[Saída]]=""), "", Tabela1[[#This Row],[Saída]]-Tabela1[[#This Row],[Entrada]])</f>
        <v>1.8055555555555602E-2</v>
      </c>
      <c r="U2116" s="15">
        <f>IF(OR('Controle de CT'!$R2116= "", 'Controle de CT'!$P2116= ""), "", 'Controle de CT'!$R2116-'Controle de CT'!$P2116)</f>
        <v>7.8472222222222276E-2</v>
      </c>
      <c r="V2116" s="1" t="s">
        <v>614</v>
      </c>
      <c r="W2116" s="2"/>
      <c r="X2116" s="2"/>
    </row>
    <row r="2117" spans="11:24" ht="15" hidden="1" customHeight="1">
      <c r="K2117" s="5">
        <v>46163</v>
      </c>
      <c r="L2117" s="8" t="s">
        <v>46</v>
      </c>
      <c r="M2117" s="9" t="str">
        <f>IF(Tabela1[[#This Row],[Motorista]]="","",IFERROR(_xlfn.XLOOKUP(Tabela1[[#This Row],[Motorista]],Base!A:A,Base!B:B),""))</f>
        <v>CIF</v>
      </c>
      <c r="N2117" s="20" t="str">
        <f>IF(R2117&lt;&gt;"","Finalizado", IF(Q2117&lt;&gt;"","Fila de Carregamento", IF(P2117&lt;&gt;"","Aguardando Entrada","")))</f>
        <v>Finalizado</v>
      </c>
      <c r="O211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17" s="4">
        <v>0.49236111111111114</v>
      </c>
      <c r="Q2117" s="4">
        <v>0.54722222222222228</v>
      </c>
      <c r="R2117" s="23">
        <v>0.58402777777777781</v>
      </c>
      <c r="S2117" s="94" t="s">
        <v>254</v>
      </c>
      <c r="T2117" s="15">
        <f>IF(OR('Controle de CT'!$R2117= "", 'Controle de CT'!$P2117= ""), "", 'Controle de CT'!$R2117-'Controle de CT'!$P2117)</f>
        <v>9.1666666666666674E-2</v>
      </c>
      <c r="U2117" s="1"/>
      <c r="V2117" s="1"/>
      <c r="W2117" s="2"/>
      <c r="X2117" s="2"/>
    </row>
    <row r="2118" spans="11:24" ht="15" hidden="1" customHeight="1">
      <c r="K2118" s="5">
        <v>46163</v>
      </c>
      <c r="L2118" s="8" t="s">
        <v>49</v>
      </c>
      <c r="M2118" s="9" t="str">
        <f>IF(Tabela1[[#This Row],[Motorista]]="","",IFERROR(_xlfn.XLOOKUP(Tabela1[[#This Row],[Motorista]],Base!A:A,Base!B:B),""))</f>
        <v>CIF</v>
      </c>
      <c r="N2118" s="20" t="str">
        <f>IF(R2118&lt;&gt;"","Finalizado", IF(Q2118&lt;&gt;"","Fila de Carregamento", IF(P2118&lt;&gt;"","Aguardando Entrada","")))</f>
        <v>Finalizado</v>
      </c>
      <c r="O211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18" s="4">
        <v>0.49791666666666667</v>
      </c>
      <c r="Q2118" s="4">
        <v>0.59722222222222221</v>
      </c>
      <c r="R2118" s="23">
        <v>0.63541666666666663</v>
      </c>
      <c r="S2118" s="94" t="s">
        <v>254</v>
      </c>
      <c r="T2118" s="15">
        <f>IF(OR('Controle de CT'!$R2118= "", 'Controle de CT'!$P2118= ""), "", 'Controle de CT'!$R2118-'Controle de CT'!$P2118)</f>
        <v>0.13749999999999996</v>
      </c>
      <c r="U2118" s="1"/>
      <c r="V2118" s="1"/>
      <c r="W2118" s="2"/>
      <c r="X2118" s="2"/>
    </row>
    <row r="2119" spans="11:24" ht="15" hidden="1" customHeight="1">
      <c r="K2119" s="5">
        <v>46163</v>
      </c>
      <c r="L2119" s="8" t="s">
        <v>615</v>
      </c>
      <c r="M2119" s="9" t="s">
        <v>62</v>
      </c>
      <c r="N2119" s="20" t="str">
        <f>IF(R2119&lt;&gt;"","Finalizado", IF(Q2119&lt;&gt;"","Fila de Carregamento", IF(P2119&lt;&gt;"","Aguardando Entrada","")))</f>
        <v>Finalizado</v>
      </c>
      <c r="O211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19" s="4">
        <v>0.45624999999999999</v>
      </c>
      <c r="Q2119" s="4">
        <v>0.61597222222222225</v>
      </c>
      <c r="R2119" s="23">
        <v>0.66805555555555551</v>
      </c>
      <c r="S2119" s="94" t="s">
        <v>254</v>
      </c>
      <c r="T2119" s="15">
        <f>IF(OR('Controle de CT'!$R2119= "", 'Controle de CT'!$P2119= ""), "", 'Controle de CT'!$R2119-'Controle de CT'!$P2119)</f>
        <v>0.21180555555555552</v>
      </c>
      <c r="U2119" s="1"/>
      <c r="V2119" s="1"/>
      <c r="W2119" s="2"/>
      <c r="X2119" s="2"/>
    </row>
    <row r="2120" spans="11:24" ht="15" hidden="1" customHeight="1">
      <c r="K2120" s="5">
        <v>46163</v>
      </c>
      <c r="L2120" s="8" t="s">
        <v>116</v>
      </c>
      <c r="M2120" s="9" t="str">
        <f>IF(Tabela1[[#This Row],[Motorista]]="","",IFERROR(_xlfn.XLOOKUP(Tabela1[[#This Row],[Motorista]],Base!A:A,Base!B:B),""))</f>
        <v xml:space="preserve">CIF </v>
      </c>
      <c r="N2120" s="20" t="str">
        <f>IF(R2120&lt;&gt;"","Finalizado", IF(Q2120&lt;&gt;"","Fila de Carregamento", IF(P2120&lt;&gt;"","Aguardando Entrada","")))</f>
        <v>Finalizado</v>
      </c>
      <c r="O212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20" s="4">
        <v>0.5444444444444444</v>
      </c>
      <c r="Q2120" s="4">
        <v>0.55694444444444446</v>
      </c>
      <c r="R2120" s="23">
        <v>0.66666666666666663</v>
      </c>
      <c r="S2120" s="94" t="s">
        <v>254</v>
      </c>
      <c r="T2120" s="15">
        <f>IF(OR('Controle de CT'!$R2120= "", 'Controle de CT'!$P2120= ""), "", 'Controle de CT'!$R2120-'Controle de CT'!$P2120)</f>
        <v>0.12222222222222223</v>
      </c>
      <c r="U2120" s="1"/>
      <c r="V2120" s="1"/>
      <c r="W2120" s="2"/>
      <c r="X2120" s="2"/>
    </row>
    <row r="2121" spans="11:24" ht="15" hidden="1" customHeight="1">
      <c r="K2121" s="5">
        <v>46163</v>
      </c>
      <c r="L2121" s="8" t="s">
        <v>616</v>
      </c>
      <c r="M2121" s="9" t="s">
        <v>63</v>
      </c>
      <c r="N2121" s="20" t="str">
        <f>IF(R2121&lt;&gt;"","Finalizado", IF(Q2121&lt;&gt;"","Fila de Carregamento", IF(P2121&lt;&gt;"","Aguardando Entrada","")))</f>
        <v>Finalizado</v>
      </c>
      <c r="O212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1" s="4">
        <v>0.58333333333333337</v>
      </c>
      <c r="Q2121" s="4">
        <v>0.60972222222222228</v>
      </c>
      <c r="R2121" s="23">
        <v>0.62916666666666665</v>
      </c>
      <c r="S2121" s="94" t="s">
        <v>254</v>
      </c>
      <c r="T2121" s="1"/>
      <c r="U2121" s="1"/>
      <c r="V2121" s="1"/>
      <c r="W2121" s="2"/>
      <c r="X2121" s="2"/>
    </row>
    <row r="2122" spans="11:24" ht="15" hidden="1" customHeight="1">
      <c r="K2122" s="5">
        <v>46163</v>
      </c>
      <c r="L2122" t="s">
        <v>98</v>
      </c>
      <c r="M2122" s="9" t="str">
        <f>IF(Tabela1[[#This Row],[Motorista]]="","",IFERROR(_xlfn.XLOOKUP(Tabela1[[#This Row],[Motorista]],Base!A:A,Base!B:B),""))</f>
        <v>FOB</v>
      </c>
      <c r="N2122" s="20" t="str">
        <f>IF(R2122&lt;&gt;"","Finalizado", IF(Q2122&lt;&gt;"","Fila de Carregamento", IF(P2122&lt;&gt;"","Aguardando Entrada","")))</f>
        <v>Finalizado</v>
      </c>
      <c r="O212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2" s="4">
        <v>0.58611111111111114</v>
      </c>
      <c r="Q2122" s="4">
        <v>0.64444444444444449</v>
      </c>
      <c r="R2122" s="23">
        <v>0.68611111111111112</v>
      </c>
      <c r="S2122" s="94" t="s">
        <v>254</v>
      </c>
      <c r="T2122" s="1"/>
      <c r="U2122" s="1"/>
      <c r="V2122" s="1"/>
      <c r="W2122" s="2"/>
      <c r="X2122" s="2"/>
    </row>
    <row r="2123" spans="11:24" ht="15" hidden="1" customHeight="1">
      <c r="K2123" s="5">
        <v>46163</v>
      </c>
      <c r="L2123" s="8" t="s">
        <v>617</v>
      </c>
      <c r="M2123" s="9" t="s">
        <v>63</v>
      </c>
      <c r="N2123" s="20" t="str">
        <f>IF(R2123&lt;&gt;"","Finalizado", IF(Q2123&lt;&gt;"","Fila de Carregamento", IF(P2123&lt;&gt;"","Aguardando Entrada","")))</f>
        <v>Fila de Carregamento</v>
      </c>
      <c r="O212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3" s="4">
        <v>0.59652777777777777</v>
      </c>
      <c r="Q2123" s="4">
        <v>0.64583333333333337</v>
      </c>
      <c r="R2123" s="23"/>
      <c r="S2123" s="16"/>
      <c r="T2123" s="1"/>
      <c r="U2123" s="1"/>
      <c r="V2123" s="1" t="s">
        <v>170</v>
      </c>
      <c r="W2123" s="2"/>
      <c r="X2123" s="2"/>
    </row>
    <row r="2124" spans="11:24" ht="15" hidden="1" customHeight="1">
      <c r="K2124" s="5">
        <v>46163</v>
      </c>
      <c r="L2124" s="8" t="s">
        <v>618</v>
      </c>
      <c r="M2124" s="9" t="s">
        <v>63</v>
      </c>
      <c r="N2124" s="20" t="str">
        <f>IF(R2124&lt;&gt;"","Finalizado", IF(Q2124&lt;&gt;"","Fila de Carregamento", IF(P2124&lt;&gt;"","Aguardando Entrada","")))</f>
        <v>Finalizado</v>
      </c>
      <c r="O212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4" s="4">
        <v>0.5083333333333333</v>
      </c>
      <c r="Q2124" s="4">
        <v>0.66666666666666663</v>
      </c>
      <c r="R2124" s="23">
        <v>0.6958333333333333</v>
      </c>
      <c r="S2124" s="94" t="s">
        <v>254</v>
      </c>
      <c r="T2124" s="1"/>
      <c r="U2124" s="1"/>
      <c r="V2124" s="1"/>
      <c r="W2124" s="2"/>
      <c r="X2124" s="2"/>
    </row>
    <row r="2125" spans="11:24" ht="15" hidden="1" customHeight="1">
      <c r="K2125" s="5">
        <v>46163</v>
      </c>
      <c r="L2125" s="8" t="s">
        <v>89</v>
      </c>
      <c r="M2125" s="9" t="str">
        <f>IF(Tabela1[[#This Row],[Motorista]]="","",IFERROR(_xlfn.XLOOKUP(Tabela1[[#This Row],[Motorista]],Base!A:A,Base!B:B),""))</f>
        <v>FOB</v>
      </c>
      <c r="N2125" s="20" t="str">
        <f>IF(R2125&lt;&gt;"","Finalizado", IF(Q2125&lt;&gt;"","Fila de Carregamento", IF(P2125&lt;&gt;"","Aguardando Entrada","")))</f>
        <v>Finalizado</v>
      </c>
      <c r="O212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25" s="4">
        <v>0.54166666666666663</v>
      </c>
      <c r="Q2125" s="4">
        <v>0.63611111111111107</v>
      </c>
      <c r="R2125" s="23">
        <v>0.70833333333333337</v>
      </c>
      <c r="S2125" s="94" t="s">
        <v>254</v>
      </c>
      <c r="T2125" s="1"/>
      <c r="U2125" s="1"/>
      <c r="V2125" s="1"/>
      <c r="W2125" s="2"/>
      <c r="X2125" s="2"/>
    </row>
    <row r="2126" spans="11:24" ht="15" hidden="1" customHeight="1">
      <c r="K2126" s="5">
        <v>46163</v>
      </c>
      <c r="L2126" s="8" t="s">
        <v>612</v>
      </c>
      <c r="M2126" s="9" t="s">
        <v>63</v>
      </c>
      <c r="N2126" s="20" t="str">
        <f>IF(R2126&lt;&gt;"","Finalizado", IF(Q2126&lt;&gt;"","Fila de Carregamento", IF(P2126&lt;&gt;"","Aguardando Entrada","")))</f>
        <v>Finalizado</v>
      </c>
      <c r="O212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26" s="4">
        <v>0.63472222222222219</v>
      </c>
      <c r="Q2126" s="4">
        <v>0.64583333333333337</v>
      </c>
      <c r="R2126" s="23">
        <v>0.72499999999999998</v>
      </c>
      <c r="S2126" s="94" t="s">
        <v>254</v>
      </c>
      <c r="T2126" s="1"/>
      <c r="U2126" s="1"/>
      <c r="V2126" s="1"/>
      <c r="W2126" s="2"/>
      <c r="X2126" s="2"/>
    </row>
    <row r="2127" spans="11:24" ht="15" hidden="1" customHeight="1">
      <c r="K2127" s="5">
        <v>46164</v>
      </c>
      <c r="L2127" t="s">
        <v>128</v>
      </c>
      <c r="M2127" s="9" t="str">
        <f>IF(Tabela1[[#This Row],[Motorista]]="","",IFERROR(_xlfn.XLOOKUP(Tabela1[[#This Row],[Motorista]],Base!A:A,Base!B:B),""))</f>
        <v>FOB</v>
      </c>
      <c r="N2127" s="20" t="str">
        <f>IF(R2127&lt;&gt;"","Finalizado", IF(Q2127&lt;&gt;"","Fila de Carregamento", IF(P2127&lt;&gt;"","Aguardando Entrada","")))</f>
        <v>Aguardando Entrada</v>
      </c>
      <c r="O212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7" s="4">
        <v>9.2361111111111116E-2</v>
      </c>
      <c r="Q2127" s="4"/>
      <c r="R2127" s="23"/>
      <c r="S2127" s="16"/>
      <c r="T2127" s="1"/>
      <c r="U2127" s="1"/>
      <c r="V2127" s="1"/>
      <c r="W2127" s="2"/>
      <c r="X2127" s="2"/>
    </row>
    <row r="2128" spans="11:24" ht="15" hidden="1" customHeight="1">
      <c r="K2128" s="5">
        <v>46164</v>
      </c>
      <c r="L2128" t="s">
        <v>199</v>
      </c>
      <c r="M2128" s="9" t="str">
        <f>IF(Tabela1[[#This Row],[Motorista]]="","",IFERROR(_xlfn.XLOOKUP(Tabela1[[#This Row],[Motorista]],Base!A:A,Base!B:B),""))</f>
        <v>FOB</v>
      </c>
      <c r="N2128" s="20" t="str">
        <f>IF(R2128&lt;&gt;"","Finalizado", IF(Q2128&lt;&gt;"","Fila de Carregamento", IF(P2128&lt;&gt;"","Aguardando Entrada","")))</f>
        <v>Finalizado</v>
      </c>
      <c r="O212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8" s="4">
        <v>0.1111111111111111</v>
      </c>
      <c r="Q2128" s="4"/>
      <c r="R2128" s="23">
        <v>0.45833333333333331</v>
      </c>
      <c r="S2128" s="16"/>
      <c r="T2128" s="1"/>
      <c r="U2128" s="1"/>
      <c r="V2128" s="1"/>
      <c r="W2128" s="2"/>
      <c r="X2128" s="2"/>
    </row>
    <row r="2129" spans="11:24" ht="15" hidden="1" customHeight="1">
      <c r="K2129" s="5">
        <v>46164</v>
      </c>
      <c r="L2129" t="s">
        <v>116</v>
      </c>
      <c r="M2129" s="9" t="str">
        <f>IF(Tabela1[[#This Row],[Motorista]]="","",IFERROR(_xlfn.XLOOKUP(Tabela1[[#This Row],[Motorista]],Base!A:A,Base!B:B),""))</f>
        <v xml:space="preserve">CIF </v>
      </c>
      <c r="N2129" s="20" t="str">
        <f>IF(R2129&lt;&gt;"","Finalizado", IF(Q2129&lt;&gt;"","Fila de Carregamento", IF(P2129&lt;&gt;"","Aguardando Entrada","")))</f>
        <v>Finalizado</v>
      </c>
      <c r="O212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29" s="4">
        <v>0.22361111111111112</v>
      </c>
      <c r="Q2129" s="4">
        <v>0.27083333333333331</v>
      </c>
      <c r="R2129" s="23">
        <v>0.3</v>
      </c>
      <c r="S2129" s="94" t="s">
        <v>254</v>
      </c>
      <c r="T2129" s="1"/>
      <c r="U2129" s="1"/>
      <c r="V2129" s="1"/>
      <c r="W2129" s="2"/>
      <c r="X2129" s="2"/>
    </row>
    <row r="2130" spans="11:24" ht="15" hidden="1" customHeight="1">
      <c r="K2130" s="5">
        <v>46164</v>
      </c>
      <c r="L2130" t="s">
        <v>115</v>
      </c>
      <c r="M2130" s="9" t="str">
        <f>IF(Tabela1[[#This Row],[Motorista]]="","",IFERROR(_xlfn.XLOOKUP(Tabela1[[#This Row],[Motorista]],Base!A:A,Base!B:B),""))</f>
        <v>CIF</v>
      </c>
      <c r="N2130" s="20" t="str">
        <f>IF(R2130&lt;&gt;"","Finalizado", IF(Q2130&lt;&gt;"","Fila de Carregamento", IF(P2130&lt;&gt;"","Aguardando Entrada","")))</f>
        <v>Finalizado</v>
      </c>
      <c r="O213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0" s="4">
        <v>0.24374999999999999</v>
      </c>
      <c r="Q2130" s="4">
        <v>0.27569444444444446</v>
      </c>
      <c r="R2130" s="23">
        <v>0.36319444444444443</v>
      </c>
      <c r="S2130" s="94" t="s">
        <v>254</v>
      </c>
      <c r="T2130" s="1"/>
      <c r="U2130" s="1"/>
      <c r="V2130" s="1"/>
      <c r="W2130" s="2"/>
      <c r="X2130" s="2"/>
    </row>
    <row r="2131" spans="11:24" ht="15" hidden="1" customHeight="1">
      <c r="K2131" s="5">
        <v>46164</v>
      </c>
      <c r="L2131" t="s">
        <v>90</v>
      </c>
      <c r="M2131" s="9" t="str">
        <f>IF(Tabela1[[#This Row],[Motorista]]="","",IFERROR(_xlfn.XLOOKUP(Tabela1[[#This Row],[Motorista]],Base!A:A,Base!B:B),""))</f>
        <v>FOB</v>
      </c>
      <c r="N2131" s="20" t="str">
        <f>IF(R2131&lt;&gt;"","Finalizado", IF(Q2131&lt;&gt;"","Fila de Carregamento", IF(P2131&lt;&gt;"","Aguardando Entrada","")))</f>
        <v>Finalizado</v>
      </c>
      <c r="O213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5 viagens</v>
      </c>
      <c r="P2131" s="4">
        <v>0.25069444444444444</v>
      </c>
      <c r="Q2131" s="4">
        <v>0.29722222222222222</v>
      </c>
      <c r="R2131" s="23">
        <v>0.34166666666666667</v>
      </c>
      <c r="S2131" s="16"/>
      <c r="T2131" s="1"/>
      <c r="U2131" s="1"/>
      <c r="V2131" s="1"/>
      <c r="W2131" s="2"/>
      <c r="X2131" s="2"/>
    </row>
    <row r="2132" spans="11:24" ht="15" hidden="1" customHeight="1">
      <c r="K2132" s="5">
        <v>46164</v>
      </c>
      <c r="L2132" t="s">
        <v>49</v>
      </c>
      <c r="M2132" s="9" t="str">
        <f>IF(Tabela1[[#This Row],[Motorista]]="","",IFERROR(_xlfn.XLOOKUP(Tabela1[[#This Row],[Motorista]],Base!A:A,Base!B:B),""))</f>
        <v>CIF</v>
      </c>
      <c r="N2132" s="20" t="str">
        <f>IF(R2132&lt;&gt;"","Finalizado", IF(Q2132&lt;&gt;"","Fila de Carregamento", IF(P2132&lt;&gt;"","Aguardando Entrada","")))</f>
        <v>Finalizado</v>
      </c>
      <c r="O213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2" s="4">
        <v>0.25</v>
      </c>
      <c r="Q2132" s="4">
        <v>0.26805555555555555</v>
      </c>
      <c r="R2132" s="23">
        <v>0.30763888888888891</v>
      </c>
      <c r="S2132" s="94" t="s">
        <v>254</v>
      </c>
      <c r="T2132" s="1"/>
      <c r="U2132" s="1"/>
      <c r="V2132" s="1"/>
      <c r="W2132" s="2"/>
      <c r="X2132" s="2"/>
    </row>
    <row r="2133" spans="11:24" ht="15" hidden="1" customHeight="1">
      <c r="K2133" s="5">
        <v>46164</v>
      </c>
      <c r="L2133" t="s">
        <v>46</v>
      </c>
      <c r="M2133" s="9" t="str">
        <f>IF(Tabela1[[#This Row],[Motorista]]="","",IFERROR(_xlfn.XLOOKUP(Tabela1[[#This Row],[Motorista]],Base!A:A,Base!B:B),""))</f>
        <v>CIF</v>
      </c>
      <c r="N2133" s="20" t="str">
        <f>IF(R2133&lt;&gt;"","Finalizado", IF(Q2133&lt;&gt;"","Fila de Carregamento", IF(P2133&lt;&gt;"","Aguardando Entrada","")))</f>
        <v>Finalizado</v>
      </c>
      <c r="O213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3" s="4">
        <v>0.25555555555555554</v>
      </c>
      <c r="Q2133" s="4">
        <v>0.27777777777777779</v>
      </c>
      <c r="R2133" s="23">
        <v>0.32083333333333336</v>
      </c>
      <c r="S2133" s="94" t="s">
        <v>254</v>
      </c>
      <c r="T2133" s="1"/>
      <c r="U2133" s="1"/>
      <c r="V2133" s="1"/>
      <c r="W2133" s="2"/>
      <c r="X2133" s="2"/>
    </row>
    <row r="2134" spans="11:24" ht="15" hidden="1" customHeight="1">
      <c r="K2134" s="5">
        <v>46164</v>
      </c>
      <c r="L2134" t="s">
        <v>54</v>
      </c>
      <c r="M2134" s="9" t="str">
        <f>IF(Tabela1[[#This Row],[Motorista]]="","",IFERROR(_xlfn.XLOOKUP(Tabela1[[#This Row],[Motorista]],Base!A:A,Base!B:B),""))</f>
        <v>CIF</v>
      </c>
      <c r="N2134" s="20" t="str">
        <f>IF(R2134&lt;&gt;"","Finalizado", IF(Q2134&lt;&gt;"","Fila de Carregamento", IF(P2134&lt;&gt;"","Aguardando Entrada","")))</f>
        <v>Finalizado</v>
      </c>
      <c r="O213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4" s="4">
        <v>0.25624999999999998</v>
      </c>
      <c r="Q2134" s="4">
        <v>0.31736111111111109</v>
      </c>
      <c r="R2134" s="23">
        <v>0.40625</v>
      </c>
      <c r="S2134" s="16"/>
      <c r="T2134" s="1"/>
      <c r="U2134" s="1"/>
      <c r="V2134" s="1" t="s">
        <v>408</v>
      </c>
      <c r="W2134" s="2"/>
      <c r="X2134" s="2"/>
    </row>
    <row r="2135" spans="11:24" ht="15" hidden="1" customHeight="1">
      <c r="K2135" s="5">
        <v>46164</v>
      </c>
      <c r="L2135" t="s">
        <v>57</v>
      </c>
      <c r="M2135" s="9" t="str">
        <f>IF(Tabela1[[#This Row],[Motorista]]="","",IFERROR(_xlfn.XLOOKUP(Tabela1[[#This Row],[Motorista]],Base!A:A,Base!B:B),""))</f>
        <v>CIF</v>
      </c>
      <c r="N2135" s="20" t="str">
        <f>IF(R2135&lt;&gt;"","Finalizado", IF(Q2135&lt;&gt;"","Fila de Carregamento", IF(P2135&lt;&gt;"","Aguardando Entrada","")))</f>
        <v>Finalizado</v>
      </c>
      <c r="O213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35" s="4">
        <v>0.2590277777777778</v>
      </c>
      <c r="Q2135" s="4">
        <v>0.27986111111111112</v>
      </c>
      <c r="R2135" s="23">
        <v>0.32361111111111113</v>
      </c>
      <c r="S2135" s="94" t="s">
        <v>254</v>
      </c>
      <c r="T2135" s="1"/>
      <c r="U2135" s="1"/>
      <c r="V2135" s="1"/>
      <c r="W2135" s="2"/>
      <c r="X2135" s="2"/>
    </row>
    <row r="2136" spans="11:24" ht="15" hidden="1" customHeight="1">
      <c r="K2136" s="5">
        <v>46164</v>
      </c>
      <c r="L2136" s="8" t="s">
        <v>324</v>
      </c>
      <c r="M2136" s="9" t="s">
        <v>62</v>
      </c>
      <c r="N2136" s="20" t="str">
        <f>IF(R2136&lt;&gt;"","Finalizado", IF(Q2136&lt;&gt;"","Fila de Carregamento", IF(P2136&lt;&gt;"","Aguardando Entrada","")))</f>
        <v>Finalizado</v>
      </c>
      <c r="O213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2136" s="4">
        <v>0.29236111111111113</v>
      </c>
      <c r="Q2136" s="4">
        <v>0.30069444444444443</v>
      </c>
      <c r="R2136" s="23">
        <v>0.34583333333333333</v>
      </c>
      <c r="S2136" s="16"/>
      <c r="T2136" s="1"/>
      <c r="U2136" s="1"/>
      <c r="V2136" s="1"/>
      <c r="W2136" s="2"/>
      <c r="X2136" s="2"/>
    </row>
    <row r="2137" spans="11:24" ht="15" hidden="1" customHeight="1">
      <c r="K2137" s="5">
        <v>46164</v>
      </c>
      <c r="L2137" s="8" t="s">
        <v>619</v>
      </c>
      <c r="M2137" s="9" t="s">
        <v>63</v>
      </c>
      <c r="N2137" s="20" t="str">
        <f>IF(R2137&lt;&gt;"","Finalizado", IF(Q2137&lt;&gt;"","Fila de Carregamento", IF(P2137&lt;&gt;"","Aguardando Entrada","")))</f>
        <v>Finalizado</v>
      </c>
      <c r="O213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7" s="4">
        <v>0.2951388888888889</v>
      </c>
      <c r="Q2137" s="4">
        <v>0.3263888888888889</v>
      </c>
      <c r="R2137" s="23">
        <v>0.36944444444444446</v>
      </c>
      <c r="S2137" s="16"/>
      <c r="T2137" s="1"/>
      <c r="U2137" s="1"/>
      <c r="V2137" s="1"/>
      <c r="W2137" s="2"/>
      <c r="X2137" s="2"/>
    </row>
    <row r="2138" spans="11:24" ht="15" hidden="1" customHeight="1">
      <c r="K2138" s="5">
        <v>46164</v>
      </c>
      <c r="L2138" s="8" t="s">
        <v>521</v>
      </c>
      <c r="M2138" s="9" t="str">
        <f>IF(Tabela1[[#This Row],[Motorista]]="","",IFERROR(_xlfn.XLOOKUP(Tabela1[[#This Row],[Motorista]],Base!A:A,Base!B:B),""))</f>
        <v/>
      </c>
      <c r="N2138" s="20" t="str">
        <f>IF(R2138&lt;&gt;"","Finalizado", IF(Q2138&lt;&gt;"","Fila de Carregamento", IF(P2138&lt;&gt;"","Aguardando Entrada","")))</f>
        <v>Fila de Carregamento</v>
      </c>
      <c r="O213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8" s="4">
        <v>0.35625000000000001</v>
      </c>
      <c r="Q2138" s="4">
        <v>0.375</v>
      </c>
      <c r="R2138" s="23"/>
      <c r="S2138" s="16"/>
      <c r="T2138" s="1"/>
      <c r="U2138" s="1"/>
      <c r="V2138" s="1"/>
      <c r="W2138" s="2"/>
      <c r="X2138" s="2"/>
    </row>
    <row r="2139" spans="11:24" ht="15" hidden="1" customHeight="1">
      <c r="K2139" s="5">
        <v>46164</v>
      </c>
      <c r="L2139" s="8" t="s">
        <v>620</v>
      </c>
      <c r="M2139" s="9" t="str">
        <f>IF(Tabela1[[#This Row],[Motorista]]="","",IFERROR(_xlfn.XLOOKUP(Tabela1[[#This Row],[Motorista]],Base!A:A,Base!B:B),""))</f>
        <v/>
      </c>
      <c r="N2139" s="20" t="str">
        <f>IF(R2139&lt;&gt;"","Finalizado", IF(Q2139&lt;&gt;"","Fila de Carregamento", IF(P2139&lt;&gt;"","Aguardando Entrada","")))</f>
        <v>Finalizado</v>
      </c>
      <c r="O213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39" s="4">
        <v>0.31041666666666667</v>
      </c>
      <c r="Q2139" s="4">
        <v>0.375</v>
      </c>
      <c r="R2139" s="23">
        <v>0.42291666666666666</v>
      </c>
      <c r="S2139" s="16"/>
      <c r="T2139" s="1"/>
      <c r="U2139" s="1"/>
      <c r="V2139" s="1"/>
      <c r="W2139" s="2"/>
      <c r="X2139" s="2"/>
    </row>
    <row r="2140" spans="11:24" ht="15" hidden="1" customHeight="1">
      <c r="K2140" s="5">
        <v>46164</v>
      </c>
      <c r="L2140" s="8" t="s">
        <v>483</v>
      </c>
      <c r="M2140" s="9" t="str">
        <f>IF(Tabela1[[#This Row],[Motorista]]="","",IFERROR(_xlfn.XLOOKUP(Tabela1[[#This Row],[Motorista]],Base!A:A,Base!B:B),""))</f>
        <v/>
      </c>
      <c r="N2140" s="20" t="str">
        <f>IF(R2140&lt;&gt;"","Finalizado", IF(Q2140&lt;&gt;"","Fila de Carregamento", IF(P2140&lt;&gt;"","Aguardando Entrada","")))</f>
        <v>Finalizado</v>
      </c>
      <c r="O214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0" s="4">
        <v>0.37986111111111109</v>
      </c>
      <c r="Q2140" s="4">
        <v>0.38611111111111113</v>
      </c>
      <c r="R2140" s="23">
        <v>0.44513888888888886</v>
      </c>
      <c r="S2140" s="16"/>
      <c r="T2140" s="1"/>
      <c r="U2140" s="1"/>
      <c r="V2140" s="1"/>
      <c r="W2140" s="2"/>
      <c r="X2140" s="2"/>
    </row>
    <row r="2141" spans="11:24" ht="15" hidden="1" customHeight="1">
      <c r="K2141" s="5">
        <v>46164</v>
      </c>
      <c r="L2141" s="8" t="s">
        <v>621</v>
      </c>
      <c r="M2141" s="9" t="s">
        <v>63</v>
      </c>
      <c r="N2141" s="20" t="str">
        <f>IF(R2141&lt;&gt;"","Finalizado", IF(Q2141&lt;&gt;"","Fila de Carregamento", IF(P2141&lt;&gt;"","Aguardando Entrada","")))</f>
        <v>Aguardando Entrada</v>
      </c>
      <c r="O214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1" s="4">
        <v>0.37986111111111109</v>
      </c>
      <c r="Q2141" s="4"/>
      <c r="R2141" s="23"/>
      <c r="S2141" s="16"/>
      <c r="T2141" s="1"/>
      <c r="U2141" s="1"/>
      <c r="V2141" s="1"/>
      <c r="W2141" s="2"/>
      <c r="X2141" s="2"/>
    </row>
    <row r="2142" spans="11:24" ht="15" hidden="1" customHeight="1">
      <c r="K2142" s="5">
        <v>46164</v>
      </c>
      <c r="L2142" s="8" t="s">
        <v>57</v>
      </c>
      <c r="M2142" s="9" t="s">
        <v>63</v>
      </c>
      <c r="N2142" s="20" t="str">
        <f>IF(R2142&lt;&gt;"","Finalizado", IF(Q2142&lt;&gt;"","Fila de Carregamento", IF(P2142&lt;&gt;"","Aguardando Entrada","")))</f>
        <v>Aguardando Entrada</v>
      </c>
      <c r="O214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42" s="4">
        <v>0.42708333333333331</v>
      </c>
      <c r="Q2142" s="4"/>
      <c r="R2142" s="23"/>
      <c r="S2142" s="16"/>
      <c r="T2142" s="1"/>
      <c r="U2142" s="1"/>
      <c r="V2142" s="1"/>
      <c r="W2142" s="2"/>
      <c r="X2142" s="2"/>
    </row>
    <row r="2143" spans="11:24" ht="15" hidden="1" customHeight="1">
      <c r="K2143" s="5">
        <v>46164</v>
      </c>
      <c r="L2143" s="8" t="s">
        <v>389</v>
      </c>
      <c r="M2143" s="9" t="str">
        <f>IF(Tabela1[[#This Row],[Motorista]]="","",IFERROR(_xlfn.XLOOKUP(Tabela1[[#This Row],[Motorista]],Base!A:A,Base!B:B),""))</f>
        <v>FOB</v>
      </c>
      <c r="N2143" s="20" t="str">
        <f>IF(R2143&lt;&gt;"","Finalizado", IF(Q2143&lt;&gt;"","Fila de Carregamento", IF(P2143&lt;&gt;"","Aguardando Entrada","")))</f>
        <v>Aguardando Entrada</v>
      </c>
      <c r="O214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3" s="4">
        <v>0.41319444444444442</v>
      </c>
      <c r="Q2143" s="4"/>
      <c r="R2143" s="23"/>
      <c r="S2143" s="16"/>
      <c r="T2143" s="1"/>
      <c r="U2143" s="1"/>
      <c r="V2143" s="1" t="s">
        <v>185</v>
      </c>
      <c r="W2143" s="2"/>
      <c r="X2143" s="2"/>
    </row>
    <row r="2144" spans="11:24" ht="15" hidden="1" customHeight="1">
      <c r="K2144" s="5">
        <v>46164</v>
      </c>
      <c r="L2144" s="8" t="s">
        <v>324</v>
      </c>
      <c r="M2144" s="9" t="s">
        <v>63</v>
      </c>
      <c r="N2144" s="20" t="str">
        <f>IF(R2144&lt;&gt;"","Finalizado", IF(Q2144&lt;&gt;"","Fila de Carregamento", IF(P2144&lt;&gt;"","Aguardando Entrada","")))</f>
        <v>Aguardando Entrada</v>
      </c>
      <c r="O214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2144" s="4">
        <v>0.42291666666666666</v>
      </c>
      <c r="Q2144" s="4"/>
      <c r="R2144" s="23"/>
      <c r="S2144" s="16"/>
      <c r="T2144" s="1"/>
      <c r="U2144" s="1"/>
      <c r="V2144" s="1"/>
      <c r="W2144" s="2"/>
      <c r="X2144" s="2"/>
    </row>
    <row r="2145" spans="11:24" ht="15" hidden="1" customHeight="1">
      <c r="K2145" s="5">
        <v>46164</v>
      </c>
      <c r="L2145" s="8" t="s">
        <v>90</v>
      </c>
      <c r="M2145" s="9" t="str">
        <f>IF(Tabela1[[#This Row],[Motorista]]="","",IFERROR(_xlfn.XLOOKUP(Tabela1[[#This Row],[Motorista]],Base!A:A,Base!B:B),""))</f>
        <v>FOB</v>
      </c>
      <c r="N2145" s="20" t="str">
        <f>IF(R2145&lt;&gt;"","Finalizado", IF(Q2145&lt;&gt;"","Fila de Carregamento", IF(P2145&lt;&gt;"","Aguardando Entrada","")))</f>
        <v>Aguardando Entrada</v>
      </c>
      <c r="O214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5 viagens</v>
      </c>
      <c r="P2145" s="4">
        <v>0.42569444444444443</v>
      </c>
      <c r="Q2145" s="4"/>
      <c r="R2145" s="23"/>
      <c r="S2145" s="16"/>
      <c r="T2145" s="1"/>
      <c r="U2145" s="1"/>
      <c r="V2145" s="1"/>
      <c r="W2145" s="2"/>
      <c r="X2145" s="2"/>
    </row>
    <row r="2146" spans="11:24" ht="15" hidden="1" customHeight="1">
      <c r="K2146" s="5">
        <v>46164</v>
      </c>
      <c r="L2146" t="s">
        <v>179</v>
      </c>
      <c r="M2146" s="9" t="str">
        <f>IF(Tabela1[[#This Row],[Motorista]]="","",IFERROR(_xlfn.XLOOKUP(Tabela1[[#This Row],[Motorista]],Base!A:A,Base!B:B),""))</f>
        <v>Transferência</v>
      </c>
      <c r="N2146" s="20" t="str">
        <f>IF(R2146&lt;&gt;"","Finalizado", IF(Q2146&lt;&gt;"","Fila de Carregamento", IF(P2146&lt;&gt;"","Aguardando Entrada","")))</f>
        <v>Aguardando Entrada</v>
      </c>
      <c r="O214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6" s="4">
        <v>0.43541666666666667</v>
      </c>
      <c r="Q2146" s="4"/>
      <c r="R2146" s="23"/>
      <c r="S2146" s="16"/>
      <c r="T2146" s="1"/>
      <c r="U2146" s="1"/>
      <c r="V2146" s="1"/>
      <c r="W2146" s="2"/>
      <c r="X2146" s="2"/>
    </row>
    <row r="2147" spans="11:24" ht="15" hidden="1" customHeight="1">
      <c r="K2147" s="5">
        <v>46164</v>
      </c>
      <c r="L2147" s="8" t="s">
        <v>622</v>
      </c>
      <c r="M2147" s="9" t="str">
        <f>IF(Tabela1[[#This Row],[Motorista]]="","",IFERROR(_xlfn.XLOOKUP(Tabela1[[#This Row],[Motorista]],Base!A:A,Base!B:B),""))</f>
        <v/>
      </c>
      <c r="N2147" s="20" t="str">
        <f>IF(R2147&lt;&gt;"","Finalizado", IF(Q2147&lt;&gt;"","Fila de Carregamento", IF(P2147&lt;&gt;"","Aguardando Entrada","")))</f>
        <v/>
      </c>
      <c r="O214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7" s="4"/>
      <c r="Q2147" s="4"/>
      <c r="R2147" s="23"/>
      <c r="S2147" s="16"/>
      <c r="T2147" s="1"/>
      <c r="U2147" s="1"/>
      <c r="V2147" s="1"/>
      <c r="W2147" s="2"/>
      <c r="X2147" s="2"/>
    </row>
    <row r="2148" spans="11:24" ht="15" hidden="1" customHeight="1">
      <c r="K2148" s="5">
        <v>46164</v>
      </c>
      <c r="L2148" s="8" t="s">
        <v>296</v>
      </c>
      <c r="M2148" s="9" t="str">
        <f>IF(Tabela1[[#This Row],[Motorista]]="","",IFERROR(_xlfn.XLOOKUP(Tabela1[[#This Row],[Motorista]],Base!A:A,Base!B:B),""))</f>
        <v/>
      </c>
      <c r="N2148" s="20" t="str">
        <f>IF(R2148&lt;&gt;"","Finalizado", IF(Q2148&lt;&gt;"","Fila de Carregamento", IF(P2148&lt;&gt;"","Aguardando Entrada","")))</f>
        <v>Aguardando Entrada</v>
      </c>
      <c r="O214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8" s="4">
        <v>0.45555555555555555</v>
      </c>
      <c r="Q2148" s="4"/>
      <c r="R2148" s="23"/>
      <c r="S2148" s="16"/>
      <c r="T2148" s="1"/>
      <c r="U2148" s="1"/>
      <c r="V2148" s="1"/>
      <c r="W2148" s="2"/>
      <c r="X2148" s="2"/>
    </row>
    <row r="2149" spans="11:24" ht="15" hidden="1" customHeight="1">
      <c r="K2149" s="5">
        <v>46164</v>
      </c>
      <c r="L2149" s="8" t="s">
        <v>623</v>
      </c>
      <c r="M2149" s="9" t="str">
        <f>IF(Tabela1[[#This Row],[Motorista]]="","",IFERROR(_xlfn.XLOOKUP(Tabela1[[#This Row],[Motorista]],Base!A:A,Base!B:B),""))</f>
        <v/>
      </c>
      <c r="N2149" s="20" t="str">
        <f>IF(R2149&lt;&gt;"","Finalizado", IF(Q2149&lt;&gt;"","Fila de Carregamento", IF(P2149&lt;&gt;"","Aguardando Entrada","")))</f>
        <v/>
      </c>
      <c r="O214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49" s="4"/>
      <c r="Q2149" s="4"/>
      <c r="R2149" s="23"/>
      <c r="S2149" s="16"/>
      <c r="T2149" s="14" t="str">
        <f>IF(OR(Tabela1[[#This Row],[Entrada]]="",Tabela1[[#This Row],[Saída]]=""), "", Tabela1[[#This Row],[Saída]]-Tabela1[[#This Row],[Entrada]])</f>
        <v/>
      </c>
      <c r="U2149" s="15" t="str">
        <f>IF(OR('Controle de CT'!$R2149= "", 'Controle de CT'!$P2149= ""), "", 'Controle de CT'!$R2149-'Controle de CT'!$P2149)</f>
        <v/>
      </c>
      <c r="V2149" s="1"/>
      <c r="W2149" s="2"/>
      <c r="X2149" s="2"/>
    </row>
    <row r="2150" spans="11:24" ht="15" hidden="1" customHeight="1">
      <c r="K2150" s="5">
        <v>46164</v>
      </c>
      <c r="L2150" s="8" t="s">
        <v>624</v>
      </c>
      <c r="M2150" s="9" t="s">
        <v>63</v>
      </c>
      <c r="N2150" s="20" t="str">
        <f>IF(R2150&lt;&gt;"","Finalizado", IF(Q2150&lt;&gt;"","Fila de Carregamento", IF(P2150&lt;&gt;"","Aguardando Entrada","")))</f>
        <v/>
      </c>
      <c r="O215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0" s="4"/>
      <c r="Q2150" s="4"/>
      <c r="R2150" s="23"/>
      <c r="S2150" s="16"/>
      <c r="T2150" s="14" t="str">
        <f>IF(OR(Tabela1[[#This Row],[Entrada]]="",Tabela1[[#This Row],[Saída]]=""), "", Tabela1[[#This Row],[Saída]]-Tabela1[[#This Row],[Entrada]])</f>
        <v/>
      </c>
      <c r="U2150" s="15" t="str">
        <f>IF(OR('Controle de CT'!$R2150= "", 'Controle de CT'!$P2150= ""), "", 'Controle de CT'!$R2150-'Controle de CT'!$P2150)</f>
        <v/>
      </c>
      <c r="V2150" s="1"/>
      <c r="W2150" s="2"/>
      <c r="X2150" s="2"/>
    </row>
    <row r="2151" spans="11:24" ht="15" hidden="1" customHeight="1">
      <c r="K2151" s="5">
        <v>46164</v>
      </c>
      <c r="L2151" s="8" t="s">
        <v>90</v>
      </c>
      <c r="M2151" s="9" t="str">
        <f>IF(Tabela1[[#This Row],[Motorista]]="","",IFERROR(_xlfn.XLOOKUP(Tabela1[[#This Row],[Motorista]],Base!A:A,Base!B:B),""))</f>
        <v>FOB</v>
      </c>
      <c r="N2151" s="20" t="str">
        <f>IF(R2151&lt;&gt;"","Finalizado", IF(Q2151&lt;&gt;"","Fila de Carregamento", IF(P2151&lt;&gt;"","Aguardando Entrada","")))</f>
        <v/>
      </c>
      <c r="O215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5 viagens</v>
      </c>
      <c r="P2151" s="4"/>
      <c r="Q2151" s="4"/>
      <c r="R2151" s="23"/>
      <c r="S2151" s="16"/>
      <c r="T2151" s="14" t="str">
        <f>IF(OR(Tabela1[[#This Row],[Entrada]]="",Tabela1[[#This Row],[Saída]]=""), "", Tabela1[[#This Row],[Saída]]-Tabela1[[#This Row],[Entrada]])</f>
        <v/>
      </c>
      <c r="U2151" s="15" t="str">
        <f>IF(OR('Controle de CT'!$R2151= "", 'Controle de CT'!$P2151= ""), "", 'Controle de CT'!$R2151-'Controle de CT'!$P2151)</f>
        <v/>
      </c>
      <c r="V2151" s="1"/>
      <c r="W2151" s="2"/>
      <c r="X2151" s="2"/>
    </row>
    <row r="2152" spans="11:24" ht="15" hidden="1" customHeight="1">
      <c r="K2152" s="5">
        <v>46164</v>
      </c>
      <c r="L2152" t="s">
        <v>625</v>
      </c>
      <c r="M2152" s="9" t="str">
        <f>IF(Tabela1[[#This Row],[Motorista]]="","",IFERROR(_xlfn.XLOOKUP(Tabela1[[#This Row],[Motorista]],Base!A:A,Base!B:B),""))</f>
        <v/>
      </c>
      <c r="N2152" s="20" t="str">
        <f>IF(R2152&lt;&gt;"","Finalizado", IF(Q2152&lt;&gt;"","Fila de Carregamento", IF(P2152&lt;&gt;"","Aguardando Entrada","")))</f>
        <v>Aguardando Entrada</v>
      </c>
      <c r="O215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2" s="4">
        <v>0.57499999999999996</v>
      </c>
      <c r="Q2152" s="4"/>
      <c r="R2152" s="23"/>
      <c r="S2152" s="16"/>
      <c r="T2152" s="1"/>
      <c r="U2152" s="1"/>
      <c r="V2152" s="1"/>
      <c r="W2152" s="2"/>
      <c r="X2152" s="2"/>
    </row>
    <row r="2153" spans="11:24" ht="15" hidden="1" customHeight="1">
      <c r="K2153" s="5">
        <v>46164</v>
      </c>
      <c r="L2153" s="8" t="s">
        <v>626</v>
      </c>
      <c r="M2153" s="9" t="str">
        <f>IF(Tabela1[[#This Row],[Motorista]]="","",IFERROR(_xlfn.XLOOKUP(Tabela1[[#This Row],[Motorista]],Base!A:A,Base!B:B),""))</f>
        <v/>
      </c>
      <c r="N2153" s="20" t="str">
        <f>IF(R2153&lt;&gt;"","Finalizado", IF(Q2153&lt;&gt;"","Fila de Carregamento", IF(P2153&lt;&gt;"","Aguardando Entrada","")))</f>
        <v/>
      </c>
      <c r="O215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3" s="4"/>
      <c r="Q2153" s="4"/>
      <c r="R2153" s="23"/>
      <c r="S2153" s="16"/>
      <c r="T2153" s="1"/>
      <c r="U2153" s="1"/>
      <c r="V2153" s="1"/>
      <c r="W2153" s="2"/>
      <c r="X2153" s="2"/>
    </row>
    <row r="2154" spans="11:24" ht="15" hidden="1" customHeight="1">
      <c r="K2154" s="5">
        <v>46164</v>
      </c>
      <c r="L2154" s="8" t="s">
        <v>627</v>
      </c>
      <c r="M2154" s="9" t="str">
        <f>IF(Tabela1[[#This Row],[Motorista]]="","",IFERROR(_xlfn.XLOOKUP(Tabela1[[#This Row],[Motorista]],Base!A:A,Base!B:B),""))</f>
        <v/>
      </c>
      <c r="N2154" s="20" t="str">
        <f>IF(R2154&lt;&gt;"","Finalizado", IF(Q2154&lt;&gt;"","Fila de Carregamento", IF(P2154&lt;&gt;"","Aguardando Entrada","")))</f>
        <v/>
      </c>
      <c r="O215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4" s="4"/>
      <c r="Q2154" s="4"/>
      <c r="R2154" s="23"/>
      <c r="S2154" s="16"/>
      <c r="T2154" s="1"/>
      <c r="U2154" s="1"/>
      <c r="V2154" s="1"/>
      <c r="W2154" s="2"/>
      <c r="X2154" s="2"/>
    </row>
    <row r="2155" spans="11:24" ht="15" hidden="1" customHeight="1">
      <c r="K2155" s="5">
        <v>46164</v>
      </c>
      <c r="L2155" s="8" t="s">
        <v>628</v>
      </c>
      <c r="M2155" s="9" t="str">
        <f>IF(Tabela1[[#This Row],[Motorista]]="","",IFERROR(_xlfn.XLOOKUP(Tabela1[[#This Row],[Motorista]],Base!A:A,Base!B:B),""))</f>
        <v/>
      </c>
      <c r="N2155" s="20" t="str">
        <f>IF(R2155&lt;&gt;"","Finalizado", IF(Q2155&lt;&gt;"","Fila de Carregamento", IF(P2155&lt;&gt;"","Aguardando Entrada","")))</f>
        <v/>
      </c>
      <c r="O215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5" s="4"/>
      <c r="Q2155" s="4"/>
      <c r="R2155" s="23"/>
      <c r="S2155" s="16"/>
      <c r="T2155" s="1"/>
      <c r="U2155" s="1"/>
      <c r="V2155" s="1"/>
      <c r="W2155" s="2"/>
      <c r="X2155" s="2"/>
    </row>
    <row r="2156" spans="11:24" ht="15" hidden="1" customHeight="1">
      <c r="K2156" s="5">
        <v>46164</v>
      </c>
      <c r="L2156" s="8" t="s">
        <v>629</v>
      </c>
      <c r="M2156" s="9" t="str">
        <f>IF(Tabela1[[#This Row],[Motorista]]="","",IFERROR(_xlfn.XLOOKUP(Tabela1[[#This Row],[Motorista]],Base!A:A,Base!B:B),""))</f>
        <v/>
      </c>
      <c r="N2156" s="20" t="str">
        <f>IF(R2156&lt;&gt;"","Finalizado", IF(Q2156&lt;&gt;"","Fila de Carregamento", IF(P2156&lt;&gt;"","Aguardando Entrada","")))</f>
        <v/>
      </c>
      <c r="O215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6" s="4"/>
      <c r="Q2156" s="4"/>
      <c r="R2156" s="23"/>
      <c r="S2156" s="16"/>
      <c r="T2156" s="14" t="str">
        <f>IF(OR(Tabela1[[#This Row],[Entrada]]="",Tabela1[[#This Row],[Saída]]=""), "", Tabela1[[#This Row],[Saída]]-Tabela1[[#This Row],[Entrada]])</f>
        <v/>
      </c>
      <c r="U2156" s="15" t="str">
        <f>IF(OR('Controle de CT'!$R2156= "", 'Controle de CT'!$P2156= ""), "", 'Controle de CT'!$R2156-'Controle de CT'!$P2156)</f>
        <v/>
      </c>
      <c r="V2156" s="1"/>
      <c r="W2156" s="2"/>
      <c r="X2156" s="2"/>
    </row>
    <row r="2157" spans="11:24" ht="15" hidden="1" customHeight="1">
      <c r="K2157" s="5">
        <v>46164</v>
      </c>
      <c r="L2157" s="8" t="s">
        <v>90</v>
      </c>
      <c r="M2157" s="9" t="str">
        <f>IF(Tabela1[[#This Row],[Motorista]]="","",IFERROR(_xlfn.XLOOKUP(Tabela1[[#This Row],[Motorista]],Base!A:A,Base!B:B),""))</f>
        <v>FOB</v>
      </c>
      <c r="N2157" s="20" t="str">
        <f>IF(R2157&lt;&gt;"","Finalizado", IF(Q2157&lt;&gt;"","Fila de Carregamento", IF(P2157&lt;&gt;"","Aguardando Entrada","")))</f>
        <v/>
      </c>
      <c r="O215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5 viagens</v>
      </c>
      <c r="P2157" s="4"/>
      <c r="Q2157" s="4"/>
      <c r="R2157" s="23"/>
      <c r="S2157" s="16"/>
      <c r="T2157" s="1"/>
      <c r="U2157" s="1"/>
      <c r="V2157" s="1"/>
      <c r="W2157" s="2"/>
      <c r="X2157" s="2"/>
    </row>
    <row r="2158" spans="11:24" ht="15" hidden="1" customHeight="1">
      <c r="K2158" s="5">
        <v>46164</v>
      </c>
      <c r="L2158" s="8" t="s">
        <v>630</v>
      </c>
      <c r="M2158" s="9" t="str">
        <f>IF(Tabela1[[#This Row],[Motorista]]="","",IFERROR(_xlfn.XLOOKUP(Tabela1[[#This Row],[Motorista]],Base!A:A,Base!B:B),""))</f>
        <v/>
      </c>
      <c r="N2158" s="20" t="str">
        <f>IF(R2158&lt;&gt;"","Finalizado", IF(Q2158&lt;&gt;"","Fila de Carregamento", IF(P2158&lt;&gt;"","Aguardando Entrada","")))</f>
        <v/>
      </c>
      <c r="O215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8" s="4"/>
      <c r="Q2158" s="4"/>
      <c r="R2158" s="23"/>
      <c r="S2158" s="16"/>
      <c r="T2158" s="1"/>
      <c r="U2158" s="1"/>
      <c r="V2158" s="1"/>
      <c r="W2158" s="2"/>
      <c r="X2158" s="2"/>
    </row>
    <row r="2159" spans="11:24" ht="15" hidden="1" customHeight="1">
      <c r="K2159" s="5">
        <v>46164</v>
      </c>
      <c r="L2159" s="8" t="s">
        <v>631</v>
      </c>
      <c r="M2159" s="9" t="str">
        <f>IF(Tabela1[[#This Row],[Motorista]]="","",IFERROR(_xlfn.XLOOKUP(Tabela1[[#This Row],[Motorista]],Base!A:A,Base!B:B),""))</f>
        <v/>
      </c>
      <c r="N2159" s="20" t="str">
        <f>IF(R2159&lt;&gt;"","Finalizado", IF(Q2159&lt;&gt;"","Fila de Carregamento", IF(P2159&lt;&gt;"","Aguardando Entrada","")))</f>
        <v/>
      </c>
      <c r="O215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59" s="4"/>
      <c r="Q2159" s="4"/>
      <c r="R2159" s="23"/>
      <c r="S2159" s="16"/>
      <c r="T2159" s="1"/>
      <c r="U2159" s="1"/>
      <c r="V2159" s="1"/>
      <c r="W2159" s="2"/>
      <c r="X2159" s="2"/>
    </row>
    <row r="2160" spans="11:24" ht="15" hidden="1" customHeight="1">
      <c r="K2160" s="5">
        <v>46164</v>
      </c>
      <c r="L2160" s="8" t="s">
        <v>632</v>
      </c>
      <c r="M2160" s="9" t="str">
        <f>IF(Tabela1[[#This Row],[Motorista]]="","",IFERROR(_xlfn.XLOOKUP(Tabela1[[#This Row],[Motorista]],Base!A:A,Base!B:B),""))</f>
        <v/>
      </c>
      <c r="N2160" s="20" t="str">
        <f>IF(R2160&lt;&gt;"","Finalizado", IF(Q2160&lt;&gt;"","Fila de Carregamento", IF(P2160&lt;&gt;"","Aguardando Entrada","")))</f>
        <v>Fila de Carregamento</v>
      </c>
      <c r="O216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0" s="4">
        <v>0.625</v>
      </c>
      <c r="Q2160" s="4">
        <v>0.6875</v>
      </c>
      <c r="R2160" s="23"/>
      <c r="S2160" s="16"/>
      <c r="T2160" s="1"/>
      <c r="U2160" s="1"/>
      <c r="V2160" s="1"/>
      <c r="W2160" s="2"/>
      <c r="X2160" s="2"/>
    </row>
    <row r="2161" spans="11:24" ht="15" hidden="1" customHeight="1">
      <c r="K2161" s="5">
        <v>46164</v>
      </c>
      <c r="L2161" s="8" t="s">
        <v>633</v>
      </c>
      <c r="M2161" s="9" t="str">
        <f>IF(Tabela1[[#This Row],[Motorista]]="","",IFERROR(_xlfn.XLOOKUP(Tabela1[[#This Row],[Motorista]],Base!A:A,Base!B:B),""))</f>
        <v/>
      </c>
      <c r="N2161" s="20" t="str">
        <f>IF(R2161&lt;&gt;"","Finalizado", IF(Q2161&lt;&gt;"","Fila de Carregamento", IF(P2161&lt;&gt;"","Aguardando Entrada","")))</f>
        <v>Fila de Carregamento</v>
      </c>
      <c r="O216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1" s="4">
        <v>0.6333333333333333</v>
      </c>
      <c r="Q2161" s="4">
        <v>0.63611111111111107</v>
      </c>
      <c r="R2161" s="23"/>
      <c r="S2161" s="16"/>
      <c r="T2161" s="1"/>
      <c r="U2161" s="1"/>
      <c r="V2161" s="1"/>
      <c r="W2161" s="2"/>
      <c r="X2161" s="2"/>
    </row>
    <row r="2162" spans="11:24" ht="15" hidden="1" customHeight="1">
      <c r="K2162" s="5">
        <v>46164</v>
      </c>
      <c r="L2162" s="8" t="s">
        <v>90</v>
      </c>
      <c r="M2162" s="9" t="str">
        <f>IF(Tabela1[[#This Row],[Motorista]]="","",IFERROR(_xlfn.XLOOKUP(Tabela1[[#This Row],[Motorista]],Base!A:A,Base!B:B),""))</f>
        <v>FOB</v>
      </c>
      <c r="N2162" s="20" t="str">
        <f t="shared" ref="N2162:N2165" si="108">IF(R2162&lt;&gt;"","Finalizado", IF(Q2162&lt;&gt;"","Fila de Carregamento", IF(P2162&lt;&gt;"","Aguardando Entrada","")))</f>
        <v>Fila de Carregamento</v>
      </c>
      <c r="O216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5 viagens</v>
      </c>
      <c r="P2162" s="4">
        <v>0.61736111111111114</v>
      </c>
      <c r="Q2162" s="4">
        <v>0.6381944444444444</v>
      </c>
      <c r="R2162" s="23"/>
      <c r="S2162" s="16"/>
      <c r="T2162" s="14" t="str">
        <f>IF(OR(Tabela1[[#This Row],[Entrada]]="",Tabela1[[#This Row],[Saída]]=""), "", Tabela1[[#This Row],[Saída]]-Tabela1[[#This Row],[Entrada]])</f>
        <v/>
      </c>
      <c r="U2162" s="15" t="str">
        <f>IF(OR('Controle de CT'!$R2162= "", 'Controle de CT'!$P2162= ""), "", 'Controle de CT'!$R2162-'Controle de CT'!$P2162)</f>
        <v/>
      </c>
      <c r="V2162" s="1"/>
      <c r="W2162" s="2"/>
      <c r="X2162" s="2"/>
    </row>
    <row r="2163" spans="11:24" ht="15" hidden="1" customHeight="1">
      <c r="K2163" s="5">
        <v>46164</v>
      </c>
      <c r="L2163" s="8" t="s">
        <v>634</v>
      </c>
      <c r="M2163" s="22" t="str">
        <f>IF(Tabela1[[#This Row],[Motorista]]="","",IFERROR(_xlfn.XLOOKUP(Tabela1[[#This Row],[Motorista]],Base!A:A,Base!B:B),""))</f>
        <v/>
      </c>
      <c r="N2163" s="20" t="str">
        <f t="shared" si="108"/>
        <v>Aguardando Entrada</v>
      </c>
      <c r="O216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3" s="2">
        <v>0.70138888888888884</v>
      </c>
      <c r="R2163" s="16"/>
      <c r="S2163" s="16"/>
      <c r="T2163" s="14" t="str">
        <f>IF(OR(Tabela1[[#This Row],[Entrada]]="",Tabela1[[#This Row],[Saída]]=""), "", Tabela1[[#This Row],[Saída]]-Tabela1[[#This Row],[Entrada]])</f>
        <v/>
      </c>
      <c r="U2163" s="15" t="str">
        <f>IF(OR('Controle de CT'!$R2163= "", 'Controle de CT'!$P2163= ""), "", 'Controle de CT'!$R2163-'Controle de CT'!$P2163)</f>
        <v/>
      </c>
      <c r="V2163" s="1"/>
      <c r="W2163" s="2"/>
      <c r="X2163" s="2"/>
    </row>
    <row r="2164" spans="11:24" ht="15" hidden="1" customHeight="1">
      <c r="K2164" s="5">
        <v>46164</v>
      </c>
      <c r="L2164" s="8" t="s">
        <v>324</v>
      </c>
      <c r="M2164" s="22" t="str">
        <f>IF(Tabela1[[#This Row],[Motorista]]="","",IFERROR(_xlfn.XLOOKUP(Tabela1[[#This Row],[Motorista]],Base!A:A,Base!B:B),""))</f>
        <v/>
      </c>
      <c r="N2164" s="20" t="str">
        <f t="shared" si="108"/>
        <v>Aguardando Entrada</v>
      </c>
      <c r="O216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3 viagens</v>
      </c>
      <c r="P2164" s="2">
        <v>0.6958333333333333</v>
      </c>
      <c r="R2164" s="16"/>
      <c r="S2164" s="16"/>
      <c r="T2164" s="14" t="str">
        <f>IF(OR(Tabela1[[#This Row],[Entrada]]="",Tabela1[[#This Row],[Saída]]=""), "", Tabela1[[#This Row],[Saída]]-Tabela1[[#This Row],[Entrada]])</f>
        <v/>
      </c>
      <c r="U2164" s="15" t="str">
        <f>IF(OR('Controle de CT'!$R2164= "", 'Controle de CT'!$P2164= ""), "", 'Controle de CT'!$R2164-'Controle de CT'!$P2164)</f>
        <v/>
      </c>
      <c r="V2164" s="1"/>
      <c r="W2164" s="2"/>
      <c r="X2164" s="2"/>
    </row>
    <row r="2165" spans="11:24" ht="15" customHeight="1">
      <c r="K2165" s="5">
        <v>46165</v>
      </c>
      <c r="L2165" s="8" t="s">
        <v>116</v>
      </c>
      <c r="M2165" s="22" t="str">
        <f>IF(Tabela1[[#This Row],[Motorista]]="","",IFERROR(_xlfn.XLOOKUP(Tabela1[[#This Row],[Motorista]],Base!A:A,Base!B:B),""))</f>
        <v xml:space="preserve">CIF </v>
      </c>
      <c r="N2165" s="20" t="str">
        <f t="shared" si="108"/>
        <v>Finalizado</v>
      </c>
      <c r="O216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5" s="2">
        <v>0.21180555555555555</v>
      </c>
      <c r="Q2165" s="2">
        <v>0.27777777777777779</v>
      </c>
      <c r="R2165" s="16">
        <v>0.33055555555555555</v>
      </c>
      <c r="S2165" s="94" t="s">
        <v>254</v>
      </c>
      <c r="T2165" s="14">
        <f>IF(OR(Tabela1[[#This Row],[Entrada]]="",Tabela1[[#This Row],[Saída]]=""), "", Tabela1[[#This Row],[Saída]]-Tabela1[[#This Row],[Entrada]])</f>
        <v>5.2777777777777757E-2</v>
      </c>
      <c r="U2165" s="15">
        <f>IF(OR('Controle de CT'!$R2165= "", 'Controle de CT'!$P2165= ""), "", 'Controle de CT'!$R2165-'Controle de CT'!$P2165)</f>
        <v>0.11874999999999999</v>
      </c>
      <c r="V2165" s="1" t="s">
        <v>226</v>
      </c>
      <c r="W2165" s="2"/>
      <c r="X2165" s="2"/>
    </row>
    <row r="2166" spans="11:24" ht="15" customHeight="1">
      <c r="K2166" s="5">
        <v>46165</v>
      </c>
      <c r="L2166" s="8" t="s">
        <v>49</v>
      </c>
      <c r="M2166" s="9" t="s">
        <v>62</v>
      </c>
      <c r="N2166" s="20" t="str">
        <f t="shared" ref="N2166:N2171" si="109">IF(R2166&lt;&gt;"","Finalizado", IF(Q2166&lt;&gt;"","Fila de Carregamento", IF(P2166&lt;&gt;"","Aguardando Entrada","")))</f>
        <v/>
      </c>
      <c r="O216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66" s="4"/>
      <c r="Q2166" s="4"/>
      <c r="R2166" s="23"/>
      <c r="S2166" s="16"/>
      <c r="T2166" s="15" t="str">
        <f>IF(OR('Controle de CT'!$R2166= "", 'Controle de CT'!$P2166= ""), "", 'Controle de CT'!$R2166-'Controle de CT'!$P2166)</f>
        <v/>
      </c>
      <c r="U2166" s="1"/>
      <c r="V2166" s="1"/>
      <c r="W2166" s="2"/>
      <c r="X2166" s="2"/>
    </row>
    <row r="2167" spans="11:24" ht="15" customHeight="1">
      <c r="K2167" s="5">
        <v>46165</v>
      </c>
      <c r="L2167" s="8" t="s">
        <v>635</v>
      </c>
      <c r="M2167" s="9" t="s">
        <v>62</v>
      </c>
      <c r="N2167" s="20" t="str">
        <f t="shared" si="109"/>
        <v>Aguardando Entrada</v>
      </c>
      <c r="O2167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7" s="4">
        <v>0.25972222222222224</v>
      </c>
      <c r="Q2167" s="4"/>
      <c r="R2167" s="23"/>
      <c r="S2167" s="94" t="s">
        <v>254</v>
      </c>
      <c r="T2167" s="15" t="str">
        <f>IF(OR('Controle de CT'!$R2167= "", 'Controle de CT'!$P2167= ""), "", 'Controle de CT'!$R2167-'Controle de CT'!$P2167)</f>
        <v/>
      </c>
      <c r="U2167" s="1"/>
      <c r="V2167" s="1"/>
      <c r="W2167" s="2"/>
      <c r="X2167" s="2"/>
    </row>
    <row r="2168" spans="11:24" ht="15" customHeight="1">
      <c r="K2168" s="5">
        <v>46165</v>
      </c>
      <c r="L2168" s="8" t="s">
        <v>57</v>
      </c>
      <c r="M2168" s="9" t="str">
        <f>IF(Tabela1[[#This Row],[Motorista]]="","",IFERROR(_xlfn.XLOOKUP(Tabela1[[#This Row],[Motorista]],Base!A:A,Base!B:B),""))</f>
        <v>CIF</v>
      </c>
      <c r="N2168" s="20" t="str">
        <f>IF(R2168&lt;&gt;"","Finalizado", IF(Q2168&lt;&gt;"","Fila de Carregamento", IF(P2168&lt;&gt;"","Aguardando Entrada","")))</f>
        <v>Fila de Carregamento</v>
      </c>
      <c r="O2168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8" s="4">
        <v>0.26250000000000001</v>
      </c>
      <c r="Q2168" s="4">
        <v>0.29166666666666669</v>
      </c>
      <c r="R2168" s="23"/>
      <c r="S2168" s="94" t="s">
        <v>254</v>
      </c>
      <c r="T2168" s="14" t="str">
        <f>IF(OR(Tabela1[[#This Row],[Entrada]]="",Tabela1[[#This Row],[Saída]]=""), "", Tabela1[[#This Row],[Saída]]-Tabela1[[#This Row],[Entrada]])</f>
        <v/>
      </c>
      <c r="U2168" s="15" t="str">
        <f>IF(OR('Controle de CT'!$R2168= "", 'Controle de CT'!$P2168= ""), "", 'Controle de CT'!$R2168-'Controle de CT'!$P2168)</f>
        <v/>
      </c>
      <c r="V2168" s="1"/>
      <c r="W2168" s="2"/>
      <c r="X2168" s="2"/>
    </row>
    <row r="2169" spans="11:24" ht="15" customHeight="1">
      <c r="K2169" s="5">
        <v>46165</v>
      </c>
      <c r="L2169" s="8" t="s">
        <v>636</v>
      </c>
      <c r="M2169" s="9" t="s">
        <v>62</v>
      </c>
      <c r="N2169" s="20" t="str">
        <f t="shared" si="109"/>
        <v>Aguardando Entrada</v>
      </c>
      <c r="O2169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69" s="4">
        <v>0.26319444444444445</v>
      </c>
      <c r="Q2169" s="4"/>
      <c r="R2169" s="23"/>
      <c r="S2169" s="16"/>
      <c r="T2169" s="15" t="str">
        <f>IF(OR('Controle de CT'!$R2169= "", 'Controle de CT'!$P2169= ""), "", 'Controle de CT'!$R2169-'Controle de CT'!$P2169)</f>
        <v/>
      </c>
      <c r="U2169" s="1"/>
      <c r="V2169" s="1" t="s">
        <v>637</v>
      </c>
      <c r="W2169" s="2"/>
      <c r="X2169" s="2"/>
    </row>
    <row r="2170" spans="11:24" ht="15" customHeight="1">
      <c r="K2170" s="5">
        <v>46165</v>
      </c>
      <c r="L2170" t="s">
        <v>128</v>
      </c>
      <c r="M2170" s="9" t="str">
        <f>IF(Tabela1[[#This Row],[Motorista]]="","",IFERROR(_xlfn.XLOOKUP(Tabela1[[#This Row],[Motorista]],Base!A:A,Base!B:B),""))</f>
        <v>FOB</v>
      </c>
      <c r="N2170" s="20" t="str">
        <f t="shared" si="109"/>
        <v>Fila de Carregamento</v>
      </c>
      <c r="O2170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70" s="4">
        <v>0</v>
      </c>
      <c r="Q2170" s="4">
        <v>0.37013888888888891</v>
      </c>
      <c r="R2170" s="23"/>
      <c r="S2170" s="16"/>
      <c r="T2170" s="15" t="str">
        <f>IF(OR('Controle de CT'!$R2170= "", 'Controle de CT'!$P2170= ""), "", 'Controle de CT'!$R2170-'Controle de CT'!$P2170)</f>
        <v/>
      </c>
      <c r="U2170" s="1"/>
      <c r="V2170" s="1" t="s">
        <v>638</v>
      </c>
      <c r="W2170" s="2"/>
      <c r="X2170" s="2"/>
    </row>
    <row r="2171" spans="11:24" ht="15" customHeight="1">
      <c r="K2171" s="5">
        <v>46165</v>
      </c>
      <c r="L2171" s="8" t="s">
        <v>521</v>
      </c>
      <c r="M2171" s="9" t="s">
        <v>63</v>
      </c>
      <c r="N2171" s="20" t="str">
        <f t="shared" si="109"/>
        <v>Aguardando Entrada</v>
      </c>
      <c r="O2171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1 viagem</v>
      </c>
      <c r="P2171" s="4">
        <v>0.28472222222222221</v>
      </c>
      <c r="Q2171" s="4"/>
      <c r="R2171" s="23"/>
      <c r="S2171" s="16"/>
      <c r="T2171" s="15" t="str">
        <f>IF(OR('Controle de CT'!$R2171= "", 'Controle de CT'!$P2171= ""), "", 'Controle de CT'!$R2171-'Controle de CT'!$P2171)</f>
        <v/>
      </c>
      <c r="U2171" s="1"/>
      <c r="V2171" s="1"/>
      <c r="W2171" s="2"/>
      <c r="X2171" s="2"/>
    </row>
    <row r="2172" spans="11:24" ht="15" customHeight="1">
      <c r="K2172" s="5">
        <v>46165</v>
      </c>
      <c r="L2172" s="8" t="s">
        <v>49</v>
      </c>
      <c r="M2172" s="9" t="str">
        <f>IF(Tabela1[[#This Row],[Motorista]]="","",IFERROR(_xlfn.XLOOKUP(Tabela1[[#This Row],[Motorista]],Base!A:A,Base!B:B),""))</f>
        <v>CIF</v>
      </c>
      <c r="N2172" s="20" t="str">
        <f t="shared" ref="N2172:N2176" si="110">IF(R2172&lt;&gt;"","Finalizado", IF(Q2172&lt;&gt;"","Fila de Carregamento", IF(P2172&lt;&gt;"","Aguardando Entrada","")))</f>
        <v>Finalizado</v>
      </c>
      <c r="O2172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>2 viagens</v>
      </c>
      <c r="P2172" s="4"/>
      <c r="Q2172" s="4">
        <v>0.37361111111111112</v>
      </c>
      <c r="R2172" s="23">
        <v>0.46319444444444446</v>
      </c>
      <c r="S2172" s="16"/>
      <c r="T2172" s="1"/>
      <c r="U2172" s="1"/>
      <c r="V2172" s="1"/>
      <c r="W2172" s="2"/>
      <c r="X2172" s="2"/>
    </row>
    <row r="2173" spans="11:24" ht="15" customHeight="1">
      <c r="K2173" s="5">
        <v>46165</v>
      </c>
      <c r="L2173" s="8"/>
      <c r="M2173" s="9" t="str">
        <f>IF(Tabela1[[#This Row],[Motorista]]="","",IFERROR(_xlfn.XLOOKUP(Tabela1[[#This Row],[Motorista]],Base!A:A,Base!B:B),""))</f>
        <v/>
      </c>
      <c r="N2173" s="20" t="str">
        <f t="shared" si="110"/>
        <v/>
      </c>
      <c r="O2173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P2173" s="4"/>
      <c r="Q2173" s="4"/>
      <c r="R2173" s="23"/>
      <c r="S2173" s="16"/>
      <c r="T2173" s="1"/>
      <c r="U2173" s="1"/>
      <c r="V2173" s="1"/>
      <c r="W2173" s="2"/>
      <c r="X2173" s="2"/>
    </row>
    <row r="2174" spans="11:24" ht="15" customHeight="1">
      <c r="K2174" s="5">
        <v>46165</v>
      </c>
      <c r="L2174" s="8"/>
      <c r="M2174" s="9" t="str">
        <f>IF(Tabela1[[#This Row],[Motorista]]="","",IFERROR(_xlfn.XLOOKUP(Tabela1[[#This Row],[Motorista]],Base!A:A,Base!B:B),""))</f>
        <v/>
      </c>
      <c r="N2174" s="20" t="str">
        <f t="shared" si="110"/>
        <v/>
      </c>
      <c r="O2174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P2174" s="4"/>
      <c r="Q2174" s="4"/>
      <c r="R2174" s="23"/>
      <c r="S2174" s="16"/>
      <c r="T2174" s="1"/>
      <c r="U2174" s="1"/>
      <c r="V2174" s="1"/>
      <c r="W2174" s="2"/>
      <c r="X2174" s="2"/>
    </row>
    <row r="2175" spans="11:24" ht="15" customHeight="1">
      <c r="K2175" s="5">
        <v>46165</v>
      </c>
      <c r="L2175" s="8"/>
      <c r="M2175" s="9" t="str">
        <f>IF(Tabela1[[#This Row],[Motorista]]="","",IFERROR(_xlfn.XLOOKUP(Tabela1[[#This Row],[Motorista]],Base!A:A,Base!B:B),""))</f>
        <v/>
      </c>
      <c r="N2175" s="20" t="str">
        <f t="shared" si="110"/>
        <v/>
      </c>
      <c r="O2175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P2175" s="4"/>
      <c r="Q2175" s="4"/>
      <c r="R2175" s="23"/>
      <c r="S2175" s="16"/>
      <c r="T2175" s="1"/>
      <c r="U2175" s="1"/>
      <c r="V2175" s="1"/>
      <c r="W2175" s="2"/>
      <c r="X2175" s="2"/>
    </row>
    <row r="2176" spans="11:24" ht="15" customHeight="1">
      <c r="K2176" s="5">
        <v>46165</v>
      </c>
      <c r="L2176" s="8"/>
      <c r="M2176" s="9" t="str">
        <f>IF(Tabela1[[#This Row],[Motorista]]="","",IFERROR(_xlfn.XLOOKUP(Tabela1[[#This Row],[Motorista]],Base!A:A,Base!B:B),""))</f>
        <v/>
      </c>
      <c r="N2176" s="20" t="str">
        <f t="shared" si="110"/>
        <v/>
      </c>
      <c r="O2176" s="9" t="str">
        <f>IF(Tabela1[[#This Row],[Motorista]]="","",IF(COUNTIFS(Tabela1[Data],Tabela1[[#This Row],[Data]],Tabela1[Motorista],Tabela1[[#This Row],[Motorista]])=1,"1 viagem",COUNTIFS(Tabela1[Data],Tabela1[[#This Row],[Data]],Tabela1[Motorista],Tabela1[[#This Row],[Motorista]])&amp;" viagens"))</f>
        <v/>
      </c>
      <c r="P2176" s="4"/>
      <c r="Q2176" s="4"/>
      <c r="R2176" s="23"/>
      <c r="S2176" s="16"/>
      <c r="T2176" s="1"/>
      <c r="U2176" s="1"/>
      <c r="V2176" s="1"/>
      <c r="W2176" s="2"/>
      <c r="X2176" s="2"/>
    </row>
  </sheetData>
  <dataConsolidate/>
  <mergeCells count="3">
    <mergeCell ref="Q2:Q3"/>
    <mergeCell ref="S3:S4"/>
    <mergeCell ref="A8:G8"/>
  </mergeCells>
  <phoneticPr fontId="3" type="noConversion"/>
  <conditionalFormatting sqref="N9:N2176">
    <cfRule type="containsText" dxfId="30" priority="56" operator="containsText" text="Aguardando Entrada">
      <formula>NOT(ISERROR(SEARCH("Aguardando Entrada",N9)))</formula>
    </cfRule>
    <cfRule type="containsText" dxfId="29" priority="58" operator="containsText" text="Fila de Carregamento">
      <formula>NOT(ISERROR(SEARCH("Fila de Carregamento",N9)))</formula>
    </cfRule>
    <cfRule type="cellIs" dxfId="28" priority="61" operator="equal">
      <formula>"Finalizado"</formula>
    </cfRule>
  </conditionalFormatting>
  <conditionalFormatting sqref="Q41 S153:S358 S361:S426 S430:S716 T555:V555 V714:V718 S736:S846 S908:S939">
    <cfRule type="containsText" dxfId="27" priority="51" operator="containsText" text="Impresso">
      <formula>NOT(ISERROR(SEARCH("Impresso",Q41)))</formula>
    </cfRule>
    <cfRule type="cellIs" dxfId="26" priority="52" operator="equal">
      <formula>"Pendente"</formula>
    </cfRule>
  </conditionalFormatting>
  <conditionalFormatting sqref="S9:S147">
    <cfRule type="containsText" dxfId="25" priority="47" operator="containsText" text="Impresso">
      <formula>NOT(ISERROR(SEARCH("Impresso",S9)))</formula>
    </cfRule>
    <cfRule type="cellIs" dxfId="24" priority="48" operator="equal">
      <formula>"Pendente"</formula>
    </cfRule>
  </conditionalFormatting>
  <conditionalFormatting sqref="S150:S151">
    <cfRule type="containsText" dxfId="23" priority="41" operator="containsText" text="Impresso">
      <formula>NOT(ISERROR(SEARCH("Impresso",S150)))</formula>
    </cfRule>
    <cfRule type="cellIs" dxfId="22" priority="42" operator="equal">
      <formula>"Pendente"</formula>
    </cfRule>
  </conditionalFormatting>
  <conditionalFormatting sqref="S1225:S1255">
    <cfRule type="containsText" dxfId="21" priority="7" operator="containsText" text="Impresso">
      <formula>NOT(ISERROR(SEARCH("Impresso",S1225)))</formula>
    </cfRule>
    <cfRule type="cellIs" dxfId="20" priority="8" operator="equal">
      <formula>"Pendente"</formula>
    </cfRule>
  </conditionalFormatting>
  <conditionalFormatting sqref="S1275:S1341">
    <cfRule type="containsText" dxfId="19" priority="1" operator="containsText" text="Impresso">
      <formula>NOT(ISERROR(SEARCH("Impresso",S1275)))</formula>
    </cfRule>
    <cfRule type="cellIs" dxfId="18" priority="2" operator="equal">
      <formula>"Pendente"</formula>
    </cfRule>
  </conditionalFormatting>
  <pageMargins left="0.25" right="0.25" top="0.75" bottom="0.75" header="0.3" footer="0.3"/>
  <pageSetup paperSize="9" orientation="landscape" r:id="rId1"/>
  <ignoredErrors>
    <ignoredError xmlns:x16r3="http://schemas.microsoft.com/office/spreadsheetml/2018/08/main" xmlns:x16r5="http://schemas.microsoft.com/office/spreadsheetml/2020/10/main" sqref="A824:J825 W824:W825 Y824:XFD825" evalError="1" twoDigitTextYear="1" numberStoredAsText="1" formula="1" formulaRange="1" unlockedFormula="1" emptyCellReference="1" listDataValidation="1" calculatedColumn="1" x16r3:misleadingFormat="1" x16r5:outdatedDataTypes="1"/>
  </ignoredErrors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CB91EFB-7606-437F-8331-7EA1A28CEE05}">
          <x14:formula1>
            <xm:f>Base!$D$2:$D$3</xm:f>
          </x14:formula1>
          <xm:sqref>S150:S151 S9:S147 S153:S358 S361:S426 T555:V555 V714:V718 S430:S716 S736:S846 S908:S939 S1225:S1255 S1275:S1341</xm:sqref>
        </x14:dataValidation>
        <x14:dataValidation type="list" allowBlank="1" showInputMessage="1" showErrorMessage="1" xr:uid="{45B59E10-ED1E-4977-BF78-64431E8CC4BC}">
          <x14:formula1>
            <xm:f>Base!$A$2:$A$116</xm:f>
          </x14:formula1>
          <xm:sqref>L9:M204 L1409:L1641 L1275:L1407 L1188:L1212 L1217</xm:sqref>
        </x14:dataValidation>
        <x14:dataValidation type="list" allowBlank="1" showInputMessage="1" showErrorMessage="1" xr:uid="{B957DBDB-EF04-49A4-B2B3-900849C916C0}">
          <x14:formula1>
            <xm:f>Base!$A$2:$A$119</xm:f>
          </x14:formula1>
          <xm:sqref>L205:M315 L1218:L1255 L1187 L817:M986 L1108 L1106 L1017:L1099 L995:M1015 L760 L572:M758 M759:M760 L816 L761:M814 M815:M816 L317:M570</xm:sqref>
        </x14:dataValidation>
        <x14:dataValidation type="list" allowBlank="1" showInputMessage="1" showErrorMessage="1" xr:uid="{37177937-84C2-4A59-B940-2D2C6EF8E85B}">
          <x14:formula1>
            <xm:f>Base!$A$2:$A$123</xm:f>
          </x14:formula1>
          <xm:sqref>L316:M316</xm:sqref>
        </x14:dataValidation>
        <x14:dataValidation type="list" allowBlank="1" showInputMessage="1" showErrorMessage="1" xr:uid="{EB42808B-1668-4BC2-A51E-8B75F1A0A8A9}">
          <x14:formula1>
            <xm:f>Base!$A$2:$A$387</xm:f>
          </x14:formula1>
          <xm:sqref>L1100:L1105 L1107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D811-7A35-4800-B9E1-9B5998236F69}">
  <dimension ref="A1:G150"/>
  <sheetViews>
    <sheetView topLeftCell="A106" zoomScaleNormal="100" workbookViewId="0">
      <selection activeCell="G111" sqref="G111"/>
    </sheetView>
  </sheetViews>
  <sheetFormatPr defaultRowHeight="14.45"/>
  <cols>
    <col min="1" max="1" width="34.7109375" customWidth="1"/>
    <col min="2" max="2" width="24.85546875" customWidth="1"/>
    <col min="3" max="3" width="17.140625" customWidth="1"/>
    <col min="4" max="4" width="11.85546875" customWidth="1"/>
    <col min="5" max="5" width="17.140625" customWidth="1"/>
  </cols>
  <sheetData>
    <row r="1" spans="1:5">
      <c r="A1" s="12" t="s">
        <v>72</v>
      </c>
      <c r="B1" s="12" t="s">
        <v>73</v>
      </c>
      <c r="C1" s="12" t="s">
        <v>639</v>
      </c>
      <c r="D1" s="12" t="s">
        <v>79</v>
      </c>
      <c r="E1" s="12" t="s">
        <v>82</v>
      </c>
    </row>
    <row r="2" spans="1:5">
      <c r="A2" t="s">
        <v>640</v>
      </c>
      <c r="B2" s="24"/>
      <c r="E2" t="s">
        <v>190</v>
      </c>
    </row>
    <row r="3" spans="1:5">
      <c r="A3" t="s">
        <v>147</v>
      </c>
      <c r="B3" s="24" t="s">
        <v>64</v>
      </c>
      <c r="E3" t="s">
        <v>641</v>
      </c>
    </row>
    <row r="4" spans="1:5">
      <c r="A4" t="s">
        <v>255</v>
      </c>
      <c r="B4" s="24"/>
    </row>
    <row r="5" spans="1:5">
      <c r="A5" t="s">
        <v>42</v>
      </c>
      <c r="B5" s="24" t="s">
        <v>62</v>
      </c>
      <c r="C5" t="s">
        <v>62</v>
      </c>
      <c r="D5" t="s">
        <v>85</v>
      </c>
    </row>
    <row r="6" spans="1:5">
      <c r="A6" t="s">
        <v>44</v>
      </c>
      <c r="B6" s="24" t="s">
        <v>62</v>
      </c>
      <c r="C6" t="s">
        <v>63</v>
      </c>
      <c r="D6" t="s">
        <v>97</v>
      </c>
    </row>
    <row r="7" spans="1:5">
      <c r="A7" t="s">
        <v>642</v>
      </c>
      <c r="B7" s="24" t="s">
        <v>65</v>
      </c>
      <c r="C7" t="s">
        <v>63</v>
      </c>
    </row>
    <row r="8" spans="1:5">
      <c r="A8" t="s">
        <v>384</v>
      </c>
      <c r="B8" s="24"/>
    </row>
    <row r="9" spans="1:5">
      <c r="A9" t="s">
        <v>409</v>
      </c>
      <c r="B9" s="24"/>
    </row>
    <row r="10" spans="1:5">
      <c r="A10" t="s">
        <v>183</v>
      </c>
      <c r="B10" s="24" t="s">
        <v>63</v>
      </c>
    </row>
    <row r="11" spans="1:5">
      <c r="A11" t="s">
        <v>222</v>
      </c>
      <c r="B11" s="24" t="s">
        <v>64</v>
      </c>
    </row>
    <row r="12" spans="1:5">
      <c r="A12" t="s">
        <v>119</v>
      </c>
      <c r="B12" s="24" t="s">
        <v>65</v>
      </c>
    </row>
    <row r="13" spans="1:5">
      <c r="A13" t="s">
        <v>93</v>
      </c>
      <c r="B13" s="24" t="s">
        <v>63</v>
      </c>
    </row>
    <row r="14" spans="1:5">
      <c r="A14" t="s">
        <v>116</v>
      </c>
      <c r="B14" s="24" t="s">
        <v>321</v>
      </c>
    </row>
    <row r="15" spans="1:5">
      <c r="A15" t="s">
        <v>133</v>
      </c>
      <c r="B15" s="24" t="s">
        <v>63</v>
      </c>
    </row>
    <row r="16" spans="1:5">
      <c r="A16" t="s">
        <v>157</v>
      </c>
      <c r="B16" s="24" t="s">
        <v>63</v>
      </c>
    </row>
    <row r="17" spans="1:2">
      <c r="A17" t="s">
        <v>126</v>
      </c>
      <c r="B17" s="24" t="s">
        <v>64</v>
      </c>
    </row>
    <row r="18" spans="1:2">
      <c r="A18" t="s">
        <v>45</v>
      </c>
      <c r="B18" s="24" t="s">
        <v>62</v>
      </c>
    </row>
    <row r="19" spans="1:2">
      <c r="A19" t="s">
        <v>46</v>
      </c>
      <c r="B19" s="24" t="s">
        <v>62</v>
      </c>
    </row>
    <row r="20" spans="1:2">
      <c r="A20" t="s">
        <v>47</v>
      </c>
      <c r="B20" s="24" t="s">
        <v>62</v>
      </c>
    </row>
    <row r="21" spans="1:2">
      <c r="A21" t="s">
        <v>643</v>
      </c>
      <c r="B21" s="24" t="s">
        <v>65</v>
      </c>
    </row>
    <row r="22" spans="1:2">
      <c r="A22" t="s">
        <v>160</v>
      </c>
      <c r="B22" s="24"/>
    </row>
    <row r="23" spans="1:2" ht="13.5" customHeight="1">
      <c r="A23" t="s">
        <v>644</v>
      </c>
      <c r="B23" s="24" t="s">
        <v>64</v>
      </c>
    </row>
    <row r="24" spans="1:2" ht="13.5" customHeight="1">
      <c r="A24" t="s">
        <v>184</v>
      </c>
      <c r="B24" s="24" t="s">
        <v>63</v>
      </c>
    </row>
    <row r="25" spans="1:2">
      <c r="A25" t="s">
        <v>164</v>
      </c>
      <c r="B25" s="24" t="s">
        <v>65</v>
      </c>
    </row>
    <row r="26" spans="1:2">
      <c r="A26" t="s">
        <v>645</v>
      </c>
      <c r="B26" s="24" t="s">
        <v>65</v>
      </c>
    </row>
    <row r="27" spans="1:2">
      <c r="A27" t="s">
        <v>380</v>
      </c>
      <c r="B27" s="24" t="s">
        <v>64</v>
      </c>
    </row>
    <row r="28" spans="1:2">
      <c r="A28" t="s">
        <v>162</v>
      </c>
      <c r="B28" s="24" t="s">
        <v>63</v>
      </c>
    </row>
    <row r="29" spans="1:2">
      <c r="A29" t="s">
        <v>48</v>
      </c>
      <c r="B29" s="24" t="s">
        <v>62</v>
      </c>
    </row>
    <row r="30" spans="1:2">
      <c r="A30" t="s">
        <v>104</v>
      </c>
      <c r="B30" s="24" t="s">
        <v>65</v>
      </c>
    </row>
    <row r="31" spans="1:2">
      <c r="A31" t="s">
        <v>86</v>
      </c>
      <c r="B31" s="24" t="s">
        <v>63</v>
      </c>
    </row>
    <row r="32" spans="1:2">
      <c r="A32" t="s">
        <v>107</v>
      </c>
      <c r="B32" s="24" t="s">
        <v>63</v>
      </c>
    </row>
    <row r="33" spans="1:2">
      <c r="A33" t="s">
        <v>96</v>
      </c>
      <c r="B33" s="24" t="s">
        <v>64</v>
      </c>
    </row>
    <row r="34" spans="1:2">
      <c r="A34" t="s">
        <v>646</v>
      </c>
      <c r="B34" s="24" t="s">
        <v>64</v>
      </c>
    </row>
    <row r="35" spans="1:2">
      <c r="A35" t="s">
        <v>141</v>
      </c>
      <c r="B35" s="24" t="s">
        <v>63</v>
      </c>
    </row>
    <row r="36" spans="1:2">
      <c r="A36" t="s">
        <v>257</v>
      </c>
      <c r="B36" s="24" t="s">
        <v>63</v>
      </c>
    </row>
    <row r="37" spans="1:2">
      <c r="A37" t="s">
        <v>103</v>
      </c>
      <c r="B37" s="24" t="s">
        <v>63</v>
      </c>
    </row>
    <row r="38" spans="1:2">
      <c r="A38" t="s">
        <v>49</v>
      </c>
      <c r="B38" s="24" t="s">
        <v>62</v>
      </c>
    </row>
    <row r="39" spans="1:2">
      <c r="A39" t="s">
        <v>111</v>
      </c>
      <c r="B39" s="24" t="s">
        <v>63</v>
      </c>
    </row>
    <row r="40" spans="1:2">
      <c r="A40" t="s">
        <v>145</v>
      </c>
      <c r="B40" s="24" t="s">
        <v>63</v>
      </c>
    </row>
    <row r="41" spans="1:2">
      <c r="A41" t="s">
        <v>179</v>
      </c>
      <c r="B41" s="24" t="s">
        <v>64</v>
      </c>
    </row>
    <row r="42" spans="1:2">
      <c r="A42" t="s">
        <v>154</v>
      </c>
      <c r="B42" s="24" t="s">
        <v>63</v>
      </c>
    </row>
    <row r="43" spans="1:2">
      <c r="A43" t="s">
        <v>127</v>
      </c>
      <c r="B43" s="24" t="s">
        <v>64</v>
      </c>
    </row>
    <row r="44" spans="1:2">
      <c r="A44" t="s">
        <v>231</v>
      </c>
      <c r="B44" s="24" t="s">
        <v>64</v>
      </c>
    </row>
    <row r="45" spans="1:2">
      <c r="A45" t="s">
        <v>114</v>
      </c>
      <c r="B45" s="24" t="s">
        <v>63</v>
      </c>
    </row>
    <row r="46" spans="1:2">
      <c r="A46" t="s">
        <v>58</v>
      </c>
      <c r="B46" s="24" t="s">
        <v>321</v>
      </c>
    </row>
    <row r="47" spans="1:2">
      <c r="A47" t="s">
        <v>288</v>
      </c>
      <c r="B47" s="24" t="s">
        <v>63</v>
      </c>
    </row>
    <row r="48" spans="1:2">
      <c r="A48" t="s">
        <v>51</v>
      </c>
      <c r="B48" s="24" t="s">
        <v>62</v>
      </c>
    </row>
    <row r="49" spans="1:2">
      <c r="A49" t="s">
        <v>647</v>
      </c>
      <c r="B49" s="24" t="s">
        <v>64</v>
      </c>
    </row>
    <row r="50" spans="1:2">
      <c r="A50" t="s">
        <v>174</v>
      </c>
      <c r="B50" s="24" t="s">
        <v>65</v>
      </c>
    </row>
    <row r="51" spans="1:2">
      <c r="A51" t="s">
        <v>98</v>
      </c>
      <c r="B51" s="24" t="s">
        <v>63</v>
      </c>
    </row>
    <row r="52" spans="1:2">
      <c r="A52" t="s">
        <v>124</v>
      </c>
      <c r="B52" s="24" t="s">
        <v>64</v>
      </c>
    </row>
    <row r="53" spans="1:2">
      <c r="A53" t="s">
        <v>101</v>
      </c>
      <c r="B53" s="24" t="s">
        <v>63</v>
      </c>
    </row>
    <row r="54" spans="1:2">
      <c r="A54" t="s">
        <v>227</v>
      </c>
      <c r="B54" s="24" t="s">
        <v>63</v>
      </c>
    </row>
    <row r="55" spans="1:2">
      <c r="A55" t="s">
        <v>648</v>
      </c>
      <c r="B55" s="24" t="s">
        <v>63</v>
      </c>
    </row>
    <row r="56" spans="1:2">
      <c r="A56" t="s">
        <v>187</v>
      </c>
      <c r="B56" s="24" t="s">
        <v>64</v>
      </c>
    </row>
    <row r="57" spans="1:2">
      <c r="A57" t="s">
        <v>112</v>
      </c>
      <c r="B57" s="24" t="s">
        <v>63</v>
      </c>
    </row>
    <row r="58" spans="1:2">
      <c r="A58" t="s">
        <v>360</v>
      </c>
      <c r="B58" s="24" t="s">
        <v>64</v>
      </c>
    </row>
    <row r="59" spans="1:2">
      <c r="A59" t="s">
        <v>151</v>
      </c>
      <c r="B59" s="24" t="s">
        <v>65</v>
      </c>
    </row>
    <row r="60" spans="1:2">
      <c r="A60" t="s">
        <v>102</v>
      </c>
      <c r="B60" s="24" t="s">
        <v>64</v>
      </c>
    </row>
    <row r="61" spans="1:2">
      <c r="A61" t="s">
        <v>235</v>
      </c>
      <c r="B61" s="24" t="s">
        <v>64</v>
      </c>
    </row>
    <row r="62" spans="1:2">
      <c r="A62" t="s">
        <v>128</v>
      </c>
      <c r="B62" s="24" t="s">
        <v>63</v>
      </c>
    </row>
    <row r="63" spans="1:2">
      <c r="A63" t="s">
        <v>128</v>
      </c>
      <c r="B63" s="24" t="s">
        <v>63</v>
      </c>
    </row>
    <row r="64" spans="1:2">
      <c r="A64" t="s">
        <v>382</v>
      </c>
      <c r="B64" s="24" t="s">
        <v>63</v>
      </c>
    </row>
    <row r="65" spans="1:2">
      <c r="A65" t="s">
        <v>649</v>
      </c>
      <c r="B65" s="24" t="s">
        <v>64</v>
      </c>
    </row>
    <row r="66" spans="1:2">
      <c r="A66" t="s">
        <v>52</v>
      </c>
      <c r="B66" s="24" t="s">
        <v>62</v>
      </c>
    </row>
    <row r="67" spans="1:2">
      <c r="A67" t="s">
        <v>152</v>
      </c>
      <c r="B67" s="24" t="s">
        <v>65</v>
      </c>
    </row>
    <row r="68" spans="1:2">
      <c r="A68" t="s">
        <v>168</v>
      </c>
      <c r="B68" s="24" t="s">
        <v>63</v>
      </c>
    </row>
    <row r="69" spans="1:2">
      <c r="A69" t="s">
        <v>109</v>
      </c>
      <c r="B69" s="24" t="s">
        <v>64</v>
      </c>
    </row>
    <row r="70" spans="1:2">
      <c r="A70" t="s">
        <v>137</v>
      </c>
      <c r="B70" s="24" t="s">
        <v>65</v>
      </c>
    </row>
    <row r="71" spans="1:2">
      <c r="A71" t="s">
        <v>113</v>
      </c>
      <c r="B71" s="24" t="s">
        <v>64</v>
      </c>
    </row>
    <row r="72" spans="1:2">
      <c r="A72" t="s">
        <v>178</v>
      </c>
      <c r="B72" s="24" t="s">
        <v>64</v>
      </c>
    </row>
    <row r="73" spans="1:2">
      <c r="A73" t="s">
        <v>163</v>
      </c>
      <c r="B73" s="24" t="s">
        <v>64</v>
      </c>
    </row>
    <row r="74" spans="1:2">
      <c r="A74" t="s">
        <v>150</v>
      </c>
      <c r="B74" s="24" t="s">
        <v>64</v>
      </c>
    </row>
    <row r="75" spans="1:2">
      <c r="A75" t="s">
        <v>89</v>
      </c>
      <c r="B75" s="24" t="s">
        <v>63</v>
      </c>
    </row>
    <row r="76" spans="1:2">
      <c r="A76" t="s">
        <v>130</v>
      </c>
      <c r="B76" s="24" t="s">
        <v>65</v>
      </c>
    </row>
    <row r="77" spans="1:2">
      <c r="A77" t="s">
        <v>100</v>
      </c>
      <c r="B77" s="24" t="s">
        <v>64</v>
      </c>
    </row>
    <row r="78" spans="1:2">
      <c r="A78" t="s">
        <v>176</v>
      </c>
      <c r="B78" s="24" t="s">
        <v>63</v>
      </c>
    </row>
    <row r="79" spans="1:2">
      <c r="A79" t="s">
        <v>139</v>
      </c>
      <c r="B79" s="24"/>
    </row>
    <row r="80" spans="1:2">
      <c r="A80" t="s">
        <v>95</v>
      </c>
      <c r="B80" s="24" t="s">
        <v>63</v>
      </c>
    </row>
    <row r="81" spans="1:2">
      <c r="A81" t="s">
        <v>125</v>
      </c>
      <c r="B81" s="24" t="s">
        <v>63</v>
      </c>
    </row>
    <row r="82" spans="1:2">
      <c r="A82" t="s">
        <v>90</v>
      </c>
      <c r="B82" s="24" t="s">
        <v>63</v>
      </c>
    </row>
    <row r="83" spans="1:2">
      <c r="A83" t="s">
        <v>91</v>
      </c>
      <c r="B83" s="24" t="s">
        <v>63</v>
      </c>
    </row>
    <row r="84" spans="1:2">
      <c r="A84" t="s">
        <v>650</v>
      </c>
      <c r="B84" s="24" t="s">
        <v>63</v>
      </c>
    </row>
    <row r="85" spans="1:2">
      <c r="A85" t="s">
        <v>199</v>
      </c>
      <c r="B85" s="24" t="s">
        <v>63</v>
      </c>
    </row>
    <row r="86" spans="1:2">
      <c r="A86" t="s">
        <v>651</v>
      </c>
      <c r="B86" s="24" t="s">
        <v>63</v>
      </c>
    </row>
    <row r="87" spans="1:2">
      <c r="A87" t="s">
        <v>135</v>
      </c>
      <c r="B87" s="24" t="s">
        <v>64</v>
      </c>
    </row>
    <row r="88" spans="1:2">
      <c r="A88" t="s">
        <v>652</v>
      </c>
      <c r="B88" s="24" t="s">
        <v>63</v>
      </c>
    </row>
    <row r="89" spans="1:2">
      <c r="A89" t="s">
        <v>181</v>
      </c>
      <c r="B89" s="24" t="s">
        <v>63</v>
      </c>
    </row>
    <row r="90" spans="1:2">
      <c r="A90" t="s">
        <v>181</v>
      </c>
      <c r="B90" s="24" t="s">
        <v>63</v>
      </c>
    </row>
    <row r="91" spans="1:2">
      <c r="A91" t="s">
        <v>53</v>
      </c>
      <c r="B91" s="24" t="s">
        <v>62</v>
      </c>
    </row>
    <row r="92" spans="1:2">
      <c r="A92" t="s">
        <v>171</v>
      </c>
      <c r="B92" s="24" t="s">
        <v>63</v>
      </c>
    </row>
    <row r="93" spans="1:2">
      <c r="A93" t="s">
        <v>225</v>
      </c>
      <c r="B93" s="24" t="s">
        <v>63</v>
      </c>
    </row>
    <row r="94" spans="1:2">
      <c r="A94" t="s">
        <v>129</v>
      </c>
      <c r="B94" s="24" t="s">
        <v>63</v>
      </c>
    </row>
    <row r="95" spans="1:2">
      <c r="A95" t="s">
        <v>123</v>
      </c>
      <c r="B95" s="24" t="s">
        <v>65</v>
      </c>
    </row>
    <row r="96" spans="1:2">
      <c r="A96" t="s">
        <v>158</v>
      </c>
      <c r="B96" s="24" t="s">
        <v>65</v>
      </c>
    </row>
    <row r="97" spans="1:7">
      <c r="A97" t="s">
        <v>117</v>
      </c>
      <c r="B97" s="24" t="s">
        <v>63</v>
      </c>
    </row>
    <row r="98" spans="1:7">
      <c r="A98" t="s">
        <v>87</v>
      </c>
      <c r="B98" s="24" t="s">
        <v>63</v>
      </c>
    </row>
    <row r="99" spans="1:7">
      <c r="A99" t="s">
        <v>653</v>
      </c>
      <c r="B99" s="24" t="s">
        <v>62</v>
      </c>
    </row>
    <row r="100" spans="1:7">
      <c r="A100" t="s">
        <v>121</v>
      </c>
      <c r="B100" s="24" t="s">
        <v>62</v>
      </c>
    </row>
    <row r="101" spans="1:7">
      <c r="A101" t="s">
        <v>122</v>
      </c>
      <c r="B101" s="24" t="s">
        <v>63</v>
      </c>
    </row>
    <row r="102" spans="1:7">
      <c r="A102" t="s">
        <v>108</v>
      </c>
      <c r="B102" s="24" t="s">
        <v>64</v>
      </c>
    </row>
    <row r="103" spans="1:7">
      <c r="A103" t="s">
        <v>105</v>
      </c>
      <c r="B103" s="24" t="s">
        <v>64</v>
      </c>
    </row>
    <row r="104" spans="1:7">
      <c r="A104" t="s">
        <v>654</v>
      </c>
      <c r="B104" s="24" t="s">
        <v>63</v>
      </c>
    </row>
    <row r="105" spans="1:7">
      <c r="A105" t="s">
        <v>182</v>
      </c>
      <c r="B105" s="24" t="s">
        <v>63</v>
      </c>
    </row>
    <row r="106" spans="1:7">
      <c r="A106" t="s">
        <v>132</v>
      </c>
      <c r="B106" s="24" t="s">
        <v>63</v>
      </c>
    </row>
    <row r="107" spans="1:7">
      <c r="A107" t="s">
        <v>54</v>
      </c>
      <c r="B107" s="24" t="s">
        <v>62</v>
      </c>
    </row>
    <row r="108" spans="1:7">
      <c r="A108" t="s">
        <v>146</v>
      </c>
      <c r="B108" s="24" t="s">
        <v>64</v>
      </c>
    </row>
    <row r="109" spans="1:7">
      <c r="A109" t="s">
        <v>175</v>
      </c>
      <c r="B109" s="24" t="s">
        <v>63</v>
      </c>
    </row>
    <row r="110" spans="1:7">
      <c r="A110" t="s">
        <v>57</v>
      </c>
      <c r="B110" s="24" t="s">
        <v>62</v>
      </c>
    </row>
    <row r="111" spans="1:7">
      <c r="A111" t="s">
        <v>55</v>
      </c>
      <c r="B111" s="24" t="s">
        <v>62</v>
      </c>
      <c r="G111" s="94" t="s">
        <v>254</v>
      </c>
    </row>
    <row r="112" spans="1:7">
      <c r="A112" t="s">
        <v>131</v>
      </c>
      <c r="B112" s="24" t="s">
        <v>63</v>
      </c>
    </row>
    <row r="113" spans="1:2">
      <c r="A113" t="s">
        <v>110</v>
      </c>
      <c r="B113" s="24" t="s">
        <v>63</v>
      </c>
    </row>
    <row r="114" spans="1:2">
      <c r="A114" t="s">
        <v>99</v>
      </c>
      <c r="B114" s="24" t="s">
        <v>65</v>
      </c>
    </row>
    <row r="115" spans="1:2">
      <c r="A115" t="s">
        <v>120</v>
      </c>
      <c r="B115" s="24" t="s">
        <v>65</v>
      </c>
    </row>
    <row r="116" spans="1:2">
      <c r="A116" t="s">
        <v>180</v>
      </c>
      <c r="B116" s="24" t="s">
        <v>64</v>
      </c>
    </row>
    <row r="117" spans="1:2">
      <c r="A117" t="s">
        <v>92</v>
      </c>
      <c r="B117" s="24" t="s">
        <v>63</v>
      </c>
    </row>
    <row r="118" spans="1:2">
      <c r="A118" t="s">
        <v>106</v>
      </c>
      <c r="B118" s="24" t="s">
        <v>63</v>
      </c>
    </row>
    <row r="119" spans="1:2">
      <c r="A119" t="s">
        <v>143</v>
      </c>
      <c r="B119" s="24" t="s">
        <v>63</v>
      </c>
    </row>
    <row r="120" spans="1:2">
      <c r="A120" t="s">
        <v>115</v>
      </c>
      <c r="B120" s="24" t="s">
        <v>62</v>
      </c>
    </row>
    <row r="121" spans="1:2">
      <c r="A121" t="s">
        <v>153</v>
      </c>
      <c r="B121" s="24" t="s">
        <v>63</v>
      </c>
    </row>
    <row r="122" spans="1:2">
      <c r="A122" t="s">
        <v>233</v>
      </c>
      <c r="B122" s="24" t="s">
        <v>63</v>
      </c>
    </row>
    <row r="123" spans="1:2">
      <c r="A123" t="s">
        <v>233</v>
      </c>
      <c r="B123" s="24"/>
    </row>
    <row r="124" spans="1:2">
      <c r="A124" t="s">
        <v>118</v>
      </c>
      <c r="B124" s="24" t="s">
        <v>63</v>
      </c>
    </row>
    <row r="125" spans="1:2">
      <c r="A125" t="s">
        <v>161</v>
      </c>
      <c r="B125" s="24" t="s">
        <v>64</v>
      </c>
    </row>
    <row r="126" spans="1:2">
      <c r="A126" t="s">
        <v>88</v>
      </c>
      <c r="B126" s="24" t="s">
        <v>65</v>
      </c>
    </row>
    <row r="127" spans="1:2">
      <c r="A127" t="s">
        <v>655</v>
      </c>
      <c r="B127" s="24" t="s">
        <v>65</v>
      </c>
    </row>
    <row r="128" spans="1:2">
      <c r="A128" t="s">
        <v>656</v>
      </c>
      <c r="B128" s="24" t="s">
        <v>63</v>
      </c>
    </row>
    <row r="129" spans="1:2">
      <c r="A129" t="s">
        <v>656</v>
      </c>
      <c r="B129" s="24" t="s">
        <v>63</v>
      </c>
    </row>
    <row r="130" spans="1:2">
      <c r="A130" t="s">
        <v>198</v>
      </c>
      <c r="B130" s="24" t="s">
        <v>62</v>
      </c>
    </row>
    <row r="131" spans="1:2">
      <c r="A131" t="s">
        <v>657</v>
      </c>
      <c r="B131" s="24"/>
    </row>
    <row r="132" spans="1:2">
      <c r="A132" t="s">
        <v>200</v>
      </c>
      <c r="B132" s="24" t="s">
        <v>63</v>
      </c>
    </row>
    <row r="133" spans="1:2">
      <c r="A133" t="s">
        <v>198</v>
      </c>
      <c r="B133" s="24" t="s">
        <v>62</v>
      </c>
    </row>
    <row r="134" spans="1:2">
      <c r="A134" t="s">
        <v>233</v>
      </c>
      <c r="B134" s="24" t="s">
        <v>63</v>
      </c>
    </row>
    <row r="135" spans="1:2">
      <c r="A135" t="s">
        <v>198</v>
      </c>
      <c r="B135" s="24" t="s">
        <v>62</v>
      </c>
    </row>
    <row r="136" spans="1:2">
      <c r="A136" t="s">
        <v>153</v>
      </c>
      <c r="B136" s="24" t="s">
        <v>173</v>
      </c>
    </row>
    <row r="137" spans="1:2">
      <c r="A137" t="s">
        <v>278</v>
      </c>
      <c r="B137" s="24" t="s">
        <v>63</v>
      </c>
    </row>
    <row r="138" spans="1:2">
      <c r="A138" t="s">
        <v>279</v>
      </c>
      <c r="B138" s="24" t="s">
        <v>63</v>
      </c>
    </row>
    <row r="139" spans="1:2">
      <c r="A139" t="s">
        <v>280</v>
      </c>
      <c r="B139" s="24" t="s">
        <v>173</v>
      </c>
    </row>
    <row r="140" spans="1:2">
      <c r="A140" t="s">
        <v>291</v>
      </c>
      <c r="B140" s="24" t="s">
        <v>63</v>
      </c>
    </row>
    <row r="141" spans="1:2">
      <c r="A141" t="s">
        <v>292</v>
      </c>
      <c r="B141" s="24" t="s">
        <v>64</v>
      </c>
    </row>
    <row r="142" spans="1:2">
      <c r="A142" t="s">
        <v>278</v>
      </c>
      <c r="B142" s="24" t="s">
        <v>63</v>
      </c>
    </row>
    <row r="143" spans="1:2">
      <c r="A143" t="s">
        <v>412</v>
      </c>
      <c r="B143" s="24" t="s">
        <v>63</v>
      </c>
    </row>
    <row r="144" spans="1:2">
      <c r="A144" t="s">
        <v>278</v>
      </c>
      <c r="B144" s="24" t="s">
        <v>63</v>
      </c>
    </row>
    <row r="145" spans="1:2">
      <c r="A145" t="s">
        <v>363</v>
      </c>
      <c r="B145" s="24" t="s">
        <v>63</v>
      </c>
    </row>
    <row r="146" spans="1:2">
      <c r="A146" s="96" t="s">
        <v>372</v>
      </c>
      <c r="B146" s="24" t="s">
        <v>63</v>
      </c>
    </row>
    <row r="147" spans="1:2">
      <c r="A147" t="s">
        <v>375</v>
      </c>
      <c r="B147" s="24" t="s">
        <v>63</v>
      </c>
    </row>
    <row r="148" spans="1:2">
      <c r="A148" t="s">
        <v>292</v>
      </c>
    </row>
    <row r="149" spans="1:2">
      <c r="A149" t="s">
        <v>389</v>
      </c>
      <c r="B149" s="24" t="s">
        <v>63</v>
      </c>
    </row>
    <row r="150" spans="1:2">
      <c r="A150" t="s">
        <v>400</v>
      </c>
      <c r="B150" s="24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YASMIM GIOVANA CHAGAS E ARCANJO</dc:creator>
  <cp:keywords/>
  <dc:description/>
  <cp:lastModifiedBy/>
  <cp:revision/>
  <dcterms:created xsi:type="dcterms:W3CDTF">2025-09-11T11:36:23Z</dcterms:created>
  <dcterms:modified xsi:type="dcterms:W3CDTF">2026-05-23T23:21:14Z</dcterms:modified>
  <cp:category/>
  <cp:contentStatus/>
</cp:coreProperties>
</file>